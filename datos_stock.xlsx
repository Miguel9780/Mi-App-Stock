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8AA699B8-2A14-40AF-870C-1F435DB6063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<sst xmlns="http://schemas.openxmlformats.org/spreadsheetml/2006/main" count="5183" uniqueCount="836">
  <si>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</si>
  <si>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</si>
  <si>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</si>
  <si>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</si>
  <si>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</si>
  <si>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</si>
  <si>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</si>
  <si>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</si>
  <si>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</si>
  <si>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</si>
  <si>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</si>
  <si>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</si>
  <si>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</si>
  <si>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</si>
  <si>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</si>
  <si>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</si>
  <si>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</si>
  <si>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</si>
  <si>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</si>
  <si>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</si>
  <si>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</si>
  <si>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</si>
  <si>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</si>
  <si>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</si>
  <si>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</si>
  <si>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</si>
  <si>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</si>
  <si>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</si>
  <si>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</si>
  <si>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</si>
  <si>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</si>
  <si>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</si>
  <si>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</si>
  <si>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</si>
  <si>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</si>
  <si>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</si>
  <si>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</si>
  <si>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</si>
  <si>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</si>
  <si>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</si>
  <si>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</si>
  <si>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</si>
  <si>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</si>
  <si>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</si>
  <si>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</si>
  <si>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</si>
  <si>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</si>
  <si>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</si>
  <si>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</si>
  <si>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</si>
  <si>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</si>
  <si>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</si>
  <si>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</si>
  <si>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</si>
  <si>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</si>
  <si>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</si>
  <si>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</si>
  <si>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</si>
  <si>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</si>
  <si>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</si>
  <si>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</si>
  <si>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</si>
  <si>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</si>
  <si>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</si>
  <si>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</si>
  <si>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</si>
  <si>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</si>
  <si>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</si>
  <si>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</si>
  <si>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</si>
  <si>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</si>
  <si>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</si>
  <si>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</si>
  <si>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</si>
  <si>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</si>
  <si>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</si>
  <si>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</si>
  <si>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</si>
  <si>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</si>
  <si>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</si>
  <si>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</si>
  <si>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</si>
  <si>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</si>
  <si>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</si>
  <si>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</si>
  <si>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</si>
  <si>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</si>
  <si>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</si>
  <si>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</si>
  <si>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</si>
  <si>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</si>
  <si>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</si>
  <si>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</si>
  <si>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</si>
  <si>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</si>
  <si>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</si>
  <si>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</si>
  <si>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</si>
  <si>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</si>
  <si>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</si>
  <si>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</si>
  <si>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</si>
  <si>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</si>
  <si>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</si>
  <si>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</si>
  <si>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</si>
  <si>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</si>
  <si>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</si>
  <si>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</si>
  <si>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</si>
  <si>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</si>
  <si>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</si>
  <si>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</si>
  <si>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</si>
  <si>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</si>
  <si>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</si>
  <si>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</si>
  <si>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</si>
  <si>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</si>
  <si>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</si>
  <si>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</si>
  <si>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</si>
  <si>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</si>
  <si>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</si>
  <si>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</si>
  <si>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</si>
  <si>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</si>
  <si>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</si>
  <si>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</si>
  <si>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</si>
  <si>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</si>
  <si>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</si>
  <si>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</si>
  <si>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</si>
  <si>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</si>
  <si>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</si>
  <si>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</si>
  <si>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</si>
  <si>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</si>
  <si>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</si>
  <si>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</si>
  <si>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</si>
  <si>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</si>
  <si>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</si>
  <si>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</si>
  <si>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</si>
  <si>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</si>
  <si>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</si>
  <si>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</si>
  <si>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</si>
  <si>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</si>
  <si>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</si>
  <si>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</si>
  <si>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</si>
  <si>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</si>
  <si>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</si>
  <si>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</si>
  <si>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</si>
  <si>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</si>
  <si>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</si>
  <si>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</si>
  <si>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</si>
  <si>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</si>
  <si>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</si>
  <si>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</si>
  <si>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</si>
  <si>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</si>
  <si>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</si>
  <si>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</si>
  <si>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</si>
  <si>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</si>
  <si>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</si>
  <si>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</si>
  <si>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</si>
  <si>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</si>
  <si>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</si>
  <si>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</si>
  <si>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</si>
  <si>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</si>
  <si>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</si>
  <si>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</si>
  <si>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</si>
  <si>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</si>
  <si>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</si>
  <si>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</si>
  <si>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</si>
  <si>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</si>
  <si>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</si>
  <si>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</si>
  <si>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</si>
  <si>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</si>
  <si>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</si>
  <si>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</si>
  <si>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</si>
  <si>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</si>
  <si>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</si>
  <si>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</si>
  <si>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</si>
  <si>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</si>
  <si>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</si>
  <si>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</si>
  <si>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</si>
  <si>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</si>
  <si>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</si>
  <si>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</si>
  <si>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</si>
  <si>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</si>
  <si>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</si>
  <si>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</si>
  <si>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</si>
  <si>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</si>
  <si>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</si>
  <si>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</si>
  <si>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</si>
  <si>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</si>
  <si>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</si>
  <si>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</si>
  <si>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</si>
  <si>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</si>
  <si>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</si>
  <si>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</si>
  <si>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</si>
  <si>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</si>
  <si>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</si>
  <si>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</si>
  <si>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</si>
  <si>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</si>
  <si>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</si>
  <si>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</si>
  <si>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</si>
  <si>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</si>
  <si>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</si>
  <si>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</si>
  <si>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</si>
  <si>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</si>
  <si>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</si>
  <si>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</si>
  <si>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</si>
  <si>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</si>
  <si>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</si>
  <si>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</si>
  <si>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</si>
  <si>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</si>
  <si>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</si>
  <si>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</si>
  <si>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</si>
  <si>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</si>
  <si>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</si>
  <si>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</si>
  <si>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</si>
  <si>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</si>
  <si>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</si>
  <si>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</si>
  <si>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</si>
  <si>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</si>
  <si>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</si>
  <si>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</si>
  <si>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</si>
  <si>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</si>
  <si>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</si>
  <si>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</si>
  <si>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</si>
  <si>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</si>
  <si>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</si>
  <si>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</si>
  <si>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</si>
  <si>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</si>
  <si>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</si>
  <si>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</si>
  <si>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</si>
  <si>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</si>
  <si>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</si>
  <si>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</si>
  <si>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</si>
  <si>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</si>
  <si>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</si>
  <si>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</si>
  <si>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</si>
  <si>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</si>
  <si>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</si>
  <si>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</si>
  <si>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</si>
  <si>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</si>
  <si>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</si>
  <si>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</si>
  <si>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</si>
  <si>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</si>
  <si>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</si>
  <si>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</si>
  <si>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</si>
  <si>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</si>
  <si>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</si>
  <si>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</si>
  <si>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</si>
  <si>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</si>
  <si>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</si>
  <si>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</si>
  <si>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</si>
  <si>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</si>
  <si>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</si>
  <si>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</si>
  <si>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</si>
  <si>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</si>
  <si>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</si>
  <si>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</si>
  <si>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</si>
  <si>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</si>
  <si>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</si>
  <si>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</si>
  <si>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</si>
  <si>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</si>
  <si>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</si>
  <si>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</si>
  <si>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</si>
  <si>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</si>
  <si>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</si>
  <si>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</si>
  <si>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</si>
  <si>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</si>
  <si>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</si>
  <si>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</si>
  <si>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</si>
  <si>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</si>
  <si>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</si>
  <si>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</si>
  <si>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</si>
  <si>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</si>
  <si>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</si>
  <si>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</si>
  <si>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</si>
  <si>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</si>
  <si>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</si>
  <si>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</si>
  <si>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</si>
  <si>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</si>
  <si>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</si>
  <si>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</si>
  <si>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</si>
  <si>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</si>
  <si>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</si>
  <si>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</si>
  <si>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</si>
  <si>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</si>
  <si>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</si>
  <si>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</si>
  <si>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</si>
  <si>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</si>
  <si>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</si>
  <si>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</si>
  <si>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</si>
  <si>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</si>
  <si>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</si>
  <si>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</si>
  <si>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</si>
  <si>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</si>
  <si>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</si>
  <si>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</si>
  <si>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</si>
  <si>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</si>
  <si>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</si>
  <si>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</si>
  <si>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</si>
  <si>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</si>
  <si>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</si>
  <si>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</si>
  <si>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</si>
  <si>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</si>
  <si>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</si>
  <si>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</si>
  <si>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</si>
  <si>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</si>
  <si>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</si>
  <si>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</si>
  <si>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</si>
  <si>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</si>
  <si>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</si>
  <si>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</si>
  <si>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</si>
  <si>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</si>
  <si>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</si>
  <si>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</si>
  <si>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</si>
  <si>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</si>
  <si>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</si>
  <si>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</si>
  <si>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</si>
  <si>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</si>
  <si>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</si>
  <si>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</si>
  <si>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</si>
  <si>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</si>
  <si>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</si>
  <si>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</si>
  <si>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</si>
  <si>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</si>
  <si>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</si>
  <si>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</si>
  <si>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</si>
  <si>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</si>
  <si>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</si>
  <si>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</si>
  <si>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</si>
  <si>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</si>
  <si>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</si>
  <si>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</si>
  <si>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</si>
  <si>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</si>
  <si>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</si>
  <si>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</si>
  <si>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</si>
  <si>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</si>
  <si>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</si>
  <si>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</si>
  <si>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</si>
  <si>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</si>
  <si>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</si>
  <si>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</si>
  <si>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</si>
  <si>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</si>
  <si>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</si>
  <si>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</si>
  <si>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</si>
  <si>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</si>
  <si>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</si>
  <si>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</si>
  <si>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</si>
  <si>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</si>
  <si>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</si>
  <si>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</si>
  <si>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</si>
  <si>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</si>
  <si>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</si>
  <si>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</si>
  <si>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</si>
  <si>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</si>
  <si>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</si>
  <si>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</si>
  <si>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</si>
  <si>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</si>
  <si>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</si>
  <si>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</si>
  <si>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</si>
  <si>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</si>
  <si>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</si>
  <si>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</si>
  <si>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</si>
  <si>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</si>
  <si>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</si>
  <si>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</si>
  <si>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</si>
  <si>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</si>
  <si>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</si>
  <si>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</si>
  <si>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</si>
  <si>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</si>
  <si>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</si>
  <si>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</si>
  <si>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</si>
  <si>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</si>
  <si>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</si>
  <si>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</si>
  <si>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</si>
  <si>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</si>
  <si>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</si>
  <si>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</si>
  <si>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</si>
  <si>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</si>
  <si>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</si>
  <si>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</si>
  <si>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</si>
  <si>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</si>
  <si>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</si>
  <si>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</si>
  <si>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</si>
  <si>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</si>
  <si>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</si>
  <si>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</si>
  <si>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</si>
  <si>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</si>
  <si>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</si>
  <si>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</si>
  <si>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</si>
  <si>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</si>
  <si>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</si>
  <si>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</si>
  <si>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</si>
  <si>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</si>
  <si>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</si>
  <si>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</si>
  <si>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</si>
  <si>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</si>
  <si>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</si>
  <si>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</si>
  <si>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</si>
  <si>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</si>
  <si>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</si>
  <si>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</si>
  <si>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</si>
  <si>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</si>
  <si>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</si>
  <si>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</si>
  <si>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</si>
  <si>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</si>
  <si>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</si>
  <si>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</si>
  <si>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</si>
  <si>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</si>
  <si>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</si>
  <si>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</si>
  <si>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</si>
  <si>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</si>
  <si>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</si>
  <si>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</si>
  <si>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</si>
  <si>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</si>
  <si>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</si>
  <si>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</si>
  <si>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</si>
  <si>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</si>
  <si>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</si>
  <si>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</si>
  <si>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</si>
  <si>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</si>
  <si>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</si>
  <si>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</si>
  <si>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</si>
  <si>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</si>
  <si>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</si>
  <si>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</si>
  <si>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</si>
  <si>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</si>
  <si>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</si>
  <si>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</si>
  <si>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</si>
  <si>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</si>
  <si>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</si>
  <si>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</si>
  <si>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</si>
  <si>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</si>
  <si>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</si>
  <si>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</si>
  <si>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</si>
  <si>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</si>
  <si>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</si>
  <si>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</si>
  <si>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</si>
  <si>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</si>
  <si>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</si>
  <si>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</si>
  <si>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</si>
  <si>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</si>
  <si>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</si>
  <si>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</si>
  <si>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</si>
  <si>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</si>
  <si>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</si>
  <si>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</si>
  <si>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</si>
  <si>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</si>
  <si>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</si>
  <si>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</si>
  <si>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</si>
  <si>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</si>
  <si>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</si>
  <si>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</si>
  <si>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</si>
  <si>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</si>
  <si>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</si>
  <si>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</si>
  <si>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</si>
  <si>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</si>
  <si>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</si>
  <si>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</si>
  <si>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</si>
  <si>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</si>
  <si>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</si>
  <si>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</si>
  <si>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</si>
  <si>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</si>
  <si>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</si>
  <si>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</si>
  <si>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</si>
  <si>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</si>
  <si>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</si>
  <si>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</si>
  <si>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</si>
  <si>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</si>
  <si>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</si>
  <si>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</si>
  <si>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</si>
  <si>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</si>
  <si>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</si>
  <si>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</si>
  <si>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</si>
  <si>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</si>
  <si>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</si>
  <si>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</si>
  <si>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</si>
  <si>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</si>
  <si>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</si>
  <si>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</si>
  <si>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</si>
  <si>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</si>
  <si>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</si>
  <si>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</si>
  <si>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</si>
  <si>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</si>
  <si>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</si>
  <si>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</si>
  <si>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</si>
  <si>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</si>
  <si>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</si>
  <si>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</si>
  <si>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</si>
  <si>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</si>
  <si>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</si>
  <si>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</si>
  <si>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</si>
  <si>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</si>
  <si>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</si>
  <si>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</si>
  <si>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</si>
  <si>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</si>
  <si>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</si>
  <si>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</si>
  <si>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</si>
  <si>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</si>
  <si>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</si>
  <si>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</si>
  <si>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</si>
  <si>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</si>
  <si>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</si>
  <si>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</si>
  <si>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</si>
  <si>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</si>
  <si>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</si>
  <si>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</si>
  <si>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</si>
  <si>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</si>
  <si>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</si>
  <si>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</si>
  <si>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</si>
  <si>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</si>
  <si>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</si>
  <si>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</si>
  <si>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</si>
  <si>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</si>
  <si>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</si>
  <si>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</si>
  <si>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</si>
  <si>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</si>
  <si>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</si>
  <si>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</si>
  <si>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</si>
  <si>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</si>
  <si>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</si>
  <si>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</si>
  <si>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</si>
  <si>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</si>
  <si>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</si>
  <si>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</si>
  <si>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</si>
  <si>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</si>
  <si>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</si>
  <si>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</si>
  <si>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</si>
  <si>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</si>
  <si>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</si>
  <si>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</si>
  <si>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</si>
  <si>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</si>
  <si>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</si>
  <si>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</si>
  <si>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</si>
  <si>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</si>
  <si>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</si>
  <si>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</si>
  <si>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</si>
  <si>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</si>
  <si>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</si>
  <si>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</si>
  <si>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</si>
  <si>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</si>
  <si>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</si>
  <si>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</si>
  <si>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</si>
  <si>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</si>
  <si>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</si>
  <si>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</si>
  <si>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</si>
  <si>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</si>
  <si>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</si>
  <si>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</si>
  <si>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</si>
  <si>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</si>
  <si>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</si>
  <si>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</si>
  <si>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</si>
  <si>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</si>
  <si>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</si>
  <si>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</si>
  <si>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</si>
  <si>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</si>
  <si>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</si>
  <si>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</si>
  <si>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</si>
  <si>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</si>
  <si>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</si>
  <si>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</si>
  <si>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</si>
  <si>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</si>
  <si>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</si>
  <si>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</si>
  <si>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</si>
  <si>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</si>
  <si>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</si>
  <si>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</si>
  <si>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</si>
  <si>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</si>
  <si>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</si>
  <si>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</si>
  <si>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</si>
  <si>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</si>
  <si>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</si>
  <si>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</si>
  <si>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</si>
  <si>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</si>
  <si>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</si>
  <si>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</si>
  <si>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</si>
  <si>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</si>
  <si>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</si>
  <si>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</si>
  <si>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</si>
  <si>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</si>
  <si>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</si>
  <si>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</si>
  <si>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</si>
  <si>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</si>
  <si>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</si>
  <si>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</si>
  <si>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</si>
  <si>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</si>
  <si>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</si>
  <si>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</si>
  <si>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</si>
  <si>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</si>
  <si>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</si>
  <si>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</si>
  <si>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</si>
  <si>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</si>
  <si>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</si>
  <si>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</si>
  <si>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</si>
  <si>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</si>
  <si>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</si>
  <si>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</si>
  <si>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</si>
  <si>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</si>
  <si>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</si>
  <si>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</si>
  <si>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</si>
  <si>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</si>
  <si>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</si>
  <si>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</si>
  <si>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</si>
  <si>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</si>
  <si>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</si>
  <si>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</si>
  <si>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</si>
  <si>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</si>
  <si>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</si>
  <si>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</si>
  <si>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</si>
  <si>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</si>
  <si>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</si>
  <si>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</si>
  <si>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</si>
  <si>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</si>
  <si>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</si>
  <si>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</si>
  <si>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</si>
  <si>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</si>
  <si>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</si>
  <si>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</si>
  <si>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</si>
  <si>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</si>
  <si>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</si>
  <si>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</si>
  <si>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</si>
  <si>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</si>
  <si>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</si>
  <si>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</si>
  <si>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</si>
  <si>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</si>
  <si>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</si>
  <si>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</si>
  <si>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</si>
  <si>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</si>
  <si>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</si>
  <si>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</si>
  <si>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</si>
  <si>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Existirá ingreso de 126,864 und que brinda una cobertura de 4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</si>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</sst>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zoomScale="85" zoomScaleNormal="85" workbookViewId="0">
      <selection activeCell="G21" sqref="G21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6" t="s">
        <v>341</v>
      </c>
      <c r="C2" s="197"/>
      <c r="D2" s="197"/>
      <c r="E2" s="197"/>
      <c r="F2" s="197"/>
      <c r="G2" s="200">
        <v>46122</v>
      </c>
    </row>
    <row r="3" spans="1:59" ht="13.5" customHeight="1" thickBot="1" x14ac:dyDescent="0.4">
      <c r="A3" s="118"/>
      <c r="B3" s="198"/>
      <c r="C3" s="199"/>
      <c r="D3" s="199"/>
      <c r="E3" s="199"/>
      <c r="F3" s="199"/>
      <c r="G3" s="201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65.384615384615387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17996243.290000059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13735119.810000079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0.54886075643084054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535141.30988833879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8"/>
      <c r="Y17" s="28"/>
      <c r="Z17" s="26"/>
      <c r="AA17" s="26"/>
      <c r="AB17" s="26"/>
      <c r="AC17" s="195" t="s">
        <v>331</v>
      </c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5"/>
      <c r="BE17" s="195"/>
      <c r="BF17" s="195"/>
      <c r="BG17" s="195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0</v>
      </c>
      <c r="K19" s="9">
        <v>10</v>
      </c>
      <c r="L19" s="100">
        <v>4</v>
      </c>
      <c r="M19" s="10">
        <v>53349.211087252268</v>
      </c>
      <c r="N19" s="100">
        <v>3.9999250223214462</v>
      </c>
      <c r="O19" s="100">
        <v>0</v>
      </c>
      <c r="P19" s="10">
        <v>0.91655885962634531</v>
      </c>
      <c r="Q19" s="6">
        <v>2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26.666666666666664</v>
      </c>
      <c r="Y19" s="9">
        <v>0</v>
      </c>
      <c r="Z19" s="9">
        <v>-11.999812555803615</v>
      </c>
      <c r="AA19" s="132">
        <v>1.703867745135606E-3</v>
      </c>
      <c r="AB19" s="132">
        <v>0</v>
      </c>
      <c r="AC19" s="11">
        <v>64019.05330470272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3</v>
      </c>
      <c r="L20" s="100">
        <v>0.36</v>
      </c>
      <c r="M20" s="10">
        <v>2.2546112984221832E-4</v>
      </c>
      <c r="N20" s="100">
        <v>1596.3675612072661</v>
      </c>
      <c r="O20" s="100">
        <v>15.712344731653895</v>
      </c>
      <c r="P20" s="10">
        <v>1.7809669747989676</v>
      </c>
      <c r="Q20" s="6">
        <v>87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13216.06301006055</v>
      </c>
      <c r="AA20" s="132">
        <v>16632.578762575689</v>
      </c>
      <c r="AB20" s="132">
        <v>0</v>
      </c>
      <c r="AC20" s="11">
        <v>6.76383389526658E-3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96">
        <v>1060961</v>
      </c>
      <c r="G22" s="97" t="s">
        <v>726</v>
      </c>
      <c r="H22" s="129">
        <v>25941.717791411047</v>
      </c>
      <c r="I22" s="129">
        <v>4669.5092024539881</v>
      </c>
      <c r="J22" s="9">
        <v>0</v>
      </c>
      <c r="K22" s="9">
        <v>0</v>
      </c>
      <c r="L22" s="100">
        <v>0</v>
      </c>
      <c r="M22" s="10">
        <v>0</v>
      </c>
      <c r="N22" s="100">
        <v>4669.5092024539881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25941.717791411047</v>
      </c>
      <c r="Y22" s="9">
        <v>0</v>
      </c>
      <c r="Z22" s="9">
        <v>25941.717791411047</v>
      </c>
      <c r="AA22" s="132">
        <v>176922.51533742333</v>
      </c>
      <c r="AB22" s="132">
        <v>0</v>
      </c>
      <c r="AC22" s="11">
        <v>0</v>
      </c>
      <c r="AD22" s="71"/>
      <c r="AE22" s="71">
        <v>33.495568685376661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1060962</v>
      </c>
      <c r="G23" s="97" t="s">
        <v>727</v>
      </c>
      <c r="H23" s="129">
        <v>31305.056179775278</v>
      </c>
      <c r="I23" s="129">
        <v>5634.9101123595501</v>
      </c>
      <c r="J23" s="9">
        <v>0</v>
      </c>
      <c r="K23" s="9">
        <v>0</v>
      </c>
      <c r="L23" s="100">
        <v>0</v>
      </c>
      <c r="M23" s="10">
        <v>0</v>
      </c>
      <c r="N23" s="100">
        <v>5634.9101123595501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31305.056179775278</v>
      </c>
      <c r="Y23" s="9">
        <v>0</v>
      </c>
      <c r="Z23" s="9">
        <v>31305.056179775278</v>
      </c>
      <c r="AA23" s="132">
        <v>213500.48314606742</v>
      </c>
      <c r="AB23" s="132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5">
      <c r="A24" s="118"/>
      <c r="B24" s="30" t="s">
        <v>31</v>
      </c>
      <c r="C24" s="6" t="s">
        <v>5</v>
      </c>
      <c r="D24" s="6" t="s">
        <v>306</v>
      </c>
      <c r="E24" s="6" t="s">
        <v>307</v>
      </c>
      <c r="F24" s="133">
        <v>1076007</v>
      </c>
      <c r="G24" s="134" t="s">
        <v>653</v>
      </c>
      <c r="H24" s="129">
        <v>5.3515266486592371E-4</v>
      </c>
      <c r="I24" s="129">
        <v>1.6054579945977711E-4</v>
      </c>
      <c r="J24" s="9">
        <v>0</v>
      </c>
      <c r="K24" s="9">
        <v>1</v>
      </c>
      <c r="L24" s="100">
        <v>0.3</v>
      </c>
      <c r="M24" s="10">
        <v>1868.6256570366484</v>
      </c>
      <c r="N24" s="100">
        <v>0.2998394542005402</v>
      </c>
      <c r="O24" s="100">
        <v>0</v>
      </c>
      <c r="P24" s="10">
        <v>0</v>
      </c>
      <c r="Q24" s="6">
        <v>10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2.6666666666666665</v>
      </c>
      <c r="Y24" s="9">
        <v>0</v>
      </c>
      <c r="Z24" s="9">
        <v>-10.999464847335133</v>
      </c>
      <c r="AA24" s="132">
        <v>3.9654812466564946E-3</v>
      </c>
      <c r="AB24" s="132">
        <v>0</v>
      </c>
      <c r="AC24" s="11">
        <v>20554.88222740313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/>
    </row>
    <row r="25" spans="1:62" ht="12.75" customHeight="1" x14ac:dyDescent="0.35">
      <c r="A25" s="118"/>
      <c r="B25" s="30" t="s">
        <v>4</v>
      </c>
      <c r="C25" s="6" t="s">
        <v>5</v>
      </c>
      <c r="D25" s="116" t="s">
        <v>308</v>
      </c>
      <c r="E25" s="6" t="s">
        <v>314</v>
      </c>
      <c r="F25" s="6">
        <v>1083123</v>
      </c>
      <c r="G25" s="162" t="s">
        <v>797</v>
      </c>
      <c r="H25" s="129">
        <v>1.0000000000000001E-5</v>
      </c>
      <c r="I25" s="129">
        <v>9.6000000000000013E-7</v>
      </c>
      <c r="J25" s="9">
        <v>0</v>
      </c>
      <c r="K25" s="9">
        <v>0</v>
      </c>
      <c r="L25" s="100">
        <v>0</v>
      </c>
      <c r="M25" s="10">
        <v>0</v>
      </c>
      <c r="N25" s="100">
        <v>9.6000000000000013E-7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1.0000000000000001E-5</v>
      </c>
      <c r="AA25" s="132">
        <v>2.2000000000000003E-5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21</v>
      </c>
      <c r="C26" s="6" t="s">
        <v>5</v>
      </c>
      <c r="D26" s="6" t="s">
        <v>308</v>
      </c>
      <c r="E26" s="6" t="s">
        <v>372</v>
      </c>
      <c r="F26" s="6">
        <v>1089904</v>
      </c>
      <c r="G26" s="162" t="s">
        <v>798</v>
      </c>
      <c r="H26" s="129">
        <v>1.0000000000000001E-5</v>
      </c>
      <c r="I26" s="129">
        <v>4.3200000000000001E-6</v>
      </c>
      <c r="J26" s="9">
        <v>0</v>
      </c>
      <c r="K26" s="9">
        <v>0</v>
      </c>
      <c r="L26" s="100">
        <v>0</v>
      </c>
      <c r="M26" s="10">
        <v>0</v>
      </c>
      <c r="N26" s="100">
        <v>4.3200000000000001E-6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1.1650000000000001E-4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310</v>
      </c>
      <c r="E27" s="6" t="s">
        <v>311</v>
      </c>
      <c r="F27" s="127">
        <v>1068294</v>
      </c>
      <c r="G27" s="128" t="s">
        <v>565</v>
      </c>
      <c r="H27" s="129">
        <v>627.10326087234557</v>
      </c>
      <c r="I27" s="129">
        <v>94.06548913085183</v>
      </c>
      <c r="J27" s="9">
        <v>0</v>
      </c>
      <c r="K27" s="9">
        <v>0</v>
      </c>
      <c r="L27" s="100">
        <v>0</v>
      </c>
      <c r="M27" s="10">
        <v>0</v>
      </c>
      <c r="N27" s="100">
        <v>94.06548913085183</v>
      </c>
      <c r="O27" s="100">
        <v>0</v>
      </c>
      <c r="P27" s="10">
        <v>0.35855639024825814</v>
      </c>
      <c r="Q27" s="6">
        <v>6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2503</v>
      </c>
      <c r="X27" s="9">
        <v>627.10326087234557</v>
      </c>
      <c r="Y27" s="9">
        <v>0</v>
      </c>
      <c r="Z27" s="9">
        <v>621.10326087234557</v>
      </c>
      <c r="AA27" s="132">
        <v>1279.2906521795851</v>
      </c>
      <c r="AB27" s="132">
        <v>5106.12</v>
      </c>
      <c r="AC27" s="11">
        <v>9.5678022653774564E-3</v>
      </c>
      <c r="AD27" s="71"/>
      <c r="AE27" s="71">
        <v>105.57129340524175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27</v>
      </c>
      <c r="C28" s="6" t="s">
        <v>5</v>
      </c>
      <c r="D28" s="6" t="s">
        <v>312</v>
      </c>
      <c r="E28" s="6" t="s">
        <v>313</v>
      </c>
      <c r="F28" s="6">
        <v>1073737</v>
      </c>
      <c r="G28" s="8" t="s">
        <v>619</v>
      </c>
      <c r="H28" s="129">
        <v>32765.546912907917</v>
      </c>
      <c r="I28" s="129">
        <v>12450.90782690501</v>
      </c>
      <c r="J28" s="9">
        <v>0</v>
      </c>
      <c r="K28" s="9">
        <v>11670</v>
      </c>
      <c r="L28" s="100">
        <v>4434.6000000000004</v>
      </c>
      <c r="M28" s="10">
        <v>0.3561668001763959</v>
      </c>
      <c r="N28" s="100">
        <v>8016.3078269050093</v>
      </c>
      <c r="O28" s="100">
        <v>40.642254924409976</v>
      </c>
      <c r="P28" s="10">
        <v>2.3614270531427963</v>
      </c>
      <c r="Q28" s="6">
        <v>23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32765.546912907914</v>
      </c>
      <c r="Y28" s="9">
        <v>0</v>
      </c>
      <c r="Z28" s="9">
        <v>21072.546912907917</v>
      </c>
      <c r="AA28" s="132">
        <v>128768.59936772812</v>
      </c>
      <c r="AB28" s="132">
        <v>0</v>
      </c>
      <c r="AC28" s="11">
        <v>0.35686875702335885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 t="s">
        <v>801</v>
      </c>
    </row>
    <row r="29" spans="1:62" ht="12.75" customHeight="1" x14ac:dyDescent="0.35">
      <c r="A29" s="118"/>
      <c r="B29" s="30" t="s">
        <v>1</v>
      </c>
      <c r="C29" s="6" t="s">
        <v>50</v>
      </c>
      <c r="D29" s="6" t="s">
        <v>316</v>
      </c>
      <c r="E29" s="6" t="s">
        <v>408</v>
      </c>
      <c r="F29" s="6">
        <v>1060670</v>
      </c>
      <c r="G29" s="8" t="s">
        <v>518</v>
      </c>
      <c r="H29" s="129">
        <v>2050</v>
      </c>
      <c r="I29" s="129">
        <v>512.5</v>
      </c>
      <c r="J29" s="9">
        <v>0</v>
      </c>
      <c r="K29" s="9">
        <v>16</v>
      </c>
      <c r="L29" s="100">
        <v>4</v>
      </c>
      <c r="M29" s="10">
        <v>0.37658536585365854</v>
      </c>
      <c r="N29" s="100">
        <v>508.5</v>
      </c>
      <c r="O29" s="100">
        <v>0</v>
      </c>
      <c r="P29" s="10">
        <v>0.69065091000939727</v>
      </c>
      <c r="Q29" s="6">
        <v>756</v>
      </c>
      <c r="R29" s="6">
        <v>756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2058.6666666666665</v>
      </c>
      <c r="Y29" s="9">
        <v>0</v>
      </c>
      <c r="Z29" s="9">
        <v>1278</v>
      </c>
      <c r="AA29" s="132">
        <v>40426</v>
      </c>
      <c r="AB29" s="132">
        <v>0</v>
      </c>
      <c r="AC29" s="11">
        <v>0.37658536585365854</v>
      </c>
      <c r="AD29" s="71"/>
      <c r="AE29" s="71">
        <v>14.586349534643228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17</v>
      </c>
      <c r="D30" s="6" t="s">
        <v>312</v>
      </c>
      <c r="E30" s="6" t="s">
        <v>398</v>
      </c>
      <c r="F30" s="6">
        <v>1058451</v>
      </c>
      <c r="G30" s="8" t="s">
        <v>268</v>
      </c>
      <c r="H30" s="129">
        <v>738867.64238772611</v>
      </c>
      <c r="I30" s="129">
        <v>178067.10181544197</v>
      </c>
      <c r="J30" s="9">
        <v>0</v>
      </c>
      <c r="K30" s="9">
        <v>131322</v>
      </c>
      <c r="L30" s="100">
        <v>31648.601999999999</v>
      </c>
      <c r="M30" s="10">
        <v>0.17797368900206209</v>
      </c>
      <c r="N30" s="100">
        <v>146418.49981544196</v>
      </c>
      <c r="O30" s="100">
        <v>6.8391036369083071</v>
      </c>
      <c r="P30" s="10">
        <v>1.3029722543123703</v>
      </c>
      <c r="Q30" s="6">
        <v>7</v>
      </c>
      <c r="R30" s="6">
        <v>177</v>
      </c>
      <c r="S30" s="6">
        <v>0</v>
      </c>
      <c r="T30" s="6">
        <v>0</v>
      </c>
      <c r="U30" s="6">
        <v>0</v>
      </c>
      <c r="V30" s="6">
        <v>0</v>
      </c>
      <c r="W30" s="6">
        <v>489</v>
      </c>
      <c r="X30" s="9">
        <v>738867.64238772611</v>
      </c>
      <c r="Y30" s="9">
        <v>0</v>
      </c>
      <c r="Z30" s="9">
        <v>607538.64238772611</v>
      </c>
      <c r="AA30" s="132">
        <v>1913667.1937842106</v>
      </c>
      <c r="AB30" s="132">
        <v>1266.51</v>
      </c>
      <c r="AC30" s="11">
        <v>0.1777436071981674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802</v>
      </c>
    </row>
    <row r="31" spans="1:62" ht="12.75" customHeight="1" x14ac:dyDescent="0.35">
      <c r="A31" s="118"/>
      <c r="B31" s="30" t="s">
        <v>1</v>
      </c>
      <c r="C31" s="6" t="s">
        <v>24</v>
      </c>
      <c r="D31" s="6" t="s">
        <v>316</v>
      </c>
      <c r="E31" s="6" t="s">
        <v>317</v>
      </c>
      <c r="F31" s="6">
        <v>1070721</v>
      </c>
      <c r="G31" s="8" t="s">
        <v>683</v>
      </c>
      <c r="H31" s="129">
        <v>3064.7964694214656</v>
      </c>
      <c r="I31" s="129">
        <v>330.99801869751826</v>
      </c>
      <c r="J31" s="9">
        <v>0</v>
      </c>
      <c r="K31" s="9">
        <v>0</v>
      </c>
      <c r="L31" s="100">
        <v>0</v>
      </c>
      <c r="M31" s="10">
        <v>3.2628594100043702E-3</v>
      </c>
      <c r="N31" s="100">
        <v>330.99801869751826</v>
      </c>
      <c r="O31" s="100">
        <v>0</v>
      </c>
      <c r="P31" s="10">
        <v>0.84488487140410262</v>
      </c>
      <c r="Q31" s="6">
        <v>30</v>
      </c>
      <c r="R31" s="6">
        <v>10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3064.7964694214656</v>
      </c>
      <c r="Y31" s="9">
        <v>0</v>
      </c>
      <c r="Z31" s="9">
        <v>3034.7964694214656</v>
      </c>
      <c r="AA31" s="132">
        <v>16212.773323239553</v>
      </c>
      <c r="AB31" s="132">
        <v>0</v>
      </c>
      <c r="AC31" s="11">
        <v>9.7885782300131119E-3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 t="s">
        <v>796</v>
      </c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1070092</v>
      </c>
      <c r="G32" s="8" t="s">
        <v>585</v>
      </c>
      <c r="H32" s="129">
        <v>4436.99118578249</v>
      </c>
      <c r="I32" s="129">
        <v>4436.99118578249</v>
      </c>
      <c r="J32" s="9">
        <v>0</v>
      </c>
      <c r="K32" s="9">
        <v>169</v>
      </c>
      <c r="L32" s="100">
        <v>169</v>
      </c>
      <c r="M32" s="10">
        <v>3.8088874402439417E-2</v>
      </c>
      <c r="N32" s="100">
        <v>4267.99118578249</v>
      </c>
      <c r="O32" s="100">
        <v>0</v>
      </c>
      <c r="P32" s="10">
        <v>0.75763937814395377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4436.99118578249</v>
      </c>
      <c r="Y32" s="9">
        <v>0</v>
      </c>
      <c r="Z32" s="9">
        <v>4267.99118578249</v>
      </c>
      <c r="AA32" s="132">
        <v>40066.030407615879</v>
      </c>
      <c r="AB32" s="132">
        <v>0</v>
      </c>
      <c r="AC32" s="11">
        <v>3.8088874402439465E-2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 t="s">
        <v>31</v>
      </c>
      <c r="C33" s="6" t="s">
        <v>5</v>
      </c>
      <c r="D33" s="6" t="s">
        <v>306</v>
      </c>
      <c r="E33" s="6" t="s">
        <v>307</v>
      </c>
      <c r="F33" s="6">
        <v>1056628</v>
      </c>
      <c r="G33" s="8" t="s">
        <v>222</v>
      </c>
      <c r="H33" s="129">
        <v>3.7622435065959889E-4</v>
      </c>
      <c r="I33" s="129">
        <v>1.8811217532979944E-4</v>
      </c>
      <c r="J33" s="9">
        <v>0</v>
      </c>
      <c r="K33" s="9">
        <v>325</v>
      </c>
      <c r="L33" s="100">
        <v>162.5</v>
      </c>
      <c r="M33" s="10">
        <v>927637.98884397303</v>
      </c>
      <c r="N33" s="100">
        <v>162.49981188782468</v>
      </c>
      <c r="O33" s="100">
        <v>0</v>
      </c>
      <c r="P33" s="10">
        <v>0.84752798255847261</v>
      </c>
      <c r="Q33" s="6">
        <v>30</v>
      </c>
      <c r="R33" s="6">
        <v>24</v>
      </c>
      <c r="S33" s="6">
        <v>0</v>
      </c>
      <c r="T33" s="6">
        <v>0</v>
      </c>
      <c r="U33" s="6">
        <v>4</v>
      </c>
      <c r="V33" s="6">
        <v>0</v>
      </c>
      <c r="W33" s="6">
        <v>0</v>
      </c>
      <c r="X33" s="9">
        <v>930.66666666666663</v>
      </c>
      <c r="Y33" s="9">
        <v>0</v>
      </c>
      <c r="Z33" s="9">
        <v>-354.99962377564935</v>
      </c>
      <c r="AA33" s="132">
        <v>4.3943004157041146E-3</v>
      </c>
      <c r="AB33" s="132">
        <v>46.72</v>
      </c>
      <c r="AC33" s="11">
        <v>943585.91988427064</v>
      </c>
      <c r="AD33" s="71"/>
      <c r="AE33" s="71">
        <v>45.093708609271523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15</v>
      </c>
      <c r="C34" s="6" t="s">
        <v>5</v>
      </c>
      <c r="D34" s="6" t="s">
        <v>308</v>
      </c>
      <c r="E34" s="6" t="s">
        <v>315</v>
      </c>
      <c r="F34" s="6">
        <v>1074229</v>
      </c>
      <c r="G34" s="8" t="s">
        <v>760</v>
      </c>
      <c r="H34" s="129">
        <v>5.0000000000000002E-5</v>
      </c>
      <c r="I34" s="129">
        <v>2.4000000000000001E-5</v>
      </c>
      <c r="J34" s="9">
        <v>0</v>
      </c>
      <c r="K34" s="9">
        <v>-12</v>
      </c>
      <c r="L34" s="100">
        <v>-5.76</v>
      </c>
      <c r="M34" s="10">
        <v>-240000</v>
      </c>
      <c r="N34" s="100">
        <v>5.7600239999999996</v>
      </c>
      <c r="O34" s="100">
        <v>0</v>
      </c>
      <c r="P34" s="10">
        <v>0.52173913043478259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1062</v>
      </c>
      <c r="X34" s="9">
        <v>5.0000000000000002E-5</v>
      </c>
      <c r="Y34" s="9">
        <v>0</v>
      </c>
      <c r="Z34" s="9">
        <v>12.00005</v>
      </c>
      <c r="AA34" s="132">
        <v>3.545E-4</v>
      </c>
      <c r="AB34" s="132">
        <v>7529.58</v>
      </c>
      <c r="AC34" s="11">
        <v>-240000</v>
      </c>
      <c r="AD34" s="71"/>
      <c r="AE34" s="71">
        <v>12.431794871794875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148</v>
      </c>
      <c r="C35" s="6" t="s">
        <v>5</v>
      </c>
      <c r="D35" s="6" t="s">
        <v>318</v>
      </c>
      <c r="E35" s="6" t="s">
        <v>319</v>
      </c>
      <c r="F35" s="120">
        <v>1065299</v>
      </c>
      <c r="G35" s="121" t="s">
        <v>506</v>
      </c>
      <c r="H35" s="129">
        <v>50000</v>
      </c>
      <c r="I35" s="129">
        <v>40000</v>
      </c>
      <c r="J35" s="9">
        <v>0</v>
      </c>
      <c r="K35" s="9">
        <v>38940</v>
      </c>
      <c r="L35" s="100">
        <v>31152</v>
      </c>
      <c r="M35" s="10">
        <v>0.77880000000000005</v>
      </c>
      <c r="N35" s="100">
        <v>8848</v>
      </c>
      <c r="O35" s="100">
        <v>0</v>
      </c>
      <c r="P35" s="10">
        <v>-57499999.999999993</v>
      </c>
      <c r="Q35" s="6">
        <v>6</v>
      </c>
      <c r="R35" s="6">
        <v>0</v>
      </c>
      <c r="S35" s="6">
        <v>6</v>
      </c>
      <c r="T35" s="6">
        <v>0</v>
      </c>
      <c r="U35" s="6">
        <v>0</v>
      </c>
      <c r="V35" s="6">
        <v>0</v>
      </c>
      <c r="W35" s="6">
        <v>0</v>
      </c>
      <c r="X35" s="9">
        <v>103840.00000000001</v>
      </c>
      <c r="Y35" s="9">
        <v>1.7334360554699536E-3</v>
      </c>
      <c r="Z35" s="9">
        <v>11054</v>
      </c>
      <c r="AA35" s="132">
        <v>366000</v>
      </c>
      <c r="AB35" s="132">
        <v>43.92</v>
      </c>
      <c r="AC35" s="11">
        <v>0.77892000000000006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 t="s">
        <v>815</v>
      </c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310</v>
      </c>
      <c r="E36" s="6" t="s">
        <v>311</v>
      </c>
      <c r="F36" s="6">
        <v>1068805</v>
      </c>
      <c r="G36" s="8" t="s">
        <v>564</v>
      </c>
      <c r="H36" s="129">
        <v>29000.001500000009</v>
      </c>
      <c r="I36" s="129">
        <v>5220.0002700000014</v>
      </c>
      <c r="J36" s="9">
        <v>0</v>
      </c>
      <c r="K36" s="9">
        <v>30069.006000000001</v>
      </c>
      <c r="L36" s="100">
        <v>5412.4210800000001</v>
      </c>
      <c r="M36" s="10">
        <v>1.036862222231264</v>
      </c>
      <c r="N36" s="100">
        <v>192.42080999999871</v>
      </c>
      <c r="O36" s="100">
        <v>0</v>
      </c>
      <c r="P36" s="10">
        <v>0.50666666666666671</v>
      </c>
      <c r="Q36" s="6">
        <v>82</v>
      </c>
      <c r="R36" s="6">
        <v>0</v>
      </c>
      <c r="S36" s="6">
        <v>11</v>
      </c>
      <c r="T36" s="6">
        <v>0</v>
      </c>
      <c r="U36" s="6">
        <v>0</v>
      </c>
      <c r="V36" s="6">
        <v>0</v>
      </c>
      <c r="W36" s="6">
        <v>0</v>
      </c>
      <c r="X36" s="9">
        <v>80184.016000000003</v>
      </c>
      <c r="Y36" s="9">
        <v>4.1155334499584049E-3</v>
      </c>
      <c r="Z36" s="9">
        <v>-1151.0044999999918</v>
      </c>
      <c r="AA36" s="132">
        <v>54810.002835000014</v>
      </c>
      <c r="AB36" s="132">
        <v>20.79</v>
      </c>
      <c r="AC36" s="11">
        <v>1.0396898082919062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1071324</v>
      </c>
      <c r="G37" s="8" t="s">
        <v>686</v>
      </c>
      <c r="H37" s="129">
        <v>8398.9587083562747</v>
      </c>
      <c r="I37" s="129">
        <v>907.08754050247762</v>
      </c>
      <c r="J37" s="9">
        <v>0</v>
      </c>
      <c r="K37" s="9">
        <v>2795</v>
      </c>
      <c r="L37" s="100">
        <v>301.86</v>
      </c>
      <c r="M37" s="10">
        <v>0.33277934766118145</v>
      </c>
      <c r="N37" s="100">
        <v>605.22754050247761</v>
      </c>
      <c r="O37" s="100">
        <v>13.96921076905786</v>
      </c>
      <c r="P37" s="10">
        <v>1.5575671398536322</v>
      </c>
      <c r="Q37" s="6">
        <v>17</v>
      </c>
      <c r="R37" s="6">
        <v>0</v>
      </c>
      <c r="S37" s="6">
        <v>7</v>
      </c>
      <c r="T37" s="6">
        <v>0</v>
      </c>
      <c r="U37" s="6">
        <v>0</v>
      </c>
      <c r="V37" s="6">
        <v>0</v>
      </c>
      <c r="W37" s="6">
        <v>0</v>
      </c>
      <c r="X37" s="9">
        <v>8398.9587083562747</v>
      </c>
      <c r="Y37" s="9">
        <v>2.500309946649306E-2</v>
      </c>
      <c r="Z37" s="9">
        <v>5586.9587083562747</v>
      </c>
      <c r="AA37" s="132">
        <v>44262.512393037563</v>
      </c>
      <c r="AB37" s="132">
        <v>36.89</v>
      </c>
      <c r="AC37" s="11">
        <v>0.3348034080941833</v>
      </c>
      <c r="AD37" s="71"/>
      <c r="AE37" s="71">
        <v>87.428449744463364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805</v>
      </c>
    </row>
    <row r="38" spans="1:62" ht="12.75" customHeight="1" x14ac:dyDescent="0.35">
      <c r="A38" s="118"/>
      <c r="B38" s="30" t="s">
        <v>1</v>
      </c>
      <c r="C38" s="6" t="s">
        <v>50</v>
      </c>
      <c r="D38" s="116" t="s">
        <v>320</v>
      </c>
      <c r="E38" s="6" t="s">
        <v>402</v>
      </c>
      <c r="F38" s="6">
        <v>1060797</v>
      </c>
      <c r="G38" s="8" t="s">
        <v>434</v>
      </c>
      <c r="H38" s="129">
        <v>16833.602340139307</v>
      </c>
      <c r="I38" s="129">
        <v>3030.0484212250749</v>
      </c>
      <c r="J38" s="9">
        <v>0</v>
      </c>
      <c r="K38" s="9">
        <v>4851</v>
      </c>
      <c r="L38" s="100">
        <v>873.18</v>
      </c>
      <c r="M38" s="10">
        <v>0.2967279313762537</v>
      </c>
      <c r="N38" s="100">
        <v>2156.8684212250751</v>
      </c>
      <c r="O38" s="100">
        <v>0</v>
      </c>
      <c r="P38" s="10">
        <v>0.40879748567684676</v>
      </c>
      <c r="Q38" s="6">
        <v>272</v>
      </c>
      <c r="R38" s="6">
        <v>144</v>
      </c>
      <c r="S38" s="6">
        <v>101</v>
      </c>
      <c r="T38" s="6">
        <v>0</v>
      </c>
      <c r="U38" s="6">
        <v>0</v>
      </c>
      <c r="V38" s="6">
        <v>0</v>
      </c>
      <c r="W38" s="6">
        <v>0</v>
      </c>
      <c r="X38" s="9">
        <v>16833.602340139307</v>
      </c>
      <c r="Y38" s="9">
        <v>0.17999712353754729</v>
      </c>
      <c r="Z38" s="9">
        <v>11710.602340139307</v>
      </c>
      <c r="AA38" s="132">
        <v>115646.84807675704</v>
      </c>
      <c r="AB38" s="132">
        <v>693.87</v>
      </c>
      <c r="AC38" s="11">
        <v>0.30433177025836788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9</v>
      </c>
      <c r="C39" s="6" t="s">
        <v>5</v>
      </c>
      <c r="D39" s="116" t="s">
        <v>308</v>
      </c>
      <c r="E39" s="6" t="s">
        <v>803</v>
      </c>
      <c r="F39" s="6">
        <v>1079783</v>
      </c>
      <c r="G39" s="205" t="s">
        <v>804</v>
      </c>
      <c r="H39" s="129">
        <v>1070</v>
      </c>
      <c r="I39" s="129">
        <v>535</v>
      </c>
      <c r="J39" s="9">
        <v>0</v>
      </c>
      <c r="K39" s="9">
        <v>460</v>
      </c>
      <c r="L39" s="100">
        <v>230</v>
      </c>
      <c r="M39" s="10">
        <v>0.42990654205607476</v>
      </c>
      <c r="N39" s="100">
        <v>305</v>
      </c>
      <c r="O39" s="100">
        <v>0</v>
      </c>
      <c r="P39" s="10">
        <v>0</v>
      </c>
      <c r="Q39" s="6">
        <v>16</v>
      </c>
      <c r="R39" s="6">
        <v>0</v>
      </c>
      <c r="S39" s="6">
        <v>16</v>
      </c>
      <c r="T39" s="6">
        <v>0</v>
      </c>
      <c r="U39" s="6">
        <v>0</v>
      </c>
      <c r="V39" s="6">
        <v>0</v>
      </c>
      <c r="W39" s="6">
        <v>0</v>
      </c>
      <c r="X39" s="9">
        <v>1226.6666666666667</v>
      </c>
      <c r="Y39" s="9">
        <v>0.39130434782608692</v>
      </c>
      <c r="Z39" s="9">
        <v>594</v>
      </c>
      <c r="AA39" s="132">
        <v>22534.199999999997</v>
      </c>
      <c r="AB39" s="132">
        <v>336.96</v>
      </c>
      <c r="AC39" s="11">
        <v>0.44485981308411215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/>
    </row>
    <row r="40" spans="1:62" ht="12.75" customHeight="1" x14ac:dyDescent="0.35">
      <c r="A40" s="118"/>
      <c r="B40" s="30">
        <v>0</v>
      </c>
      <c r="C40" s="6" t="s">
        <v>5</v>
      </c>
      <c r="D40" s="116" t="s">
        <v>318</v>
      </c>
      <c r="E40" s="6" t="s">
        <v>319</v>
      </c>
      <c r="F40" s="120">
        <v>1079428</v>
      </c>
      <c r="G40" s="121" t="s">
        <v>734</v>
      </c>
      <c r="H40" s="129">
        <v>10000</v>
      </c>
      <c r="I40" s="129">
        <v>8000</v>
      </c>
      <c r="J40" s="9">
        <v>0</v>
      </c>
      <c r="K40" s="9">
        <v>20004</v>
      </c>
      <c r="L40" s="100">
        <v>16003.2</v>
      </c>
      <c r="M40" s="10">
        <v>2.0004</v>
      </c>
      <c r="N40" s="100">
        <v>8003.2000000000007</v>
      </c>
      <c r="O40" s="100">
        <v>0</v>
      </c>
      <c r="P40" s="10">
        <v>0</v>
      </c>
      <c r="Q40" s="6">
        <v>1176</v>
      </c>
      <c r="R40" s="6">
        <v>0</v>
      </c>
      <c r="S40" s="6">
        <v>1176</v>
      </c>
      <c r="T40" s="6">
        <v>0</v>
      </c>
      <c r="U40" s="6">
        <v>0</v>
      </c>
      <c r="V40" s="6">
        <v>0</v>
      </c>
      <c r="W40" s="6">
        <v>0</v>
      </c>
      <c r="X40" s="9">
        <v>53344</v>
      </c>
      <c r="Y40" s="9">
        <v>0.66136772645470909</v>
      </c>
      <c r="Z40" s="9">
        <v>-11180</v>
      </c>
      <c r="AA40" s="132">
        <v>77800</v>
      </c>
      <c r="AB40" s="132">
        <v>9149.2800000000007</v>
      </c>
      <c r="AC40" s="11">
        <v>2.1180000000000003</v>
      </c>
      <c r="AD40" s="72"/>
      <c r="AE40" s="71" t="s">
        <v>574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21</v>
      </c>
      <c r="C41" s="6" t="s">
        <v>2</v>
      </c>
      <c r="D41" s="116" t="s">
        <v>308</v>
      </c>
      <c r="E41" s="6" t="s">
        <v>395</v>
      </c>
      <c r="F41" s="61">
        <v>1070484</v>
      </c>
      <c r="G41" s="70" t="s">
        <v>615</v>
      </c>
      <c r="H41" s="129">
        <v>1800</v>
      </c>
      <c r="I41" s="129">
        <v>170.1</v>
      </c>
      <c r="J41" s="9">
        <v>0</v>
      </c>
      <c r="K41" s="9">
        <v>879</v>
      </c>
      <c r="L41" s="100">
        <v>83.0655</v>
      </c>
      <c r="M41" s="10">
        <v>0.74833333333333329</v>
      </c>
      <c r="N41" s="100">
        <v>87.034499999999994</v>
      </c>
      <c r="O41" s="100">
        <v>0</v>
      </c>
      <c r="P41" s="10">
        <v>0.46443305781390104</v>
      </c>
      <c r="Q41" s="6">
        <v>933</v>
      </c>
      <c r="R41" s="6">
        <v>468</v>
      </c>
      <c r="S41" s="6">
        <v>419</v>
      </c>
      <c r="T41" s="6">
        <v>0</v>
      </c>
      <c r="U41" s="6">
        <v>0</v>
      </c>
      <c r="V41" s="6">
        <v>0</v>
      </c>
      <c r="W41" s="6">
        <v>0</v>
      </c>
      <c r="X41" s="9">
        <v>3592</v>
      </c>
      <c r="Y41" s="9">
        <v>3.4994432071269488</v>
      </c>
      <c r="Z41" s="9">
        <v>-12</v>
      </c>
      <c r="AA41" s="132">
        <v>13968</v>
      </c>
      <c r="AB41" s="132">
        <v>3251.44</v>
      </c>
      <c r="AC41" s="11">
        <v>1.0066666666666666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5</v>
      </c>
      <c r="D42" s="6" t="s">
        <v>308</v>
      </c>
      <c r="E42" s="6" t="s">
        <v>307</v>
      </c>
      <c r="F42" s="96">
        <v>1082266</v>
      </c>
      <c r="G42" s="97" t="s">
        <v>756</v>
      </c>
      <c r="H42" s="129">
        <v>119460</v>
      </c>
      <c r="I42" s="129">
        <v>0</v>
      </c>
      <c r="J42" s="9">
        <v>0</v>
      </c>
      <c r="K42" s="9">
        <v>10480</v>
      </c>
      <c r="L42" s="100">
        <v>0</v>
      </c>
      <c r="M42" s="10">
        <v>0.30269546291645738</v>
      </c>
      <c r="N42" s="100">
        <v>0</v>
      </c>
      <c r="O42" s="100">
        <v>0</v>
      </c>
      <c r="P42" s="10">
        <v>0</v>
      </c>
      <c r="Q42" s="6">
        <v>37560</v>
      </c>
      <c r="R42" s="6">
        <v>25680</v>
      </c>
      <c r="S42" s="6">
        <v>11860</v>
      </c>
      <c r="T42" s="6">
        <v>0</v>
      </c>
      <c r="U42" s="6">
        <v>0</v>
      </c>
      <c r="V42" s="6">
        <v>0</v>
      </c>
      <c r="W42" s="6">
        <v>0</v>
      </c>
      <c r="X42" s="9">
        <v>119460</v>
      </c>
      <c r="Y42" s="9">
        <v>2.9784028126569564</v>
      </c>
      <c r="Z42" s="9">
        <v>71420</v>
      </c>
      <c r="AA42" s="132">
        <v>897144.6</v>
      </c>
      <c r="AB42" s="132">
        <v>89068.599999999991</v>
      </c>
      <c r="AC42" s="11">
        <v>0.4021429767286121</v>
      </c>
      <c r="AD42" s="71"/>
      <c r="AE42" s="71" t="s">
        <v>574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31</v>
      </c>
      <c r="C43" s="6" t="s">
        <v>5</v>
      </c>
      <c r="D43" s="6" t="s">
        <v>306</v>
      </c>
      <c r="E43" s="6" t="s">
        <v>307</v>
      </c>
      <c r="F43" s="6">
        <v>1074077</v>
      </c>
      <c r="G43" s="8" t="s">
        <v>696</v>
      </c>
      <c r="H43" s="129">
        <v>50474.663472302091</v>
      </c>
      <c r="I43" s="129">
        <v>9388.2874058481884</v>
      </c>
      <c r="J43" s="9">
        <v>0</v>
      </c>
      <c r="K43" s="9">
        <v>6627</v>
      </c>
      <c r="L43" s="100">
        <v>1232.6220000000001</v>
      </c>
      <c r="M43" s="10">
        <v>0.13509748319058962</v>
      </c>
      <c r="N43" s="100">
        <v>8155.6654058481881</v>
      </c>
      <c r="O43" s="100">
        <v>0</v>
      </c>
      <c r="P43" s="10">
        <v>0.81202239874358628</v>
      </c>
      <c r="Q43" s="6">
        <v>6298</v>
      </c>
      <c r="R43" s="6">
        <v>192</v>
      </c>
      <c r="S43" s="6">
        <v>6088</v>
      </c>
      <c r="T43" s="6">
        <v>0</v>
      </c>
      <c r="U43" s="6">
        <v>0</v>
      </c>
      <c r="V43" s="6">
        <v>0</v>
      </c>
      <c r="W43" s="6">
        <v>0</v>
      </c>
      <c r="X43" s="9">
        <v>50474.663472302091</v>
      </c>
      <c r="Y43" s="9">
        <v>3.6184490878324227</v>
      </c>
      <c r="Z43" s="9">
        <v>37549.663472302091</v>
      </c>
      <c r="AA43" s="132">
        <v>160509.42984192065</v>
      </c>
      <c r="AB43" s="132">
        <v>19359.84</v>
      </c>
      <c r="AC43" s="11">
        <v>0.2560690673468794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 t="s">
        <v>1</v>
      </c>
      <c r="BJ43" s="31" t="s">
        <v>810</v>
      </c>
    </row>
    <row r="44" spans="1:62" ht="12.5" customHeight="1" x14ac:dyDescent="0.35">
      <c r="A44" s="118"/>
      <c r="B44" s="30" t="s">
        <v>1</v>
      </c>
      <c r="C44" s="6" t="s">
        <v>24</v>
      </c>
      <c r="D44" s="6" t="s">
        <v>316</v>
      </c>
      <c r="E44" s="6" t="s">
        <v>400</v>
      </c>
      <c r="F44" s="6">
        <v>1024997</v>
      </c>
      <c r="G44" s="8" t="s">
        <v>62</v>
      </c>
      <c r="H44" s="129">
        <v>64206.610054715675</v>
      </c>
      <c r="I44" s="129">
        <v>13611.801331599723</v>
      </c>
      <c r="J44" s="9">
        <v>0</v>
      </c>
      <c r="K44" s="9">
        <v>45400</v>
      </c>
      <c r="L44" s="100">
        <v>9624.7999999999993</v>
      </c>
      <c r="M44" s="10">
        <v>0.71114173386648816</v>
      </c>
      <c r="N44" s="100">
        <v>3987.0013315997239</v>
      </c>
      <c r="O44" s="100">
        <v>0</v>
      </c>
      <c r="P44" s="10">
        <v>0.65575821224895914</v>
      </c>
      <c r="Q44" s="6">
        <v>21941</v>
      </c>
      <c r="R44" s="6">
        <v>260</v>
      </c>
      <c r="S44" s="6">
        <v>21654</v>
      </c>
      <c r="T44" s="6">
        <v>0</v>
      </c>
      <c r="U44" s="6">
        <v>0</v>
      </c>
      <c r="V44" s="6">
        <v>0</v>
      </c>
      <c r="W44" s="6">
        <v>5</v>
      </c>
      <c r="X44" s="9">
        <v>121760</v>
      </c>
      <c r="Y44" s="9">
        <v>5.3352496714848883</v>
      </c>
      <c r="Z44" s="9">
        <v>-3134.3899452843252</v>
      </c>
      <c r="AA44" s="132">
        <v>325527.51297740848</v>
      </c>
      <c r="AB44" s="132">
        <v>109811.13</v>
      </c>
      <c r="AC44" s="11">
        <v>1.0488172470500039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 t="s">
        <v>812</v>
      </c>
    </row>
    <row r="45" spans="1:62" ht="12.75" customHeight="1" x14ac:dyDescent="0.35">
      <c r="A45" s="118"/>
      <c r="B45" s="30" t="s">
        <v>1</v>
      </c>
      <c r="C45" s="6" t="s">
        <v>24</v>
      </c>
      <c r="D45" s="6" t="s">
        <v>316</v>
      </c>
      <c r="E45" s="6" t="s">
        <v>317</v>
      </c>
      <c r="F45" s="6">
        <v>1070881</v>
      </c>
      <c r="G45" s="8" t="s">
        <v>684</v>
      </c>
      <c r="H45" s="129">
        <v>817.98821238750725</v>
      </c>
      <c r="I45" s="129">
        <v>88.342726937850784</v>
      </c>
      <c r="J45" s="9">
        <v>0</v>
      </c>
      <c r="K45" s="9">
        <v>673</v>
      </c>
      <c r="L45" s="100">
        <v>72.683999999999997</v>
      </c>
      <c r="M45" s="10">
        <v>0.86676065652658085</v>
      </c>
      <c r="N45" s="100">
        <v>15.658726937850787</v>
      </c>
      <c r="O45" s="100">
        <v>15.753558310988762</v>
      </c>
      <c r="P45" s="10">
        <v>1.6346414618561793</v>
      </c>
      <c r="Q45" s="6">
        <v>422</v>
      </c>
      <c r="R45" s="6">
        <v>36</v>
      </c>
      <c r="S45" s="6">
        <v>383</v>
      </c>
      <c r="T45" s="6">
        <v>0</v>
      </c>
      <c r="U45" s="6">
        <v>0</v>
      </c>
      <c r="V45" s="6">
        <v>0</v>
      </c>
      <c r="W45" s="6">
        <v>0</v>
      </c>
      <c r="X45" s="9">
        <v>1890.6666666666667</v>
      </c>
      <c r="Y45" s="9">
        <v>6.0772214386459797</v>
      </c>
      <c r="Z45" s="9">
        <v>-277.01178761249275</v>
      </c>
      <c r="AA45" s="132">
        <v>4335.3375256537884</v>
      </c>
      <c r="AB45" s="132">
        <v>2029.8999999999999</v>
      </c>
      <c r="AC45" s="11">
        <v>1.3386500971743385</v>
      </c>
      <c r="AD45" s="71"/>
      <c r="AE45" s="71" t="s">
        <v>574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15</v>
      </c>
      <c r="C46" s="6" t="s">
        <v>5</v>
      </c>
      <c r="D46" s="6" t="s">
        <v>308</v>
      </c>
      <c r="E46" s="6" t="s">
        <v>315</v>
      </c>
      <c r="F46" s="6">
        <v>1073438</v>
      </c>
      <c r="G46" s="8" t="s">
        <v>634</v>
      </c>
      <c r="H46" s="129">
        <v>45954.882033875074</v>
      </c>
      <c r="I46" s="129">
        <v>17646.674701008029</v>
      </c>
      <c r="J46" s="9">
        <v>0</v>
      </c>
      <c r="K46" s="9">
        <v>19731</v>
      </c>
      <c r="L46" s="100">
        <v>7576.7039999999997</v>
      </c>
      <c r="M46" s="10">
        <v>0.45442397142062846</v>
      </c>
      <c r="N46" s="100">
        <v>10069.970701008029</v>
      </c>
      <c r="O46" s="100">
        <v>0</v>
      </c>
      <c r="P46" s="10">
        <v>0</v>
      </c>
      <c r="Q46" s="6">
        <v>12811</v>
      </c>
      <c r="R46" s="6">
        <v>1152</v>
      </c>
      <c r="S46" s="6">
        <v>11621</v>
      </c>
      <c r="T46" s="6">
        <v>5400</v>
      </c>
      <c r="U46" s="6">
        <v>0</v>
      </c>
      <c r="V46" s="6">
        <v>0</v>
      </c>
      <c r="W46" s="6">
        <v>0</v>
      </c>
      <c r="X46" s="9">
        <v>55687.999999999993</v>
      </c>
      <c r="Y46" s="9">
        <v>6.2604151702341619</v>
      </c>
      <c r="Z46" s="9">
        <v>8012.8820338750738</v>
      </c>
      <c r="AA46" s="132">
        <v>286758.46389138047</v>
      </c>
      <c r="AB46" s="132">
        <v>106211.04000000001</v>
      </c>
      <c r="AC46" s="11">
        <v>0.82563589156929018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 t="s">
        <v>807</v>
      </c>
    </row>
    <row r="47" spans="1:62" ht="12.5" customHeight="1" x14ac:dyDescent="0.35">
      <c r="A47" s="118"/>
      <c r="B47" s="30" t="s">
        <v>21</v>
      </c>
      <c r="C47" s="6" t="s">
        <v>5</v>
      </c>
      <c r="D47" s="6" t="s">
        <v>396</v>
      </c>
      <c r="E47" s="6" t="s">
        <v>307</v>
      </c>
      <c r="F47" s="6">
        <v>1058296</v>
      </c>
      <c r="G47" s="8" t="s">
        <v>249</v>
      </c>
      <c r="H47" s="129">
        <v>5803.4381918460649</v>
      </c>
      <c r="I47" s="129">
        <v>2901.7190959230325</v>
      </c>
      <c r="J47" s="9">
        <v>0</v>
      </c>
      <c r="K47" s="9">
        <v>1530</v>
      </c>
      <c r="L47" s="100">
        <v>765</v>
      </c>
      <c r="M47" s="10">
        <v>0.26915079447122192</v>
      </c>
      <c r="N47" s="100">
        <v>2136.7190959230325</v>
      </c>
      <c r="O47" s="100">
        <v>0</v>
      </c>
      <c r="P47" s="10">
        <v>0.40700647800886469</v>
      </c>
      <c r="Q47" s="6">
        <v>1110</v>
      </c>
      <c r="R47" s="6">
        <v>32</v>
      </c>
      <c r="S47" s="6">
        <v>1046</v>
      </c>
      <c r="T47" s="6">
        <v>0</v>
      </c>
      <c r="U47" s="6">
        <v>0</v>
      </c>
      <c r="V47" s="6">
        <v>2752</v>
      </c>
      <c r="W47" s="6">
        <v>0</v>
      </c>
      <c r="X47" s="9">
        <v>5803.4381918460649</v>
      </c>
      <c r="Y47" s="9">
        <v>5.4071395201708992</v>
      </c>
      <c r="Z47" s="9">
        <v>3163.4381918460649</v>
      </c>
      <c r="AA47" s="132">
        <v>32209.081964745659</v>
      </c>
      <c r="AB47" s="132">
        <v>21078.899999999998</v>
      </c>
      <c r="AC47" s="11">
        <v>0.45490275121896662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/>
      <c r="BJ47" s="31"/>
    </row>
    <row r="48" spans="1:62" ht="12.5" customHeight="1" x14ac:dyDescent="0.35">
      <c r="A48" s="118"/>
      <c r="B48" s="30" t="s">
        <v>21</v>
      </c>
      <c r="C48" s="6" t="s">
        <v>5</v>
      </c>
      <c r="D48" s="6" t="s">
        <v>396</v>
      </c>
      <c r="E48" s="6" t="s">
        <v>307</v>
      </c>
      <c r="F48" s="123">
        <v>1082268</v>
      </c>
      <c r="G48" s="124" t="s">
        <v>773</v>
      </c>
      <c r="H48" s="129">
        <v>7988.1708583734708</v>
      </c>
      <c r="I48" s="129">
        <v>1597.6341716746942</v>
      </c>
      <c r="J48" s="9">
        <v>0</v>
      </c>
      <c r="K48" s="9">
        <v>4352</v>
      </c>
      <c r="L48" s="100">
        <v>870.40000000000009</v>
      </c>
      <c r="M48" s="10">
        <v>0.59087369107188492</v>
      </c>
      <c r="N48" s="100">
        <v>727.23417167469415</v>
      </c>
      <c r="O48" s="100">
        <v>9.3501538754522819</v>
      </c>
      <c r="P48" s="10">
        <v>1.3814837542702303</v>
      </c>
      <c r="Q48" s="6">
        <v>3388</v>
      </c>
      <c r="R48" s="6">
        <v>368</v>
      </c>
      <c r="S48" s="6">
        <v>3004</v>
      </c>
      <c r="T48" s="6">
        <v>0</v>
      </c>
      <c r="U48" s="6">
        <v>0</v>
      </c>
      <c r="V48" s="6">
        <v>0</v>
      </c>
      <c r="W48" s="6">
        <v>0</v>
      </c>
      <c r="X48" s="9">
        <v>12586.666666666666</v>
      </c>
      <c r="Y48" s="9">
        <v>7.1599576271186445</v>
      </c>
      <c r="Z48" s="9">
        <v>248.17085837347076</v>
      </c>
      <c r="AA48" s="132">
        <v>19251.491768680065</v>
      </c>
      <c r="AB48" s="132">
        <v>7239.64</v>
      </c>
      <c r="AC48" s="11">
        <v>0.9689327052746588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38</v>
      </c>
      <c r="C49" s="6" t="s">
        <v>5</v>
      </c>
      <c r="D49" s="6" t="s">
        <v>308</v>
      </c>
      <c r="E49" s="6" t="s">
        <v>405</v>
      </c>
      <c r="F49" s="6">
        <v>1059307</v>
      </c>
      <c r="G49" s="8" t="s">
        <v>269</v>
      </c>
      <c r="H49" s="129">
        <v>7177.6696668502018</v>
      </c>
      <c r="I49" s="129">
        <v>3588.8348334251009</v>
      </c>
      <c r="J49" s="9">
        <v>0</v>
      </c>
      <c r="K49" s="9">
        <v>3509</v>
      </c>
      <c r="L49" s="100">
        <v>1754.5</v>
      </c>
      <c r="M49" s="10">
        <v>0.49723659149198418</v>
      </c>
      <c r="N49" s="100">
        <v>1834.3348334251009</v>
      </c>
      <c r="O49" s="100">
        <v>6.1651690913074582</v>
      </c>
      <c r="P49" s="10">
        <v>1.2243021095393767</v>
      </c>
      <c r="Q49" s="6">
        <v>2450</v>
      </c>
      <c r="R49" s="6">
        <v>60</v>
      </c>
      <c r="S49" s="6">
        <v>2366</v>
      </c>
      <c r="T49" s="6">
        <v>0</v>
      </c>
      <c r="U49" s="6">
        <v>0</v>
      </c>
      <c r="V49" s="6">
        <v>0</v>
      </c>
      <c r="W49" s="6">
        <v>0</v>
      </c>
      <c r="X49" s="9">
        <v>9517.3333333333339</v>
      </c>
      <c r="Y49" s="9">
        <v>7.4579714205659844</v>
      </c>
      <c r="Z49" s="9">
        <v>1218.6696668502018</v>
      </c>
      <c r="AA49" s="132">
        <v>42061.144247742188</v>
      </c>
      <c r="AB49" s="132">
        <v>13864.76</v>
      </c>
      <c r="AC49" s="11">
        <v>0.8302137429814328</v>
      </c>
      <c r="AD49" s="71"/>
      <c r="AE49" s="71">
        <v>20.158570908248073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306</v>
      </c>
      <c r="E50" s="6" t="s">
        <v>401</v>
      </c>
      <c r="F50" s="61">
        <v>1076365</v>
      </c>
      <c r="G50" s="70" t="s">
        <v>724</v>
      </c>
      <c r="H50" s="129">
        <v>14302.728100824259</v>
      </c>
      <c r="I50" s="129">
        <v>12872.455290741833</v>
      </c>
      <c r="J50" s="9">
        <v>0</v>
      </c>
      <c r="K50" s="9">
        <v>2399</v>
      </c>
      <c r="L50" s="100">
        <v>2159.1</v>
      </c>
      <c r="M50" s="10">
        <v>0.1908027601980862</v>
      </c>
      <c r="N50" s="100">
        <v>10713.355290741833</v>
      </c>
      <c r="O50" s="100">
        <v>0</v>
      </c>
      <c r="P50" s="10">
        <v>0</v>
      </c>
      <c r="Q50" s="6">
        <v>3305</v>
      </c>
      <c r="R50" s="6">
        <v>330</v>
      </c>
      <c r="S50" s="6">
        <v>2952</v>
      </c>
      <c r="T50" s="6">
        <v>0</v>
      </c>
      <c r="U50" s="6">
        <v>0</v>
      </c>
      <c r="V50" s="6">
        <v>0</v>
      </c>
      <c r="W50" s="6">
        <v>4428</v>
      </c>
      <c r="X50" s="9">
        <v>14302.728100824259</v>
      </c>
      <c r="Y50" s="9">
        <v>6.1918257395172276</v>
      </c>
      <c r="Z50" s="9">
        <v>8598.7281008242589</v>
      </c>
      <c r="AA50" s="132">
        <v>267604.04276642192</v>
      </c>
      <c r="AB50" s="132">
        <v>138079.80000000002</v>
      </c>
      <c r="AC50" s="11">
        <v>0.39880503633927578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1</v>
      </c>
      <c r="C51" s="6" t="s">
        <v>2</v>
      </c>
      <c r="D51" s="6" t="s">
        <v>306</v>
      </c>
      <c r="E51" s="6" t="s">
        <v>401</v>
      </c>
      <c r="F51" s="6">
        <v>1077615</v>
      </c>
      <c r="G51" s="8" t="s">
        <v>725</v>
      </c>
      <c r="H51" s="129">
        <v>3848.7630089802624</v>
      </c>
      <c r="I51" s="129">
        <v>2116.8196549391446</v>
      </c>
      <c r="J51" s="9">
        <v>0</v>
      </c>
      <c r="K51" s="9">
        <v>1764</v>
      </c>
      <c r="L51" s="100">
        <v>970.2</v>
      </c>
      <c r="M51" s="10">
        <v>0.46456484741411352</v>
      </c>
      <c r="N51" s="100">
        <v>1146.6196549391445</v>
      </c>
      <c r="O51" s="100">
        <v>4.0771873983883173</v>
      </c>
      <c r="P51" s="10">
        <v>1.1571873474281942</v>
      </c>
      <c r="Q51" s="6">
        <v>1572</v>
      </c>
      <c r="R51" s="6">
        <v>24</v>
      </c>
      <c r="S51" s="6">
        <v>1548</v>
      </c>
      <c r="T51" s="6">
        <v>0</v>
      </c>
      <c r="U51" s="6">
        <v>0</v>
      </c>
      <c r="V51" s="6">
        <v>0</v>
      </c>
      <c r="W51" s="6">
        <v>0</v>
      </c>
      <c r="X51" s="9">
        <v>4768</v>
      </c>
      <c r="Y51" s="9">
        <v>9.7399328859060414</v>
      </c>
      <c r="Z51" s="9">
        <v>512.76300898026238</v>
      </c>
      <c r="AA51" s="132">
        <v>24478.132737114469</v>
      </c>
      <c r="AB51" s="132">
        <v>9845.2800000000007</v>
      </c>
      <c r="AC51" s="11">
        <v>0.86677199718874864</v>
      </c>
      <c r="AD51" s="71"/>
      <c r="AE51" s="71">
        <v>532.11500000000001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1</v>
      </c>
      <c r="C52" s="6" t="s">
        <v>24</v>
      </c>
      <c r="D52" s="6" t="s">
        <v>316</v>
      </c>
      <c r="E52" s="6" t="s">
        <v>400</v>
      </c>
      <c r="F52" s="6">
        <v>1057538</v>
      </c>
      <c r="G52" s="8" t="s">
        <v>450</v>
      </c>
      <c r="H52" s="129">
        <v>5783.2229539555683</v>
      </c>
      <c r="I52" s="129">
        <v>4915.7395108622331</v>
      </c>
      <c r="J52" s="9">
        <v>0</v>
      </c>
      <c r="K52" s="9">
        <v>3693</v>
      </c>
      <c r="L52" s="100">
        <v>3139.0499999999997</v>
      </c>
      <c r="M52" s="10">
        <v>0.72675738657546685</v>
      </c>
      <c r="N52" s="100">
        <v>1776.6895108622334</v>
      </c>
      <c r="O52" s="100">
        <v>25.942455056052843</v>
      </c>
      <c r="P52" s="10">
        <v>57.577142314021508</v>
      </c>
      <c r="Q52" s="6">
        <v>4304</v>
      </c>
      <c r="R52" s="6">
        <v>510</v>
      </c>
      <c r="S52" s="6">
        <v>3770</v>
      </c>
      <c r="T52" s="6">
        <v>0</v>
      </c>
      <c r="U52" s="6">
        <v>0</v>
      </c>
      <c r="V52" s="6">
        <v>0</v>
      </c>
      <c r="W52" s="6">
        <v>0</v>
      </c>
      <c r="X52" s="9">
        <v>11208.000000000002</v>
      </c>
      <c r="Y52" s="9">
        <v>10.091006423982869</v>
      </c>
      <c r="Z52" s="9">
        <v>-2213.7770460444317</v>
      </c>
      <c r="AA52" s="132">
        <v>107047.45687771757</v>
      </c>
      <c r="AB52" s="132">
        <v>69782.700000000012</v>
      </c>
      <c r="AC52" s="11">
        <v>1.3827929622755195</v>
      </c>
      <c r="AD52" s="71"/>
      <c r="AE52" s="71" t="s">
        <v>574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 t="s">
        <v>1</v>
      </c>
      <c r="BJ52" s="31"/>
    </row>
    <row r="53" spans="1:62" ht="12.75" customHeight="1" x14ac:dyDescent="0.35">
      <c r="A53" s="118"/>
      <c r="B53" s="30" t="s">
        <v>9</v>
      </c>
      <c r="C53" s="6" t="s">
        <v>5</v>
      </c>
      <c r="D53" s="6" t="s">
        <v>308</v>
      </c>
      <c r="E53" s="6" t="s">
        <v>803</v>
      </c>
      <c r="F53" s="6">
        <v>1079786</v>
      </c>
      <c r="G53" s="162" t="s">
        <v>809</v>
      </c>
      <c r="H53" s="129">
        <v>500</v>
      </c>
      <c r="I53" s="129">
        <v>250</v>
      </c>
      <c r="J53" s="9">
        <v>0</v>
      </c>
      <c r="K53" s="9">
        <v>1250</v>
      </c>
      <c r="L53" s="100">
        <v>625</v>
      </c>
      <c r="M53" s="10">
        <v>2.5</v>
      </c>
      <c r="N53" s="100">
        <v>375</v>
      </c>
      <c r="O53" s="100">
        <v>0</v>
      </c>
      <c r="P53" s="10">
        <v>0</v>
      </c>
      <c r="Q53" s="6">
        <v>1154</v>
      </c>
      <c r="R53" s="6">
        <v>0</v>
      </c>
      <c r="S53" s="6">
        <v>1154</v>
      </c>
      <c r="T53" s="6">
        <v>0</v>
      </c>
      <c r="U53" s="6">
        <v>0</v>
      </c>
      <c r="V53" s="6">
        <v>0</v>
      </c>
      <c r="W53" s="6">
        <v>0</v>
      </c>
      <c r="X53" s="9">
        <v>3333.3333333333335</v>
      </c>
      <c r="Y53" s="9">
        <v>10.386000000000001</v>
      </c>
      <c r="Z53" s="9">
        <v>-1904</v>
      </c>
      <c r="AA53" s="132">
        <v>12555</v>
      </c>
      <c r="AB53" s="132">
        <v>28976.94</v>
      </c>
      <c r="AC53" s="11">
        <v>4.8079999999999998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2"/>
      <c r="BJ53" s="31"/>
    </row>
    <row r="54" spans="1:62" ht="12.75" customHeight="1" x14ac:dyDescent="0.35">
      <c r="A54" s="118"/>
      <c r="B54" s="30" t="s">
        <v>4</v>
      </c>
      <c r="C54" s="6" t="s">
        <v>5</v>
      </c>
      <c r="D54" s="6" t="s">
        <v>308</v>
      </c>
      <c r="E54" s="6" t="s">
        <v>314</v>
      </c>
      <c r="F54" s="6">
        <v>1075503</v>
      </c>
      <c r="G54" s="8" t="s">
        <v>643</v>
      </c>
      <c r="H54" s="129">
        <v>199260</v>
      </c>
      <c r="I54" s="129">
        <v>39852</v>
      </c>
      <c r="J54" s="9">
        <v>0</v>
      </c>
      <c r="K54" s="9">
        <v>98768</v>
      </c>
      <c r="L54" s="100">
        <v>19753.600000000002</v>
      </c>
      <c r="M54" s="10">
        <v>0.50771855866706816</v>
      </c>
      <c r="N54" s="100">
        <v>20098.399999999998</v>
      </c>
      <c r="O54" s="100">
        <v>88.769985438621376</v>
      </c>
      <c r="P54" s="10">
        <v>4.3817138451500206</v>
      </c>
      <c r="Q54" s="6">
        <v>102542</v>
      </c>
      <c r="R54" s="6">
        <v>2400</v>
      </c>
      <c r="S54" s="6">
        <v>100123</v>
      </c>
      <c r="T54" s="6">
        <v>12915</v>
      </c>
      <c r="U54" s="6">
        <v>0</v>
      </c>
      <c r="V54" s="6">
        <v>0</v>
      </c>
      <c r="W54" s="6">
        <v>0</v>
      </c>
      <c r="X54" s="9">
        <v>269781.33333333331</v>
      </c>
      <c r="Y54" s="9">
        <v>11.133794777004587</v>
      </c>
      <c r="Z54" s="9">
        <v>-14965</v>
      </c>
      <c r="AA54" s="132">
        <v>462283.19999999995</v>
      </c>
      <c r="AB54" s="132">
        <v>262248.15999999997</v>
      </c>
      <c r="AC54" s="11">
        <v>1.0751028806584362</v>
      </c>
      <c r="AD54" s="71"/>
      <c r="AE54" s="71">
        <v>70.03012048192771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22</v>
      </c>
      <c r="C55" s="6" t="s">
        <v>5</v>
      </c>
      <c r="D55" s="6" t="s">
        <v>396</v>
      </c>
      <c r="E55" s="6" t="s">
        <v>397</v>
      </c>
      <c r="F55" s="6">
        <v>1051097</v>
      </c>
      <c r="G55" s="4" t="s">
        <v>187</v>
      </c>
      <c r="H55" s="129">
        <v>1764.3759247823864</v>
      </c>
      <c r="I55" s="129">
        <v>1764.3759247823864</v>
      </c>
      <c r="J55" s="9">
        <v>0</v>
      </c>
      <c r="K55" s="9">
        <v>1341</v>
      </c>
      <c r="L55" s="100">
        <v>1341</v>
      </c>
      <c r="M55" s="10">
        <v>0.76004210960053509</v>
      </c>
      <c r="N55" s="100">
        <v>423.37592478238639</v>
      </c>
      <c r="O55" s="100">
        <v>10.494908900179723</v>
      </c>
      <c r="P55" s="10">
        <v>1.3575879419751062</v>
      </c>
      <c r="Q55" s="6">
        <v>1334</v>
      </c>
      <c r="R55" s="6">
        <v>0</v>
      </c>
      <c r="S55" s="6">
        <v>1329</v>
      </c>
      <c r="T55" s="6">
        <v>0</v>
      </c>
      <c r="U55" s="6">
        <v>0</v>
      </c>
      <c r="V55" s="6">
        <v>0</v>
      </c>
      <c r="W55" s="6">
        <v>0</v>
      </c>
      <c r="X55" s="9">
        <v>3576</v>
      </c>
      <c r="Y55" s="9">
        <v>11.149328859060402</v>
      </c>
      <c r="Z55" s="9">
        <v>-910.62407521761361</v>
      </c>
      <c r="AA55" s="132">
        <v>35922.693828569383</v>
      </c>
      <c r="AB55" s="132">
        <v>27058.44</v>
      </c>
      <c r="AC55" s="11">
        <v>1.5161168107244083</v>
      </c>
      <c r="AD55" s="71"/>
      <c r="AE55" s="71">
        <v>163.25564506978327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1</v>
      </c>
      <c r="C56" s="6" t="s">
        <v>2</v>
      </c>
      <c r="D56" s="6" t="s">
        <v>310</v>
      </c>
      <c r="E56" s="6" t="s">
        <v>311</v>
      </c>
      <c r="F56" s="123">
        <v>1080749</v>
      </c>
      <c r="G56" s="124" t="s">
        <v>769</v>
      </c>
      <c r="H56" s="173">
        <v>7737.0674500905316</v>
      </c>
      <c r="I56" s="129">
        <v>1392.6721410162957</v>
      </c>
      <c r="J56" s="9">
        <v>0</v>
      </c>
      <c r="K56" s="9">
        <v>5242</v>
      </c>
      <c r="L56" s="100">
        <v>943.56</v>
      </c>
      <c r="M56" s="10">
        <v>0.70543523566362809</v>
      </c>
      <c r="N56" s="100">
        <v>449.11214101629571</v>
      </c>
      <c r="O56" s="100">
        <v>0</v>
      </c>
      <c r="P56" s="10">
        <v>0</v>
      </c>
      <c r="Q56" s="6">
        <v>5790</v>
      </c>
      <c r="R56" s="6">
        <v>216</v>
      </c>
      <c r="S56" s="6">
        <v>5546</v>
      </c>
      <c r="T56" s="6">
        <v>0</v>
      </c>
      <c r="U56" s="6">
        <v>0</v>
      </c>
      <c r="V56" s="6">
        <v>0</v>
      </c>
      <c r="W56" s="6">
        <v>3</v>
      </c>
      <c r="X56" s="9">
        <v>14554.666666666666</v>
      </c>
      <c r="Y56" s="9">
        <v>11.431385122755588</v>
      </c>
      <c r="Z56" s="9">
        <v>-3294.9325499094684</v>
      </c>
      <c r="AA56" s="132">
        <v>30716.157776859411</v>
      </c>
      <c r="AB56" s="132">
        <v>22029.530000000002</v>
      </c>
      <c r="AC56" s="11">
        <v>1.4258632319239912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 t="s">
        <v>821</v>
      </c>
    </row>
    <row r="57" spans="1:62" ht="14" customHeight="1" x14ac:dyDescent="0.35">
      <c r="A57" s="118"/>
      <c r="B57" s="30" t="s">
        <v>31</v>
      </c>
      <c r="C57" s="6" t="s">
        <v>5</v>
      </c>
      <c r="D57" s="6" t="s">
        <v>306</v>
      </c>
      <c r="E57" s="6" t="s">
        <v>404</v>
      </c>
      <c r="F57" s="6">
        <v>1072597</v>
      </c>
      <c r="G57" s="8" t="s">
        <v>611</v>
      </c>
      <c r="H57" s="129">
        <v>1286.8377610651905</v>
      </c>
      <c r="I57" s="129">
        <v>643.41888053259527</v>
      </c>
      <c r="J57" s="9">
        <v>0</v>
      </c>
      <c r="K57" s="9">
        <v>122</v>
      </c>
      <c r="L57" s="100">
        <v>61</v>
      </c>
      <c r="M57" s="10">
        <v>0.21603344913494241</v>
      </c>
      <c r="N57" s="100">
        <v>582.41888053259527</v>
      </c>
      <c r="O57" s="100">
        <v>0</v>
      </c>
      <c r="P57" s="10">
        <v>0.73650063616489203</v>
      </c>
      <c r="Q57" s="6">
        <v>572</v>
      </c>
      <c r="R57" s="6">
        <v>156</v>
      </c>
      <c r="S57" s="6">
        <v>416</v>
      </c>
      <c r="T57" s="6">
        <v>636</v>
      </c>
      <c r="U57" s="6">
        <v>0</v>
      </c>
      <c r="V57" s="6">
        <v>0</v>
      </c>
      <c r="W57" s="6">
        <v>0</v>
      </c>
      <c r="X57" s="9">
        <v>1286.8377610651905</v>
      </c>
      <c r="Y57" s="9">
        <v>9.698192248935543</v>
      </c>
      <c r="Z57" s="9">
        <v>-43.162238934809466</v>
      </c>
      <c r="AA57" s="132">
        <v>9934.3875154232701</v>
      </c>
      <c r="AB57" s="132">
        <v>8121.44</v>
      </c>
      <c r="AC57" s="11">
        <v>1.0335413214009834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 t="s">
        <v>822</v>
      </c>
    </row>
    <row r="58" spans="1:62" ht="12.75" customHeight="1" x14ac:dyDescent="0.35">
      <c r="A58" s="118"/>
      <c r="B58" s="30" t="s">
        <v>1</v>
      </c>
      <c r="C58" s="6" t="s">
        <v>50</v>
      </c>
      <c r="D58" s="6" t="s">
        <v>310</v>
      </c>
      <c r="E58" s="6" t="s">
        <v>403</v>
      </c>
      <c r="F58" s="6">
        <v>1076301</v>
      </c>
      <c r="G58" s="4" t="s">
        <v>691</v>
      </c>
      <c r="H58" s="129">
        <v>19270.129703929786</v>
      </c>
      <c r="I58" s="129">
        <v>2505.1168615108722</v>
      </c>
      <c r="J58" s="9">
        <v>0</v>
      </c>
      <c r="K58" s="9">
        <v>7112</v>
      </c>
      <c r="L58" s="100">
        <v>924.56000000000006</v>
      </c>
      <c r="M58" s="10">
        <v>0.37560722793287393</v>
      </c>
      <c r="N58" s="100">
        <v>1580.5568615108723</v>
      </c>
      <c r="O58" s="100">
        <v>0</v>
      </c>
      <c r="P58" s="10">
        <v>0.70781394122247632</v>
      </c>
      <c r="Q58" s="6">
        <v>8312</v>
      </c>
      <c r="R58" s="6">
        <v>126</v>
      </c>
      <c r="S58" s="6">
        <v>8132</v>
      </c>
      <c r="T58" s="6">
        <v>0</v>
      </c>
      <c r="U58" s="6">
        <v>0</v>
      </c>
      <c r="V58" s="6">
        <v>0</v>
      </c>
      <c r="W58" s="6">
        <v>0</v>
      </c>
      <c r="X58" s="9">
        <v>19301.333333333332</v>
      </c>
      <c r="Y58" s="9">
        <v>12.639541309754076</v>
      </c>
      <c r="Z58" s="9">
        <v>3846.129703929786</v>
      </c>
      <c r="AA58" s="132">
        <v>87679.090152880526</v>
      </c>
      <c r="AB58" s="132">
        <v>37000.6</v>
      </c>
      <c r="AC58" s="11">
        <v>0.80040976563092681</v>
      </c>
      <c r="AD58" s="71"/>
      <c r="AE58" s="71">
        <v>0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397</v>
      </c>
      <c r="F59" s="61">
        <v>1074164</v>
      </c>
      <c r="G59" s="206" t="s">
        <v>700</v>
      </c>
      <c r="H59" s="129">
        <v>7217.7013349484678</v>
      </c>
      <c r="I59" s="129">
        <v>7217.7013349484678</v>
      </c>
      <c r="J59" s="9">
        <v>0</v>
      </c>
      <c r="K59" s="9">
        <v>3889</v>
      </c>
      <c r="L59" s="100">
        <v>3889</v>
      </c>
      <c r="M59" s="10">
        <v>0.53881420406927472</v>
      </c>
      <c r="N59" s="100">
        <v>3328.7013349484678</v>
      </c>
      <c r="O59" s="100">
        <v>0</v>
      </c>
      <c r="P59" s="10">
        <v>0.73310849268449496</v>
      </c>
      <c r="Q59" s="6">
        <v>5013</v>
      </c>
      <c r="R59" s="6">
        <v>0</v>
      </c>
      <c r="S59" s="6">
        <v>4955</v>
      </c>
      <c r="T59" s="6">
        <v>567</v>
      </c>
      <c r="U59" s="6">
        <v>0</v>
      </c>
      <c r="V59" s="6">
        <v>4320</v>
      </c>
      <c r="W59" s="6">
        <v>303</v>
      </c>
      <c r="X59" s="9">
        <v>10370.666666666668</v>
      </c>
      <c r="Y59" s="9">
        <v>14.333697608639751</v>
      </c>
      <c r="Z59" s="9">
        <v>-2251.2986650515322</v>
      </c>
      <c r="AA59" s="132">
        <v>78095.52844414243</v>
      </c>
      <c r="AB59" s="132">
        <v>109768.90000000001</v>
      </c>
      <c r="AC59" s="11">
        <v>1.311913524898936</v>
      </c>
      <c r="AD59" s="71"/>
      <c r="AE59" s="71">
        <v>3.8736178813458575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1077101</v>
      </c>
      <c r="G60" s="8" t="s">
        <v>677</v>
      </c>
      <c r="H60" s="129">
        <v>79232.958321532205</v>
      </c>
      <c r="I60" s="129">
        <v>3169.3183328612881</v>
      </c>
      <c r="J60" s="9">
        <v>0</v>
      </c>
      <c r="K60" s="9">
        <v>36810</v>
      </c>
      <c r="L60" s="100">
        <v>1472.4</v>
      </c>
      <c r="M60" s="10">
        <v>0.46457939700576067</v>
      </c>
      <c r="N60" s="100">
        <v>1696.918332861288</v>
      </c>
      <c r="O60" s="100">
        <v>0</v>
      </c>
      <c r="P60" s="10">
        <v>0.43426984382630046</v>
      </c>
      <c r="Q60" s="6">
        <v>47460</v>
      </c>
      <c r="R60" s="6">
        <v>0</v>
      </c>
      <c r="S60" s="6">
        <v>47460</v>
      </c>
      <c r="T60" s="6">
        <v>0</v>
      </c>
      <c r="U60" s="6">
        <v>0</v>
      </c>
      <c r="V60" s="6">
        <v>0</v>
      </c>
      <c r="W60" s="6">
        <v>0</v>
      </c>
      <c r="X60" s="9">
        <v>98160</v>
      </c>
      <c r="Y60" s="9">
        <v>14.504889975550123</v>
      </c>
      <c r="Z60" s="9">
        <v>-5037.0416784677946</v>
      </c>
      <c r="AA60" s="132">
        <v>70517.332906163661</v>
      </c>
      <c r="AB60" s="132">
        <v>42239.4</v>
      </c>
      <c r="AC60" s="11">
        <v>1.0635725559814033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2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2</v>
      </c>
      <c r="D61" s="6" t="s">
        <v>306</v>
      </c>
      <c r="E61" s="6" t="s">
        <v>401</v>
      </c>
      <c r="F61" s="6">
        <v>1076131</v>
      </c>
      <c r="G61" s="8" t="s">
        <v>682</v>
      </c>
      <c r="H61" s="129">
        <v>68857.146591514174</v>
      </c>
      <c r="I61" s="129">
        <v>19280.001045623972</v>
      </c>
      <c r="J61" s="9">
        <v>0</v>
      </c>
      <c r="K61" s="9">
        <v>23488</v>
      </c>
      <c r="L61" s="100">
        <v>6576.64</v>
      </c>
      <c r="M61" s="10">
        <v>0.34808296867407185</v>
      </c>
      <c r="N61" s="100">
        <v>12703.361045623973</v>
      </c>
      <c r="O61" s="100">
        <v>69.911384810126577</v>
      </c>
      <c r="P61" s="10">
        <v>2.9338229130624134</v>
      </c>
      <c r="Q61" s="6">
        <v>31982</v>
      </c>
      <c r="R61" s="6">
        <v>480</v>
      </c>
      <c r="S61" s="6">
        <v>31484</v>
      </c>
      <c r="T61" s="6">
        <v>0</v>
      </c>
      <c r="U61" s="6">
        <v>0</v>
      </c>
      <c r="V61" s="6">
        <v>0</v>
      </c>
      <c r="W61" s="6">
        <v>0</v>
      </c>
      <c r="X61" s="9">
        <v>68857.146591514174</v>
      </c>
      <c r="Y61" s="9">
        <v>13.717094691757106</v>
      </c>
      <c r="Z61" s="9">
        <v>13387.146591514174</v>
      </c>
      <c r="AA61" s="132">
        <v>282314.30102520809</v>
      </c>
      <c r="AB61" s="132">
        <v>129084.4</v>
      </c>
      <c r="AC61" s="11">
        <v>0.80558086917351313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/>
      <c r="BJ61" s="31"/>
    </row>
    <row r="62" spans="1:62" ht="12.75" customHeight="1" x14ac:dyDescent="0.35">
      <c r="A62" s="118"/>
      <c r="B62" s="30" t="s">
        <v>8</v>
      </c>
      <c r="C62" s="6" t="s">
        <v>5</v>
      </c>
      <c r="D62" s="6" t="s">
        <v>308</v>
      </c>
      <c r="E62" s="6" t="s">
        <v>309</v>
      </c>
      <c r="F62" s="123">
        <v>1079778</v>
      </c>
      <c r="G62" s="124" t="s">
        <v>749</v>
      </c>
      <c r="H62" s="129">
        <v>4459.2680447107432</v>
      </c>
      <c r="I62" s="129">
        <v>1284.269196876694</v>
      </c>
      <c r="J62" s="9">
        <v>0</v>
      </c>
      <c r="K62" s="9">
        <v>1206</v>
      </c>
      <c r="L62" s="100">
        <v>347.32799999999997</v>
      </c>
      <c r="M62" s="10">
        <v>0.27044797215777794</v>
      </c>
      <c r="N62" s="100">
        <v>936.94119687669399</v>
      </c>
      <c r="O62" s="100">
        <v>0</v>
      </c>
      <c r="P62" s="10">
        <v>0.88169808477114808</v>
      </c>
      <c r="Q62" s="6">
        <v>1773</v>
      </c>
      <c r="R62" s="6">
        <v>0</v>
      </c>
      <c r="S62" s="6">
        <v>1755</v>
      </c>
      <c r="T62" s="6">
        <v>0</v>
      </c>
      <c r="U62" s="6">
        <v>0</v>
      </c>
      <c r="V62" s="6">
        <v>0</v>
      </c>
      <c r="W62" s="6">
        <v>0</v>
      </c>
      <c r="X62" s="9">
        <v>4459.2680447107432</v>
      </c>
      <c r="Y62" s="9">
        <v>11.806870426291052</v>
      </c>
      <c r="Z62" s="9">
        <v>1480.2680447107432</v>
      </c>
      <c r="AA62" s="132">
        <v>48115.502202428914</v>
      </c>
      <c r="AB62" s="132">
        <v>18936.449999999997</v>
      </c>
      <c r="AC62" s="11">
        <v>0.66804685659869034</v>
      </c>
      <c r="AD62" s="71"/>
      <c r="AE62" s="71">
        <v>10.101209577882004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31</v>
      </c>
      <c r="C63" s="6" t="s">
        <v>5</v>
      </c>
      <c r="D63" s="6" t="s">
        <v>306</v>
      </c>
      <c r="E63" s="6" t="s">
        <v>404</v>
      </c>
      <c r="F63" s="6">
        <v>1072598</v>
      </c>
      <c r="G63" s="8" t="s">
        <v>608</v>
      </c>
      <c r="H63" s="129">
        <v>17556.575242424195</v>
      </c>
      <c r="I63" s="129">
        <v>2633.486286363629</v>
      </c>
      <c r="J63" s="9">
        <v>0</v>
      </c>
      <c r="K63" s="9">
        <v>5463</v>
      </c>
      <c r="L63" s="100">
        <v>819.44999999999993</v>
      </c>
      <c r="M63" s="10">
        <v>0.37268088506175817</v>
      </c>
      <c r="N63" s="100">
        <v>1814.0362863636292</v>
      </c>
      <c r="O63" s="100">
        <v>0</v>
      </c>
      <c r="P63" s="10">
        <v>1.0953376829341508</v>
      </c>
      <c r="Q63" s="6">
        <v>10106</v>
      </c>
      <c r="R63" s="6">
        <v>1080</v>
      </c>
      <c r="S63" s="6">
        <v>8985</v>
      </c>
      <c r="T63" s="6">
        <v>0</v>
      </c>
      <c r="U63" s="6">
        <v>0</v>
      </c>
      <c r="V63" s="6">
        <v>0</v>
      </c>
      <c r="W63" s="6">
        <v>0</v>
      </c>
      <c r="X63" s="9">
        <v>17556.575242424195</v>
      </c>
      <c r="Y63" s="9">
        <v>15.353222156258123</v>
      </c>
      <c r="Z63" s="9">
        <v>1987.5752424241946</v>
      </c>
      <c r="AA63" s="132">
        <v>25281.468349090839</v>
      </c>
      <c r="AB63" s="132">
        <v>12938.4</v>
      </c>
      <c r="AC63" s="11">
        <v>0.88679026433234187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 t="s">
        <v>1</v>
      </c>
      <c r="BJ63" s="31"/>
    </row>
    <row r="64" spans="1:62" ht="12" customHeight="1" x14ac:dyDescent="0.35">
      <c r="A64" s="118"/>
      <c r="B64" s="30" t="s">
        <v>15</v>
      </c>
      <c r="C64" s="6" t="s">
        <v>5</v>
      </c>
      <c r="D64" s="6" t="s">
        <v>312</v>
      </c>
      <c r="E64" s="6" t="s">
        <v>315</v>
      </c>
      <c r="F64" s="6">
        <v>1078686</v>
      </c>
      <c r="G64" s="8" t="s">
        <v>720</v>
      </c>
      <c r="H64" s="129">
        <v>2564.0244102439024</v>
      </c>
      <c r="I64" s="129">
        <v>269.22256307560974</v>
      </c>
      <c r="J64" s="9">
        <v>0</v>
      </c>
      <c r="K64" s="9">
        <v>3044</v>
      </c>
      <c r="L64" s="100">
        <v>319.62</v>
      </c>
      <c r="M64" s="10">
        <v>1.1949964234968176</v>
      </c>
      <c r="N64" s="100">
        <v>50.397436924390263</v>
      </c>
      <c r="O64" s="100">
        <v>3.5990868887087295</v>
      </c>
      <c r="P64" s="10">
        <v>3.9437299119071763</v>
      </c>
      <c r="Q64" s="6">
        <v>4376</v>
      </c>
      <c r="R64" s="6">
        <v>20</v>
      </c>
      <c r="S64" s="6">
        <v>4321</v>
      </c>
      <c r="T64" s="6">
        <v>0</v>
      </c>
      <c r="U64" s="6">
        <v>0</v>
      </c>
      <c r="V64" s="6">
        <v>0</v>
      </c>
      <c r="W64" s="6">
        <v>0</v>
      </c>
      <c r="X64" s="9">
        <v>8170.666666666667</v>
      </c>
      <c r="Y64" s="9">
        <v>15.865290469973889</v>
      </c>
      <c r="Z64" s="9">
        <v>-4855.9755897560972</v>
      </c>
      <c r="AA64" s="132">
        <v>3589.6341743414632</v>
      </c>
      <c r="AB64" s="132">
        <v>6049.4</v>
      </c>
      <c r="AC64" s="11">
        <v>2.8938882057266273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/>
      <c r="BJ64" s="31"/>
    </row>
    <row r="65" spans="1:62" ht="12.75" customHeight="1" x14ac:dyDescent="0.35">
      <c r="A65" s="118"/>
      <c r="B65" s="30" t="s">
        <v>1</v>
      </c>
      <c r="C65" s="6" t="s">
        <v>50</v>
      </c>
      <c r="D65" s="6" t="s">
        <v>310</v>
      </c>
      <c r="E65" s="6" t="s">
        <v>403</v>
      </c>
      <c r="F65" s="6">
        <v>1061420</v>
      </c>
      <c r="G65" s="8" t="s">
        <v>537</v>
      </c>
      <c r="H65" s="129">
        <v>13636.527147160639</v>
      </c>
      <c r="I65" s="129">
        <v>1772.7485291308831</v>
      </c>
      <c r="J65" s="9">
        <v>0</v>
      </c>
      <c r="K65" s="9">
        <v>2844</v>
      </c>
      <c r="L65" s="100">
        <v>369.72</v>
      </c>
      <c r="M65" s="10">
        <v>0.21266411665552473</v>
      </c>
      <c r="N65" s="100">
        <v>1403.028529130883</v>
      </c>
      <c r="O65" s="100">
        <v>0</v>
      </c>
      <c r="P65" s="10">
        <v>0.97023350787840634</v>
      </c>
      <c r="Q65" s="6">
        <v>5800</v>
      </c>
      <c r="R65" s="6">
        <v>56</v>
      </c>
      <c r="S65" s="6">
        <v>5696</v>
      </c>
      <c r="T65" s="6">
        <v>0</v>
      </c>
      <c r="U65" s="6">
        <v>14</v>
      </c>
      <c r="V65" s="6">
        <v>0</v>
      </c>
      <c r="W65" s="6">
        <v>0</v>
      </c>
      <c r="X65" s="9">
        <v>13636.527147160639</v>
      </c>
      <c r="Y65" s="9">
        <v>12.531049742791746</v>
      </c>
      <c r="Z65" s="9">
        <v>4992.5271471606393</v>
      </c>
      <c r="AA65" s="132">
        <v>60955.276347808052</v>
      </c>
      <c r="AB65" s="132">
        <v>25523.699999999997</v>
      </c>
      <c r="AC65" s="11">
        <v>0.63388573254150193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9</v>
      </c>
      <c r="C66" s="6" t="s">
        <v>5</v>
      </c>
      <c r="D66" s="6" t="s">
        <v>308</v>
      </c>
      <c r="E66" s="6" t="s">
        <v>803</v>
      </c>
      <c r="F66" s="6">
        <v>1079785</v>
      </c>
      <c r="G66" s="162" t="s">
        <v>814</v>
      </c>
      <c r="H66" s="129">
        <v>500</v>
      </c>
      <c r="I66" s="129">
        <v>250</v>
      </c>
      <c r="J66" s="9">
        <v>0</v>
      </c>
      <c r="K66" s="9">
        <v>1600</v>
      </c>
      <c r="L66" s="100">
        <v>800</v>
      </c>
      <c r="M66" s="10">
        <v>3.2</v>
      </c>
      <c r="N66" s="100">
        <v>550</v>
      </c>
      <c r="O66" s="100">
        <v>0</v>
      </c>
      <c r="P66" s="10">
        <v>0</v>
      </c>
      <c r="Q66" s="6">
        <v>2312</v>
      </c>
      <c r="R66" s="6">
        <v>0</v>
      </c>
      <c r="S66" s="6">
        <v>2312</v>
      </c>
      <c r="T66" s="6">
        <v>0</v>
      </c>
      <c r="U66" s="6">
        <v>0</v>
      </c>
      <c r="V66" s="6">
        <v>0</v>
      </c>
      <c r="W66" s="6">
        <v>0</v>
      </c>
      <c r="X66" s="9">
        <v>4266.666666666667</v>
      </c>
      <c r="Y66" s="9">
        <v>16.256250000000001</v>
      </c>
      <c r="Z66" s="9">
        <v>-3412</v>
      </c>
      <c r="AA66" s="132">
        <v>11250</v>
      </c>
      <c r="AB66" s="132">
        <v>52020</v>
      </c>
      <c r="AC66" s="11">
        <v>7.8239999999999998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396</v>
      </c>
      <c r="E67" s="6" t="s">
        <v>307</v>
      </c>
      <c r="F67" s="6">
        <v>1071765</v>
      </c>
      <c r="G67" s="8" t="s">
        <v>590</v>
      </c>
      <c r="H67" s="129">
        <v>17018.644969103352</v>
      </c>
      <c r="I67" s="129">
        <v>15316.780472193017</v>
      </c>
      <c r="J67" s="9">
        <v>0</v>
      </c>
      <c r="K67" s="9">
        <v>10225</v>
      </c>
      <c r="L67" s="100">
        <v>9202.5</v>
      </c>
      <c r="M67" s="10">
        <v>0.63747730913335998</v>
      </c>
      <c r="N67" s="100">
        <v>6114.280472193017</v>
      </c>
      <c r="O67" s="100">
        <v>0</v>
      </c>
      <c r="P67" s="10">
        <v>0.74387490011117052</v>
      </c>
      <c r="Q67" s="6">
        <v>16612</v>
      </c>
      <c r="R67" s="6">
        <v>624</v>
      </c>
      <c r="S67" s="6">
        <v>15965</v>
      </c>
      <c r="T67" s="6">
        <v>0</v>
      </c>
      <c r="U67" s="6">
        <v>0</v>
      </c>
      <c r="V67" s="6">
        <v>0</v>
      </c>
      <c r="W67" s="6">
        <v>2</v>
      </c>
      <c r="X67" s="9">
        <v>28930.666666666668</v>
      </c>
      <c r="Y67" s="9">
        <v>16.555097243985621</v>
      </c>
      <c r="Z67" s="9">
        <v>-9818.3550308966478</v>
      </c>
      <c r="AA67" s="132">
        <v>297826.28695930867</v>
      </c>
      <c r="AB67" s="132">
        <v>279422.5</v>
      </c>
      <c r="AC67" s="11">
        <v>1.5769175541719958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4</v>
      </c>
      <c r="C68" s="6" t="s">
        <v>5</v>
      </c>
      <c r="D68" s="6" t="s">
        <v>308</v>
      </c>
      <c r="E68" s="6" t="s">
        <v>314</v>
      </c>
      <c r="F68" s="6">
        <v>1075137</v>
      </c>
      <c r="G68" s="8" t="s">
        <v>652</v>
      </c>
      <c r="H68" s="129">
        <v>9622.7374813590013</v>
      </c>
      <c r="I68" s="129">
        <v>1385.6741973156961</v>
      </c>
      <c r="J68" s="9">
        <v>0</v>
      </c>
      <c r="K68" s="9">
        <v>3713</v>
      </c>
      <c r="L68" s="100">
        <v>534.67199999999991</v>
      </c>
      <c r="M68" s="10">
        <v>0.38814318765687794</v>
      </c>
      <c r="N68" s="100">
        <v>851.00219731569621</v>
      </c>
      <c r="O68" s="100">
        <v>0</v>
      </c>
      <c r="P68" s="10">
        <v>-1.9500759063849713E-2</v>
      </c>
      <c r="Q68" s="6">
        <v>5638</v>
      </c>
      <c r="R68" s="6">
        <v>22</v>
      </c>
      <c r="S68" s="6">
        <v>5616</v>
      </c>
      <c r="T68" s="6">
        <v>0</v>
      </c>
      <c r="U68" s="6">
        <v>0</v>
      </c>
      <c r="V68" s="6">
        <v>0</v>
      </c>
      <c r="W68" s="6">
        <v>0</v>
      </c>
      <c r="X68" s="9">
        <v>9960</v>
      </c>
      <c r="Y68" s="9">
        <v>16.91566265060241</v>
      </c>
      <c r="Z68" s="9">
        <v>271.73748135900132</v>
      </c>
      <c r="AA68" s="132">
        <v>24826.662701906225</v>
      </c>
      <c r="AB68" s="132">
        <v>14489.28</v>
      </c>
      <c r="AC68" s="11">
        <v>0.97176089632649687</v>
      </c>
      <c r="AD68" s="71"/>
      <c r="AE68" s="71">
        <v>14.604715532689871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310</v>
      </c>
      <c r="E69" s="6" t="s">
        <v>403</v>
      </c>
      <c r="F69" s="6">
        <v>1076302</v>
      </c>
      <c r="G69" s="8" t="s">
        <v>692</v>
      </c>
      <c r="H69" s="129">
        <v>28449.365747945638</v>
      </c>
      <c r="I69" s="129">
        <v>1052.6265326739885</v>
      </c>
      <c r="J69" s="9">
        <v>0</v>
      </c>
      <c r="K69" s="9">
        <v>13065</v>
      </c>
      <c r="L69" s="100">
        <v>483.40499999999997</v>
      </c>
      <c r="M69" s="10">
        <v>0.4929811133315955</v>
      </c>
      <c r="N69" s="100">
        <v>569.22153267398858</v>
      </c>
      <c r="O69" s="100">
        <v>13.577850853918592</v>
      </c>
      <c r="P69" s="10">
        <v>1.6294230415811817</v>
      </c>
      <c r="Q69" s="6">
        <v>23291</v>
      </c>
      <c r="R69" s="6">
        <v>960</v>
      </c>
      <c r="S69" s="6">
        <v>22189</v>
      </c>
      <c r="T69" s="6">
        <v>0</v>
      </c>
      <c r="U69" s="6">
        <v>0</v>
      </c>
      <c r="V69" s="6">
        <v>0</v>
      </c>
      <c r="W69" s="6">
        <v>0</v>
      </c>
      <c r="X69" s="9">
        <v>37399.999999999993</v>
      </c>
      <c r="Y69" s="9">
        <v>17.79866310160428</v>
      </c>
      <c r="Z69" s="9">
        <v>-7906.6342520543622</v>
      </c>
      <c r="AA69" s="132">
        <v>64295.566590357135</v>
      </c>
      <c r="AB69" s="132">
        <v>50147.139999999992</v>
      </c>
      <c r="AC69" s="11">
        <v>1.2779195262947227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50</v>
      </c>
      <c r="D70" s="6" t="s">
        <v>320</v>
      </c>
      <c r="E70" s="6" t="s">
        <v>402</v>
      </c>
      <c r="F70" s="6">
        <v>1060792</v>
      </c>
      <c r="G70" s="8" t="s">
        <v>429</v>
      </c>
      <c r="H70" s="129">
        <v>16066.162522451083</v>
      </c>
      <c r="I70" s="129">
        <v>2891.9092540411948</v>
      </c>
      <c r="J70" s="9">
        <v>0</v>
      </c>
      <c r="K70" s="9">
        <v>5312</v>
      </c>
      <c r="L70" s="100">
        <v>956.16</v>
      </c>
      <c r="M70" s="10">
        <v>0.33710601348838626</v>
      </c>
      <c r="N70" s="100">
        <v>1935.7492540411949</v>
      </c>
      <c r="O70" s="100">
        <v>35.18355883595666</v>
      </c>
      <c r="P70" s="10">
        <v>2.2256312307942676</v>
      </c>
      <c r="Q70" s="6">
        <v>8945</v>
      </c>
      <c r="R70" s="6">
        <v>104</v>
      </c>
      <c r="S70" s="6">
        <v>8808</v>
      </c>
      <c r="T70" s="6">
        <v>0</v>
      </c>
      <c r="U70" s="6">
        <v>0</v>
      </c>
      <c r="V70" s="6">
        <v>0</v>
      </c>
      <c r="W70" s="6">
        <v>0</v>
      </c>
      <c r="X70" s="9">
        <v>16066.162522451083</v>
      </c>
      <c r="Y70" s="9">
        <v>16.446989107121709</v>
      </c>
      <c r="Z70" s="9">
        <v>1809.1625224510826</v>
      </c>
      <c r="AA70" s="132">
        <v>112141.81440670857</v>
      </c>
      <c r="AB70" s="132">
        <v>61479.840000000004</v>
      </c>
      <c r="AC70" s="11">
        <v>0.88739299008565775</v>
      </c>
      <c r="AD70" s="71"/>
      <c r="AE70" s="71">
        <v>4.7401500938086309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21</v>
      </c>
      <c r="C71" s="6" t="s">
        <v>5</v>
      </c>
      <c r="D71" s="6" t="s">
        <v>308</v>
      </c>
      <c r="E71" s="6" t="s">
        <v>395</v>
      </c>
      <c r="F71" s="6">
        <v>1069938</v>
      </c>
      <c r="G71" s="8" t="s">
        <v>567</v>
      </c>
      <c r="H71" s="129">
        <v>942.45575895315187</v>
      </c>
      <c r="I71" s="129">
        <v>179.06659420109887</v>
      </c>
      <c r="J71" s="9">
        <v>0</v>
      </c>
      <c r="K71" s="9">
        <v>481</v>
      </c>
      <c r="L71" s="100">
        <v>91.39</v>
      </c>
      <c r="M71" s="10">
        <v>0.57403225017259651</v>
      </c>
      <c r="N71" s="100">
        <v>87.676594201098865</v>
      </c>
      <c r="O71" s="100">
        <v>6.0898502495840283</v>
      </c>
      <c r="P71" s="10">
        <v>1.2029950083194676</v>
      </c>
      <c r="Q71" s="6">
        <v>1005</v>
      </c>
      <c r="R71" s="6">
        <v>60</v>
      </c>
      <c r="S71" s="6">
        <v>892</v>
      </c>
      <c r="T71" s="6">
        <v>0</v>
      </c>
      <c r="U71" s="6">
        <v>0</v>
      </c>
      <c r="V71" s="6">
        <v>0</v>
      </c>
      <c r="W71" s="6">
        <v>0</v>
      </c>
      <c r="X71" s="9">
        <v>1442.6666666666667</v>
      </c>
      <c r="Y71" s="9">
        <v>18.548983364140479</v>
      </c>
      <c r="Z71" s="9">
        <v>-543.54424104684813</v>
      </c>
      <c r="AA71" s="132">
        <v>7417.1268229613052</v>
      </c>
      <c r="AB71" s="132">
        <v>7020.04</v>
      </c>
      <c r="AC71" s="11">
        <v>1.5767318368881302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/>
      <c r="BJ71" s="31"/>
    </row>
    <row r="72" spans="1:62" ht="12.75" customHeight="1" x14ac:dyDescent="0.35">
      <c r="A72" s="118"/>
      <c r="B72" s="30" t="s">
        <v>1</v>
      </c>
      <c r="C72" s="6" t="s">
        <v>2</v>
      </c>
      <c r="D72" s="6" t="s">
        <v>310</v>
      </c>
      <c r="E72" s="6" t="s">
        <v>311</v>
      </c>
      <c r="F72" s="123">
        <v>1080401</v>
      </c>
      <c r="G72" s="124" t="s">
        <v>754</v>
      </c>
      <c r="H72" s="129">
        <v>14117.600009999998</v>
      </c>
      <c r="I72" s="129">
        <v>0</v>
      </c>
      <c r="J72" s="9">
        <v>0</v>
      </c>
      <c r="K72" s="9">
        <v>16684</v>
      </c>
      <c r="L72" s="100">
        <v>0</v>
      </c>
      <c r="M72" s="10">
        <v>1.2021873397729166</v>
      </c>
      <c r="N72" s="100">
        <v>0</v>
      </c>
      <c r="O72" s="100">
        <v>0</v>
      </c>
      <c r="P72" s="10">
        <v>0.37150545470378832</v>
      </c>
      <c r="Q72" s="6">
        <v>28423</v>
      </c>
      <c r="R72" s="6">
        <v>288</v>
      </c>
      <c r="S72" s="6">
        <v>28121</v>
      </c>
      <c r="T72" s="6">
        <v>0</v>
      </c>
      <c r="U72" s="6">
        <v>0</v>
      </c>
      <c r="V72" s="6">
        <v>0</v>
      </c>
      <c r="W72" s="6">
        <v>24</v>
      </c>
      <c r="X72" s="9">
        <v>45258.666666666664</v>
      </c>
      <c r="Y72" s="9">
        <v>18.640186778222958</v>
      </c>
      <c r="Z72" s="9">
        <v>-30989.399990000002</v>
      </c>
      <c r="AA72" s="132">
        <v>19341.1120137</v>
      </c>
      <c r="AB72" s="132">
        <v>38558.65</v>
      </c>
      <c r="AC72" s="11">
        <v>3.1950898147028606</v>
      </c>
      <c r="AD72" s="71"/>
      <c r="AE72" s="71">
        <v>18.119303797468355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31</v>
      </c>
      <c r="C73" s="6" t="s">
        <v>5</v>
      </c>
      <c r="D73" s="6" t="s">
        <v>306</v>
      </c>
      <c r="E73" s="6" t="s">
        <v>307</v>
      </c>
      <c r="F73" s="6">
        <v>1071166</v>
      </c>
      <c r="G73" s="8" t="s">
        <v>605</v>
      </c>
      <c r="H73" s="129">
        <v>30159.735955766228</v>
      </c>
      <c r="I73" s="129">
        <v>4222.3630338072726</v>
      </c>
      <c r="J73" s="9">
        <v>0</v>
      </c>
      <c r="K73" s="9">
        <v>4739</v>
      </c>
      <c r="L73" s="100">
        <v>663.46</v>
      </c>
      <c r="M73" s="10">
        <v>0.17702409622652013</v>
      </c>
      <c r="N73" s="100">
        <v>3558.9030338072725</v>
      </c>
      <c r="O73" s="100">
        <v>0</v>
      </c>
      <c r="P73" s="10">
        <v>0.99164681242476349</v>
      </c>
      <c r="Q73" s="6">
        <v>15450</v>
      </c>
      <c r="R73" s="6">
        <v>600</v>
      </c>
      <c r="S73" s="6">
        <v>14850</v>
      </c>
      <c r="T73" s="6">
        <v>12030</v>
      </c>
      <c r="U73" s="6">
        <v>0</v>
      </c>
      <c r="V73" s="6">
        <v>0</v>
      </c>
      <c r="W73" s="6">
        <v>0</v>
      </c>
      <c r="X73" s="9">
        <v>30159.735955766228</v>
      </c>
      <c r="Y73" s="9">
        <v>14.771349479099966</v>
      </c>
      <c r="Z73" s="9">
        <v>-2059.2640442337724</v>
      </c>
      <c r="AA73" s="132">
        <v>82336.079159241795</v>
      </c>
      <c r="AB73" s="132">
        <v>73382.399999999994</v>
      </c>
      <c r="AC73" s="11">
        <v>1.0682785833156494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 t="s">
        <v>808</v>
      </c>
    </row>
    <row r="74" spans="1:62" ht="12.75" customHeight="1" x14ac:dyDescent="0.35">
      <c r="A74" s="118"/>
      <c r="B74" s="30" t="s">
        <v>21</v>
      </c>
      <c r="C74" s="6" t="s">
        <v>5</v>
      </c>
      <c r="D74" s="6" t="s">
        <v>396</v>
      </c>
      <c r="E74" s="6" t="s">
        <v>397</v>
      </c>
      <c r="F74" s="6">
        <v>1040796</v>
      </c>
      <c r="G74" s="8" t="s">
        <v>85</v>
      </c>
      <c r="H74" s="129">
        <v>7560.282408901393</v>
      </c>
      <c r="I74" s="129">
        <v>75602.824089013928</v>
      </c>
      <c r="J74" s="9">
        <v>0</v>
      </c>
      <c r="K74" s="9">
        <v>2746</v>
      </c>
      <c r="L74" s="100">
        <v>27460</v>
      </c>
      <c r="M74" s="10">
        <v>0.40289500249536619</v>
      </c>
      <c r="N74" s="100">
        <v>48142.824089013928</v>
      </c>
      <c r="O74" s="100">
        <v>0</v>
      </c>
      <c r="P74" s="10">
        <v>0.11730568641187113</v>
      </c>
      <c r="Q74" s="6">
        <v>5516</v>
      </c>
      <c r="R74" s="6">
        <v>300</v>
      </c>
      <c r="S74" s="6">
        <v>5204</v>
      </c>
      <c r="T74" s="6">
        <v>0</v>
      </c>
      <c r="U74" s="6">
        <v>0</v>
      </c>
      <c r="V74" s="6">
        <v>0</v>
      </c>
      <c r="W74" s="6">
        <v>0</v>
      </c>
      <c r="X74" s="9">
        <v>8122.666666666667</v>
      </c>
      <c r="Y74" s="9">
        <v>19.220288903479975</v>
      </c>
      <c r="Z74" s="9">
        <v>-701.71759109860704</v>
      </c>
      <c r="AA74" s="132">
        <v>83919.134738805456</v>
      </c>
      <c r="AB74" s="132">
        <v>57764.4</v>
      </c>
      <c r="AC74" s="11">
        <v>1.0928163199660919</v>
      </c>
      <c r="AD74" s="71"/>
      <c r="AE74" s="71">
        <v>35.095263157894735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1</v>
      </c>
      <c r="C75" s="6" t="s">
        <v>24</v>
      </c>
      <c r="D75" s="6" t="s">
        <v>316</v>
      </c>
      <c r="E75" s="6" t="s">
        <v>400</v>
      </c>
      <c r="F75" s="61">
        <v>1024998</v>
      </c>
      <c r="G75" s="70" t="s">
        <v>321</v>
      </c>
      <c r="H75" s="129">
        <v>13231.855316578101</v>
      </c>
      <c r="I75" s="129">
        <v>5623.5385095456932</v>
      </c>
      <c r="J75" s="9">
        <v>0</v>
      </c>
      <c r="K75" s="9">
        <v>6982</v>
      </c>
      <c r="L75" s="100">
        <v>2967.35</v>
      </c>
      <c r="M75" s="10">
        <v>0.57527835801401006</v>
      </c>
      <c r="N75" s="100">
        <v>2656.1885095456933</v>
      </c>
      <c r="O75" s="100">
        <v>0</v>
      </c>
      <c r="P75" s="10">
        <v>0.75624162912879067</v>
      </c>
      <c r="Q75" s="6">
        <v>13673</v>
      </c>
      <c r="R75" s="6">
        <v>630</v>
      </c>
      <c r="S75" s="6">
        <v>13021</v>
      </c>
      <c r="T75" s="6">
        <v>0</v>
      </c>
      <c r="U75" s="6">
        <v>0</v>
      </c>
      <c r="V75" s="6">
        <v>0</v>
      </c>
      <c r="W75" s="6">
        <v>0</v>
      </c>
      <c r="X75" s="9">
        <v>20298.666666666664</v>
      </c>
      <c r="Y75" s="9">
        <v>19.244121124540204</v>
      </c>
      <c r="Z75" s="9">
        <v>-7423.1446834218987</v>
      </c>
      <c r="AA75" s="132">
        <v>122130.02457201589</v>
      </c>
      <c r="AB75" s="132">
        <v>120183.83</v>
      </c>
      <c r="AC75" s="11">
        <v>1.5610055812899866</v>
      </c>
      <c r="AD75" s="71"/>
      <c r="AE75" s="71">
        <v>9.9603550295857985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 t="s">
        <v>828</v>
      </c>
    </row>
    <row r="76" spans="1:62" ht="12.75" customHeight="1" x14ac:dyDescent="0.35">
      <c r="A76" s="118"/>
      <c r="B76" s="30" t="s">
        <v>1</v>
      </c>
      <c r="C76" s="6" t="s">
        <v>2</v>
      </c>
      <c r="D76" s="6" t="s">
        <v>396</v>
      </c>
      <c r="E76" s="6" t="s">
        <v>397</v>
      </c>
      <c r="F76" s="6">
        <v>1043306</v>
      </c>
      <c r="G76" s="8" t="s">
        <v>10</v>
      </c>
      <c r="H76" s="129">
        <v>641</v>
      </c>
      <c r="I76" s="129">
        <v>641</v>
      </c>
      <c r="J76" s="9">
        <v>0</v>
      </c>
      <c r="K76" s="9">
        <v>543</v>
      </c>
      <c r="L76" s="100">
        <v>543</v>
      </c>
      <c r="M76" s="10">
        <v>0.84711388455538217</v>
      </c>
      <c r="N76" s="100">
        <v>98</v>
      </c>
      <c r="O76" s="100">
        <v>19.811251015551264</v>
      </c>
      <c r="P76" s="10">
        <v>1.7170097083734077</v>
      </c>
      <c r="Q76" s="6">
        <v>937</v>
      </c>
      <c r="R76" s="6">
        <v>0</v>
      </c>
      <c r="S76" s="6">
        <v>934</v>
      </c>
      <c r="T76" s="6">
        <v>0</v>
      </c>
      <c r="U76" s="6">
        <v>0</v>
      </c>
      <c r="V76" s="6">
        <v>0</v>
      </c>
      <c r="W76" s="6">
        <v>9</v>
      </c>
      <c r="X76" s="9">
        <v>1447.9999999999998</v>
      </c>
      <c r="Y76" s="9">
        <v>19.350828729281769</v>
      </c>
      <c r="Z76" s="9">
        <v>-839</v>
      </c>
      <c r="AA76" s="132">
        <v>19364.61</v>
      </c>
      <c r="AB76" s="132">
        <v>28488.030000000002</v>
      </c>
      <c r="AC76" s="11">
        <v>2.308892355694228</v>
      </c>
      <c r="AD76" s="71"/>
      <c r="AE76" s="71">
        <v>21.67148988350705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9</v>
      </c>
      <c r="C77" s="6" t="s">
        <v>5</v>
      </c>
      <c r="D77" s="116" t="s">
        <v>308</v>
      </c>
      <c r="E77" s="6" t="s">
        <v>315</v>
      </c>
      <c r="F77" s="133">
        <v>1080403</v>
      </c>
      <c r="G77" s="134" t="s">
        <v>743</v>
      </c>
      <c r="H77" s="129">
        <v>485.01794764309119</v>
      </c>
      <c r="I77" s="129">
        <v>388.014358114473</v>
      </c>
      <c r="J77" s="9">
        <v>0</v>
      </c>
      <c r="K77" s="9">
        <v>312</v>
      </c>
      <c r="L77" s="100">
        <v>249.60000000000002</v>
      </c>
      <c r="M77" s="10">
        <v>0.64946050250453446</v>
      </c>
      <c r="N77" s="100">
        <v>138.41435811447298</v>
      </c>
      <c r="O77" s="100">
        <v>0</v>
      </c>
      <c r="P77" s="10">
        <v>0.7802688471951692</v>
      </c>
      <c r="Q77" s="6">
        <v>557</v>
      </c>
      <c r="R77" s="6">
        <v>3</v>
      </c>
      <c r="S77" s="6">
        <v>554</v>
      </c>
      <c r="T77" s="6">
        <v>0</v>
      </c>
      <c r="U77" s="6">
        <v>0</v>
      </c>
      <c r="V77" s="6">
        <v>0</v>
      </c>
      <c r="W77" s="6">
        <v>0</v>
      </c>
      <c r="X77" s="9">
        <v>840.00000000000011</v>
      </c>
      <c r="Y77" s="9">
        <v>19.785714285714281</v>
      </c>
      <c r="Z77" s="9">
        <v>-383.98205235690881</v>
      </c>
      <c r="AA77" s="132">
        <v>9700.3589528618231</v>
      </c>
      <c r="AB77" s="132">
        <v>11080</v>
      </c>
      <c r="AC77" s="11">
        <v>1.7916862751633031</v>
      </c>
      <c r="AD77" s="72"/>
      <c r="AE77" s="71">
        <v>46.744578313253015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50</v>
      </c>
      <c r="D78" s="6" t="s">
        <v>320</v>
      </c>
      <c r="E78" s="6" t="s">
        <v>402</v>
      </c>
      <c r="F78" s="6">
        <v>1060800</v>
      </c>
      <c r="G78" s="8" t="s">
        <v>437</v>
      </c>
      <c r="H78" s="129">
        <v>50537.266334955777</v>
      </c>
      <c r="I78" s="129">
        <v>9096.707940292039</v>
      </c>
      <c r="J78" s="9">
        <v>0</v>
      </c>
      <c r="K78" s="9">
        <v>13769</v>
      </c>
      <c r="L78" s="100">
        <v>2478.42</v>
      </c>
      <c r="M78" s="10">
        <v>0.27720138060396454</v>
      </c>
      <c r="N78" s="100">
        <v>6618.2879402920389</v>
      </c>
      <c r="O78" s="100">
        <v>0.15490511017978395</v>
      </c>
      <c r="P78" s="10">
        <v>1.0194998908937889</v>
      </c>
      <c r="Q78" s="6">
        <v>27103</v>
      </c>
      <c r="R78" s="6">
        <v>240</v>
      </c>
      <c r="S78" s="6">
        <v>26840</v>
      </c>
      <c r="T78" s="6">
        <v>0</v>
      </c>
      <c r="U78" s="6">
        <v>16</v>
      </c>
      <c r="V78" s="6">
        <v>0</v>
      </c>
      <c r="W78" s="6">
        <v>0</v>
      </c>
      <c r="X78" s="9">
        <v>50537.266334955777</v>
      </c>
      <c r="Y78" s="9">
        <v>15.932796892163054</v>
      </c>
      <c r="Z78" s="9">
        <v>9665.266334955777</v>
      </c>
      <c r="AA78" s="132">
        <v>343653.41107769927</v>
      </c>
      <c r="AB78" s="132">
        <v>182620.79999999999</v>
      </c>
      <c r="AC78" s="11">
        <v>0.80874972004034817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 t="s">
        <v>820</v>
      </c>
    </row>
    <row r="79" spans="1:62" ht="12.75" customHeight="1" x14ac:dyDescent="0.35">
      <c r="A79" s="118"/>
      <c r="B79" s="30" t="s">
        <v>21</v>
      </c>
      <c r="C79" s="6" t="s">
        <v>5</v>
      </c>
      <c r="D79" s="6" t="s">
        <v>308</v>
      </c>
      <c r="E79" s="6" t="s">
        <v>395</v>
      </c>
      <c r="F79" s="6">
        <v>1069126</v>
      </c>
      <c r="G79" s="8" t="s">
        <v>556</v>
      </c>
      <c r="H79" s="129">
        <v>1389.5796226850573</v>
      </c>
      <c r="I79" s="129">
        <v>694.78981134252865</v>
      </c>
      <c r="J79" s="9">
        <v>0</v>
      </c>
      <c r="K79" s="9">
        <v>1230</v>
      </c>
      <c r="L79" s="100">
        <v>615</v>
      </c>
      <c r="M79" s="10">
        <v>0.9067490480072864</v>
      </c>
      <c r="N79" s="100">
        <v>79.789811342528651</v>
      </c>
      <c r="O79" s="100">
        <v>0</v>
      </c>
      <c r="P79" s="10">
        <v>0.45828844968684135</v>
      </c>
      <c r="Q79" s="6">
        <v>2441</v>
      </c>
      <c r="R79" s="6">
        <v>30</v>
      </c>
      <c r="S79" s="6">
        <v>2379</v>
      </c>
      <c r="T79" s="6">
        <v>0</v>
      </c>
      <c r="U79" s="6">
        <v>0</v>
      </c>
      <c r="V79" s="6">
        <v>0</v>
      </c>
      <c r="W79" s="6">
        <v>0</v>
      </c>
      <c r="X79" s="9">
        <v>3360</v>
      </c>
      <c r="Y79" s="9">
        <v>21.241071428571431</v>
      </c>
      <c r="Z79" s="9">
        <v>-2281.4203773149429</v>
      </c>
      <c r="AA79" s="132">
        <v>21635.754725206341</v>
      </c>
      <c r="AB79" s="132">
        <v>37041.03</v>
      </c>
      <c r="AC79" s="11">
        <v>2.6418061549482132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27</v>
      </c>
      <c r="C80" s="6" t="s">
        <v>5</v>
      </c>
      <c r="D80" s="6" t="s">
        <v>312</v>
      </c>
      <c r="E80" s="6" t="s">
        <v>313</v>
      </c>
      <c r="F80" s="6">
        <v>1052769</v>
      </c>
      <c r="G80" s="8" t="s">
        <v>192</v>
      </c>
      <c r="H80" s="129">
        <v>32764.503123225102</v>
      </c>
      <c r="I80" s="129">
        <v>9043.0028620101293</v>
      </c>
      <c r="J80" s="9">
        <v>0</v>
      </c>
      <c r="K80" s="9">
        <v>5620</v>
      </c>
      <c r="L80" s="100">
        <v>1551.1200000000001</v>
      </c>
      <c r="M80" s="10">
        <v>0.17323626055469066</v>
      </c>
      <c r="N80" s="100">
        <v>7491.8828620101294</v>
      </c>
      <c r="O80" s="100">
        <v>0</v>
      </c>
      <c r="P80" s="10">
        <v>0.87777777777777777</v>
      </c>
      <c r="Q80" s="6">
        <v>19012</v>
      </c>
      <c r="R80" s="6">
        <v>56</v>
      </c>
      <c r="S80" s="6">
        <v>18940</v>
      </c>
      <c r="T80" s="6">
        <v>0</v>
      </c>
      <c r="U80" s="6">
        <v>0</v>
      </c>
      <c r="V80" s="6">
        <v>0</v>
      </c>
      <c r="W80" s="6">
        <v>0</v>
      </c>
      <c r="X80" s="9">
        <v>32764.503123225106</v>
      </c>
      <c r="Y80" s="9">
        <v>17.341938556584783</v>
      </c>
      <c r="Z80" s="9">
        <v>8132.5031232251022</v>
      </c>
      <c r="AA80" s="132">
        <v>133023.8826802939</v>
      </c>
      <c r="AB80" s="132">
        <v>76896.399999999994</v>
      </c>
      <c r="AC80" s="11">
        <v>0.7517892124706026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/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6">
        <v>1071169</v>
      </c>
      <c r="G81" s="8" t="s">
        <v>601</v>
      </c>
      <c r="H81" s="129">
        <v>20963.360076706809</v>
      </c>
      <c r="I81" s="129">
        <v>3773.4048138072253</v>
      </c>
      <c r="J81" s="9">
        <v>0</v>
      </c>
      <c r="K81" s="9">
        <v>5935</v>
      </c>
      <c r="L81" s="100">
        <v>1068.3</v>
      </c>
      <c r="M81" s="10">
        <v>0.29341670311881973</v>
      </c>
      <c r="N81" s="100">
        <v>2705.1048138072256</v>
      </c>
      <c r="O81" s="100">
        <v>2.3007324341404778</v>
      </c>
      <c r="P81" s="10">
        <v>1.0766910811380159</v>
      </c>
      <c r="Q81" s="6">
        <v>12450</v>
      </c>
      <c r="R81" s="6">
        <v>216</v>
      </c>
      <c r="S81" s="6">
        <v>12197</v>
      </c>
      <c r="T81" s="6">
        <v>0</v>
      </c>
      <c r="U81" s="6">
        <v>0</v>
      </c>
      <c r="V81" s="6">
        <v>0</v>
      </c>
      <c r="W81" s="6">
        <v>0</v>
      </c>
      <c r="X81" s="9">
        <v>20963.360076706809</v>
      </c>
      <c r="Y81" s="9">
        <v>17.454740015966074</v>
      </c>
      <c r="Z81" s="9">
        <v>2578.3600767068092</v>
      </c>
      <c r="AA81" s="132">
        <v>92867.685139811161</v>
      </c>
      <c r="AB81" s="132">
        <v>54032.71</v>
      </c>
      <c r="AC81" s="11">
        <v>0.87700635455039844</v>
      </c>
      <c r="AD81" s="71"/>
      <c r="AE81" s="71">
        <v>45.406639004149376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22</v>
      </c>
      <c r="C82" s="6" t="s">
        <v>5</v>
      </c>
      <c r="D82" s="6" t="s">
        <v>396</v>
      </c>
      <c r="E82" s="6" t="s">
        <v>397</v>
      </c>
      <c r="F82" s="6">
        <v>1051099</v>
      </c>
      <c r="G82" s="8" t="s">
        <v>168</v>
      </c>
      <c r="H82" s="129">
        <v>265.17822030915204</v>
      </c>
      <c r="I82" s="129">
        <v>6629.4555077288005</v>
      </c>
      <c r="J82" s="9">
        <v>0</v>
      </c>
      <c r="K82" s="9">
        <v>211</v>
      </c>
      <c r="L82" s="100">
        <v>5275</v>
      </c>
      <c r="M82" s="10">
        <v>0.79569128925448862</v>
      </c>
      <c r="N82" s="100">
        <v>1354.4555077288005</v>
      </c>
      <c r="O82" s="100">
        <v>6.8368810010480079</v>
      </c>
      <c r="P82" s="10">
        <v>1.3346650934126416</v>
      </c>
      <c r="Q82" s="6">
        <v>419</v>
      </c>
      <c r="R82" s="6">
        <v>0</v>
      </c>
      <c r="S82" s="6">
        <v>419</v>
      </c>
      <c r="T82" s="6">
        <v>0</v>
      </c>
      <c r="U82" s="6">
        <v>0</v>
      </c>
      <c r="V82" s="6">
        <v>237</v>
      </c>
      <c r="W82" s="6">
        <v>0</v>
      </c>
      <c r="X82" s="9">
        <v>562.66666666666663</v>
      </c>
      <c r="Y82" s="9">
        <v>22.34004739336493</v>
      </c>
      <c r="Z82" s="9">
        <v>-364.82177969084796</v>
      </c>
      <c r="AA82" s="132">
        <v>116198.44435726733</v>
      </c>
      <c r="AB82" s="132">
        <v>287452.64</v>
      </c>
      <c r="AC82" s="11">
        <v>2.3757607214707477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 t="s">
        <v>1</v>
      </c>
      <c r="BJ82" s="31"/>
    </row>
    <row r="83" spans="1:62" ht="12.75" customHeight="1" x14ac:dyDescent="0.35">
      <c r="A83" s="118"/>
      <c r="B83" s="30" t="s">
        <v>15</v>
      </c>
      <c r="C83" s="6" t="s">
        <v>5</v>
      </c>
      <c r="D83" s="6" t="s">
        <v>308</v>
      </c>
      <c r="E83" s="6" t="s">
        <v>315</v>
      </c>
      <c r="F83" s="6">
        <v>1073436</v>
      </c>
      <c r="G83" s="8" t="s">
        <v>635</v>
      </c>
      <c r="H83" s="129">
        <v>13612.000231722133</v>
      </c>
      <c r="I83" s="129">
        <v>3049.0880519057578</v>
      </c>
      <c r="J83" s="9">
        <v>0</v>
      </c>
      <c r="K83" s="9">
        <v>5888</v>
      </c>
      <c r="L83" s="100">
        <v>1318.912</v>
      </c>
      <c r="M83" s="10">
        <v>0.44313839974397773</v>
      </c>
      <c r="N83" s="100">
        <v>1730.1760519057577</v>
      </c>
      <c r="O83" s="100">
        <v>9.3670251565804392</v>
      </c>
      <c r="P83" s="10">
        <v>1.1691722718020565</v>
      </c>
      <c r="Q83" s="6">
        <v>12235</v>
      </c>
      <c r="R83" s="6">
        <v>144</v>
      </c>
      <c r="S83" s="6">
        <v>12091</v>
      </c>
      <c r="T83" s="6">
        <v>3744</v>
      </c>
      <c r="U83" s="6">
        <v>0</v>
      </c>
      <c r="V83" s="6">
        <v>0</v>
      </c>
      <c r="W83" s="6">
        <v>0</v>
      </c>
      <c r="X83" s="9">
        <v>16085.333333333334</v>
      </c>
      <c r="Y83" s="9">
        <v>22.55035643236074</v>
      </c>
      <c r="Z83" s="9">
        <v>-8254.9997682778667</v>
      </c>
      <c r="AA83" s="132">
        <v>60437.281028846279</v>
      </c>
      <c r="AB83" s="132">
        <v>70307.400000000009</v>
      </c>
      <c r="AC83" s="11">
        <v>1.6064501636607362</v>
      </c>
      <c r="AD83" s="71"/>
      <c r="AE83" s="71">
        <v>24.623909411546315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 t="s">
        <v>813</v>
      </c>
    </row>
    <row r="84" spans="1:62" ht="12.75" customHeight="1" x14ac:dyDescent="0.35">
      <c r="A84" s="118"/>
      <c r="B84" s="30" t="s">
        <v>9</v>
      </c>
      <c r="C84" s="6" t="s">
        <v>5</v>
      </c>
      <c r="D84" s="6" t="s">
        <v>308</v>
      </c>
      <c r="E84" s="6" t="s">
        <v>803</v>
      </c>
      <c r="F84" s="6">
        <v>1079784</v>
      </c>
      <c r="G84" s="162" t="s">
        <v>818</v>
      </c>
      <c r="H84" s="129">
        <v>1000</v>
      </c>
      <c r="I84" s="129">
        <v>500</v>
      </c>
      <c r="J84" s="9">
        <v>0</v>
      </c>
      <c r="K84" s="9">
        <v>1050</v>
      </c>
      <c r="L84" s="100">
        <v>525</v>
      </c>
      <c r="M84" s="10">
        <v>1.05</v>
      </c>
      <c r="N84" s="100">
        <v>25</v>
      </c>
      <c r="O84" s="100">
        <v>0</v>
      </c>
      <c r="P84" s="10">
        <v>0</v>
      </c>
      <c r="Q84" s="6">
        <v>2194</v>
      </c>
      <c r="R84" s="6">
        <v>0</v>
      </c>
      <c r="S84" s="6">
        <v>2194</v>
      </c>
      <c r="T84" s="6">
        <v>0</v>
      </c>
      <c r="U84" s="6">
        <v>0</v>
      </c>
      <c r="V84" s="6">
        <v>0</v>
      </c>
      <c r="W84" s="6">
        <v>0</v>
      </c>
      <c r="X84" s="9">
        <v>2800</v>
      </c>
      <c r="Y84" s="9">
        <v>23.507142857142856</v>
      </c>
      <c r="Z84" s="9">
        <v>-2244</v>
      </c>
      <c r="AA84" s="132">
        <v>23670</v>
      </c>
      <c r="AB84" s="132">
        <v>51931.98</v>
      </c>
      <c r="AC84" s="11">
        <v>3.2440000000000002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2"/>
      <c r="BJ84" s="31"/>
    </row>
    <row r="85" spans="1:62" ht="12.75" customHeight="1" x14ac:dyDescent="0.35">
      <c r="A85" s="118"/>
      <c r="B85" s="30" t="s">
        <v>4</v>
      </c>
      <c r="C85" s="6" t="s">
        <v>5</v>
      </c>
      <c r="D85" s="6" t="s">
        <v>308</v>
      </c>
      <c r="E85" s="6" t="s">
        <v>314</v>
      </c>
      <c r="F85" s="6">
        <v>1075243</v>
      </c>
      <c r="G85" s="8" t="s">
        <v>662</v>
      </c>
      <c r="H85" s="129">
        <v>13504.698155984026</v>
      </c>
      <c r="I85" s="129">
        <v>3241.1275574361662</v>
      </c>
      <c r="J85" s="9">
        <v>0</v>
      </c>
      <c r="K85" s="9">
        <v>5137</v>
      </c>
      <c r="L85" s="100">
        <v>1232.8799999999999</v>
      </c>
      <c r="M85" s="10">
        <v>0.38038613974676355</v>
      </c>
      <c r="N85" s="100">
        <v>2008.2475574361663</v>
      </c>
      <c r="O85" s="100">
        <v>0</v>
      </c>
      <c r="P85" s="10">
        <v>0.6204549469467584</v>
      </c>
      <c r="Q85" s="6">
        <v>10772</v>
      </c>
      <c r="R85" s="6">
        <v>0</v>
      </c>
      <c r="S85" s="6">
        <v>10738</v>
      </c>
      <c r="T85" s="6">
        <v>696</v>
      </c>
      <c r="U85" s="6">
        <v>0</v>
      </c>
      <c r="V85" s="6">
        <v>0</v>
      </c>
      <c r="W85" s="6">
        <v>0</v>
      </c>
      <c r="X85" s="9">
        <v>13698.666666666664</v>
      </c>
      <c r="Y85" s="9">
        <v>23.516157290247232</v>
      </c>
      <c r="Z85" s="9">
        <v>-3100.301844015974</v>
      </c>
      <c r="AA85" s="132">
        <v>46861.302601264571</v>
      </c>
      <c r="AB85" s="132">
        <v>39675.980000000003</v>
      </c>
      <c r="AC85" s="11">
        <v>1.2295720947041091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/>
      <c r="BJ85" s="31" t="s">
        <v>819</v>
      </c>
    </row>
    <row r="86" spans="1:62" ht="12.5" customHeight="1" x14ac:dyDescent="0.35">
      <c r="A86" s="118"/>
      <c r="B86" s="30" t="s">
        <v>4</v>
      </c>
      <c r="C86" s="6" t="s">
        <v>5</v>
      </c>
      <c r="D86" s="6" t="s">
        <v>308</v>
      </c>
      <c r="E86" s="6" t="s">
        <v>315</v>
      </c>
      <c r="F86" s="6">
        <v>1072750</v>
      </c>
      <c r="G86" s="8" t="s">
        <v>602</v>
      </c>
      <c r="H86" s="129">
        <v>2027.4896879705855</v>
      </c>
      <c r="I86" s="129">
        <v>405.4979375941171</v>
      </c>
      <c r="J86" s="9">
        <v>0</v>
      </c>
      <c r="K86" s="9">
        <v>1589</v>
      </c>
      <c r="L86" s="100">
        <v>317.8</v>
      </c>
      <c r="M86" s="10">
        <v>0.80148373115847649</v>
      </c>
      <c r="N86" s="100">
        <v>87.697937594117093</v>
      </c>
      <c r="O86" s="100">
        <v>5.1600000000000046</v>
      </c>
      <c r="P86" s="10">
        <v>1.0860000000000001</v>
      </c>
      <c r="Q86" s="6">
        <v>3498</v>
      </c>
      <c r="R86" s="6">
        <v>36</v>
      </c>
      <c r="S86" s="6">
        <v>3420</v>
      </c>
      <c r="T86" s="6">
        <v>0</v>
      </c>
      <c r="U86" s="6">
        <v>0</v>
      </c>
      <c r="V86" s="6">
        <v>0</v>
      </c>
      <c r="W86" s="6">
        <v>1816</v>
      </c>
      <c r="X86" s="9">
        <v>4333.333333333333</v>
      </c>
      <c r="Y86" s="9">
        <v>23.676923076923078</v>
      </c>
      <c r="Z86" s="9">
        <v>-3059.5103120294143</v>
      </c>
      <c r="AA86" s="132">
        <v>3568.3818508282307</v>
      </c>
      <c r="AB86" s="132">
        <v>9215.36</v>
      </c>
      <c r="AC86" s="11">
        <v>2.509013994094258</v>
      </c>
      <c r="AD86" s="71"/>
      <c r="AE86" s="71">
        <v>7.1636228102869923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>
        <v>0</v>
      </c>
      <c r="C87" s="6" t="s">
        <v>2</v>
      </c>
      <c r="D87" s="6" t="s">
        <v>310</v>
      </c>
      <c r="E87" s="6" t="s">
        <v>311</v>
      </c>
      <c r="F87" s="154">
        <v>1080747</v>
      </c>
      <c r="G87" s="162" t="s">
        <v>782</v>
      </c>
      <c r="H87" s="129">
        <v>21908.305658518337</v>
      </c>
      <c r="I87" s="129">
        <v>3505.3289053629342</v>
      </c>
      <c r="J87" s="9">
        <v>0</v>
      </c>
      <c r="K87" s="9">
        <v>15170</v>
      </c>
      <c r="L87" s="100">
        <v>2427.2000000000003</v>
      </c>
      <c r="M87" s="10">
        <v>0.70804197466400876</v>
      </c>
      <c r="N87" s="100">
        <v>1078.1289053629339</v>
      </c>
      <c r="O87" s="100">
        <v>0</v>
      </c>
      <c r="P87" s="10">
        <v>0</v>
      </c>
      <c r="Q87" s="6">
        <v>33084</v>
      </c>
      <c r="R87" s="6">
        <v>342</v>
      </c>
      <c r="S87" s="6">
        <v>32693</v>
      </c>
      <c r="T87" s="6">
        <v>0</v>
      </c>
      <c r="U87" s="6">
        <v>0</v>
      </c>
      <c r="V87" s="6">
        <v>0</v>
      </c>
      <c r="W87" s="6">
        <v>0</v>
      </c>
      <c r="X87" s="9">
        <v>41365.333333333336</v>
      </c>
      <c r="Y87" s="9">
        <v>23.710433857658586</v>
      </c>
      <c r="Z87" s="9">
        <v>-26345.694341481663</v>
      </c>
      <c r="AA87" s="132">
        <v>140870.40538427289</v>
      </c>
      <c r="AB87" s="132">
        <v>210215.99</v>
      </c>
      <c r="AC87" s="11">
        <v>2.202543672346382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 t="s">
        <v>1</v>
      </c>
      <c r="BJ87" s="31" t="s">
        <v>816</v>
      </c>
    </row>
    <row r="88" spans="1:62" ht="12.75" customHeight="1" x14ac:dyDescent="0.35">
      <c r="A88" s="118"/>
      <c r="B88" s="30" t="s">
        <v>1</v>
      </c>
      <c r="C88" s="6" t="s">
        <v>50</v>
      </c>
      <c r="D88" s="6" t="s">
        <v>320</v>
      </c>
      <c r="E88" s="6" t="s">
        <v>402</v>
      </c>
      <c r="F88" s="6">
        <v>1060799</v>
      </c>
      <c r="G88" s="8" t="s">
        <v>436</v>
      </c>
      <c r="H88" s="129">
        <v>18241.192352608981</v>
      </c>
      <c r="I88" s="129">
        <v>3283.4146234696163</v>
      </c>
      <c r="J88" s="9">
        <v>0</v>
      </c>
      <c r="K88" s="9">
        <v>3848</v>
      </c>
      <c r="L88" s="100">
        <v>692.64</v>
      </c>
      <c r="M88" s="10">
        <v>0.21226682582765483</v>
      </c>
      <c r="N88" s="100">
        <v>2590.7746234696165</v>
      </c>
      <c r="O88" s="100">
        <v>21.789990745354881</v>
      </c>
      <c r="P88" s="10">
        <v>1.7277318116975748</v>
      </c>
      <c r="Q88" s="6">
        <v>11382</v>
      </c>
      <c r="R88" s="6">
        <v>24</v>
      </c>
      <c r="S88" s="6">
        <v>11339</v>
      </c>
      <c r="T88" s="6">
        <v>0</v>
      </c>
      <c r="U88" s="6">
        <v>0</v>
      </c>
      <c r="V88" s="6">
        <v>0</v>
      </c>
      <c r="W88" s="6">
        <v>0</v>
      </c>
      <c r="X88" s="9">
        <v>18241.192352608981</v>
      </c>
      <c r="Y88" s="9">
        <v>18.648451999430097</v>
      </c>
      <c r="Z88" s="9">
        <v>3011.1923526089813</v>
      </c>
      <c r="AA88" s="132">
        <v>124404.93184479326</v>
      </c>
      <c r="AB88" s="132">
        <v>77331.98000000001</v>
      </c>
      <c r="AC88" s="11">
        <v>0.83492349105247499</v>
      </c>
      <c r="AD88" s="71"/>
      <c r="AE88" s="71" t="s">
        <v>574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4</v>
      </c>
      <c r="C89" s="6" t="s">
        <v>5</v>
      </c>
      <c r="D89" s="6" t="s">
        <v>308</v>
      </c>
      <c r="E89" s="6" t="s">
        <v>314</v>
      </c>
      <c r="F89" s="6">
        <v>1075185</v>
      </c>
      <c r="G89" s="8" t="s">
        <v>703</v>
      </c>
      <c r="H89" s="129">
        <v>4400</v>
      </c>
      <c r="I89" s="129">
        <v>4224</v>
      </c>
      <c r="J89" s="9">
        <v>0</v>
      </c>
      <c r="K89" s="9">
        <v>20195</v>
      </c>
      <c r="L89" s="100">
        <v>19387.2</v>
      </c>
      <c r="M89" s="10">
        <v>4.5897727272727273</v>
      </c>
      <c r="N89" s="100">
        <v>15163.2</v>
      </c>
      <c r="O89" s="100">
        <v>0</v>
      </c>
      <c r="P89" s="10">
        <v>0.6852247154734652</v>
      </c>
      <c r="Q89" s="6">
        <v>43223</v>
      </c>
      <c r="R89" s="6">
        <v>0</v>
      </c>
      <c r="S89" s="6">
        <v>43223</v>
      </c>
      <c r="T89" s="6">
        <v>0</v>
      </c>
      <c r="U89" s="6">
        <v>0</v>
      </c>
      <c r="V89" s="6">
        <v>0</v>
      </c>
      <c r="W89" s="6">
        <v>0</v>
      </c>
      <c r="X89" s="9">
        <v>53853.333333333336</v>
      </c>
      <c r="Y89" s="9">
        <v>24.078175290913592</v>
      </c>
      <c r="Z89" s="9">
        <v>-59018</v>
      </c>
      <c r="AA89" s="132">
        <v>5544</v>
      </c>
      <c r="AB89" s="132">
        <v>54460.98</v>
      </c>
      <c r="AC89" s="11">
        <v>14.413181818181819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</v>
      </c>
      <c r="C90" s="6" t="s">
        <v>2</v>
      </c>
      <c r="D90" s="6" t="s">
        <v>310</v>
      </c>
      <c r="E90" s="6" t="s">
        <v>311</v>
      </c>
      <c r="F90" s="127">
        <v>1068296</v>
      </c>
      <c r="G90" s="128" t="s">
        <v>571</v>
      </c>
      <c r="H90" s="129">
        <v>7486.3134353123769</v>
      </c>
      <c r="I90" s="129">
        <v>1347.5364183562278</v>
      </c>
      <c r="J90" s="9">
        <v>0</v>
      </c>
      <c r="K90" s="9">
        <v>4824</v>
      </c>
      <c r="L90" s="100">
        <v>868.31999999999994</v>
      </c>
      <c r="M90" s="10">
        <v>0.64678029337653031</v>
      </c>
      <c r="N90" s="100">
        <v>479.2164183562279</v>
      </c>
      <c r="O90" s="100">
        <v>0</v>
      </c>
      <c r="P90" s="10">
        <v>0.8054098993713843</v>
      </c>
      <c r="Q90" s="6">
        <v>10439</v>
      </c>
      <c r="R90" s="6">
        <v>18</v>
      </c>
      <c r="S90" s="6">
        <v>10421</v>
      </c>
      <c r="T90" s="6">
        <v>0</v>
      </c>
      <c r="U90" s="6">
        <v>0</v>
      </c>
      <c r="V90" s="6">
        <v>0</v>
      </c>
      <c r="W90" s="6">
        <v>0</v>
      </c>
      <c r="X90" s="9">
        <v>12911.999999999998</v>
      </c>
      <c r="Y90" s="9">
        <v>24.212360594795541</v>
      </c>
      <c r="Z90" s="9">
        <v>-7776.6865646876231</v>
      </c>
      <c r="AA90" s="132">
        <v>16245.300154627857</v>
      </c>
      <c r="AB90" s="132">
        <v>22613.57</v>
      </c>
      <c r="AC90" s="11">
        <v>2.0387871990512147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21</v>
      </c>
      <c r="C91" s="6" t="s">
        <v>5</v>
      </c>
      <c r="D91" s="6" t="s">
        <v>308</v>
      </c>
      <c r="E91" s="6" t="s">
        <v>372</v>
      </c>
      <c r="F91" s="127">
        <v>1059111</v>
      </c>
      <c r="G91" s="128" t="s">
        <v>525</v>
      </c>
      <c r="H91" s="129">
        <v>3280</v>
      </c>
      <c r="I91" s="129">
        <v>1416.96</v>
      </c>
      <c r="J91" s="9">
        <v>0</v>
      </c>
      <c r="K91" s="9">
        <v>982</v>
      </c>
      <c r="L91" s="100">
        <v>424.22399999999999</v>
      </c>
      <c r="M91" s="10">
        <v>0.29939024390243901</v>
      </c>
      <c r="N91" s="100">
        <v>992.7360000000001</v>
      </c>
      <c r="O91" s="100">
        <v>0</v>
      </c>
      <c r="P91" s="10">
        <v>0.96143833344564256</v>
      </c>
      <c r="Q91" s="6">
        <v>2208</v>
      </c>
      <c r="R91" s="6">
        <v>0</v>
      </c>
      <c r="S91" s="6">
        <v>2157</v>
      </c>
      <c r="T91" s="6">
        <v>0</v>
      </c>
      <c r="U91" s="6">
        <v>0</v>
      </c>
      <c r="V91" s="6">
        <v>0</v>
      </c>
      <c r="W91" s="6">
        <v>0</v>
      </c>
      <c r="X91" s="9">
        <v>3280</v>
      </c>
      <c r="Y91" s="9">
        <v>19.728658536585364</v>
      </c>
      <c r="Z91" s="9">
        <v>90</v>
      </c>
      <c r="AA91" s="132">
        <v>23386.400000000001</v>
      </c>
      <c r="AB91" s="132">
        <v>15379.41</v>
      </c>
      <c r="AC91" s="11">
        <v>0.97256097560975607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>
        <v>0</v>
      </c>
      <c r="C92" s="6" t="s">
        <v>2</v>
      </c>
      <c r="D92" s="6" t="s">
        <v>308</v>
      </c>
      <c r="E92" s="6" t="s">
        <v>395</v>
      </c>
      <c r="F92" s="154">
        <v>1080731</v>
      </c>
      <c r="G92" s="162" t="s">
        <v>786</v>
      </c>
      <c r="H92" s="129">
        <v>5112.0003000000006</v>
      </c>
      <c r="I92" s="129">
        <v>417.65042451000005</v>
      </c>
      <c r="J92" s="9">
        <v>0</v>
      </c>
      <c r="K92" s="9">
        <v>1792</v>
      </c>
      <c r="L92" s="100">
        <v>146.40639999999999</v>
      </c>
      <c r="M92" s="10">
        <v>0.41940529620078459</v>
      </c>
      <c r="N92" s="100">
        <v>271.24402451000003</v>
      </c>
      <c r="O92" s="100">
        <v>0</v>
      </c>
      <c r="P92" s="10">
        <v>0</v>
      </c>
      <c r="Q92" s="6">
        <v>5136</v>
      </c>
      <c r="R92" s="6">
        <v>352</v>
      </c>
      <c r="S92" s="6">
        <v>4770</v>
      </c>
      <c r="T92" s="6">
        <v>0</v>
      </c>
      <c r="U92" s="6">
        <v>0</v>
      </c>
      <c r="V92" s="6">
        <v>0</v>
      </c>
      <c r="W92" s="6">
        <v>0</v>
      </c>
      <c r="X92" s="9">
        <v>5717.333333333333</v>
      </c>
      <c r="Y92" s="9">
        <v>25.029151119402986</v>
      </c>
      <c r="Z92" s="9">
        <v>-1815.9996999999994</v>
      </c>
      <c r="AA92" s="132">
        <v>63439.923723000007</v>
      </c>
      <c r="AB92" s="132">
        <v>59195.7</v>
      </c>
      <c r="AC92" s="11">
        <v>1.3552424869771622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 t="s">
        <v>1</v>
      </c>
      <c r="BJ92" s="31"/>
    </row>
    <row r="93" spans="1:62" ht="12.75" customHeight="1" x14ac:dyDescent="0.35">
      <c r="A93" s="118"/>
      <c r="B93" s="30" t="s">
        <v>31</v>
      </c>
      <c r="C93" s="6" t="s">
        <v>5</v>
      </c>
      <c r="D93" s="6" t="s">
        <v>306</v>
      </c>
      <c r="E93" s="6" t="s">
        <v>307</v>
      </c>
      <c r="F93" s="6">
        <v>1071764</v>
      </c>
      <c r="G93" s="8" t="s">
        <v>604</v>
      </c>
      <c r="H93" s="129">
        <v>8278.7980228847173</v>
      </c>
      <c r="I93" s="129">
        <v>2980.3672882384981</v>
      </c>
      <c r="J93" s="9">
        <v>0</v>
      </c>
      <c r="K93" s="9">
        <v>2203</v>
      </c>
      <c r="L93" s="100">
        <v>793.07999999999993</v>
      </c>
      <c r="M93" s="10">
        <v>0.27334885979154083</v>
      </c>
      <c r="N93" s="100">
        <v>2187.2872882384981</v>
      </c>
      <c r="O93" s="100">
        <v>0</v>
      </c>
      <c r="P93" s="10">
        <v>0.5490687734603994</v>
      </c>
      <c r="Q93" s="6">
        <v>5482</v>
      </c>
      <c r="R93" s="6">
        <v>60</v>
      </c>
      <c r="S93" s="6">
        <v>5386</v>
      </c>
      <c r="T93" s="6">
        <v>0</v>
      </c>
      <c r="U93" s="6">
        <v>0</v>
      </c>
      <c r="V93" s="6">
        <v>0</v>
      </c>
      <c r="W93" s="6">
        <v>0</v>
      </c>
      <c r="X93" s="9">
        <v>8278.7980228847173</v>
      </c>
      <c r="Y93" s="9">
        <v>19.517326011982838</v>
      </c>
      <c r="Z93" s="9">
        <v>593.79802288471728</v>
      </c>
      <c r="AA93" s="132">
        <v>57951.586160193023</v>
      </c>
      <c r="AB93" s="132">
        <v>37702</v>
      </c>
      <c r="AC93" s="11">
        <v>0.92827485086080042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/>
      <c r="BJ93" s="31"/>
    </row>
    <row r="94" spans="1:62" ht="12.75" customHeight="1" x14ac:dyDescent="0.35">
      <c r="A94" s="118"/>
      <c r="B94" s="30" t="s">
        <v>4</v>
      </c>
      <c r="C94" s="6" t="s">
        <v>5</v>
      </c>
      <c r="D94" s="6" t="s">
        <v>308</v>
      </c>
      <c r="E94" s="6" t="s">
        <v>315</v>
      </c>
      <c r="F94" s="6">
        <v>1071156</v>
      </c>
      <c r="G94" s="8" t="s">
        <v>616</v>
      </c>
      <c r="H94" s="129">
        <v>21101.65675199527</v>
      </c>
      <c r="I94" s="129">
        <v>3798.2982153591483</v>
      </c>
      <c r="J94" s="9">
        <v>0</v>
      </c>
      <c r="K94" s="9">
        <v>3577</v>
      </c>
      <c r="L94" s="100">
        <v>643.86</v>
      </c>
      <c r="M94" s="10">
        <v>0.18060193305151978</v>
      </c>
      <c r="N94" s="100">
        <v>3154.4382153591482</v>
      </c>
      <c r="O94" s="100">
        <v>4.5945006961849586</v>
      </c>
      <c r="P94" s="10">
        <v>1.1359157231667711</v>
      </c>
      <c r="Q94" s="6">
        <v>14097</v>
      </c>
      <c r="R94" s="6">
        <v>234</v>
      </c>
      <c r="S94" s="6">
        <v>13839</v>
      </c>
      <c r="T94" s="6">
        <v>1620</v>
      </c>
      <c r="U94" s="6">
        <v>0</v>
      </c>
      <c r="V94" s="6">
        <v>0</v>
      </c>
      <c r="W94" s="6">
        <v>0</v>
      </c>
      <c r="X94" s="9">
        <v>21101.65675199527</v>
      </c>
      <c r="Y94" s="9">
        <v>19.674758474153624</v>
      </c>
      <c r="Z94" s="9">
        <v>1807.6567519952696</v>
      </c>
      <c r="AA94" s="132">
        <v>81241.378495181794</v>
      </c>
      <c r="AB94" s="132">
        <v>59517.15</v>
      </c>
      <c r="AC94" s="11">
        <v>0.91433579015901933</v>
      </c>
      <c r="AD94" s="71"/>
      <c r="AE94" s="71">
        <v>25.413523318326849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27</v>
      </c>
      <c r="C95" s="6" t="s">
        <v>5</v>
      </c>
      <c r="D95" s="6" t="s">
        <v>312</v>
      </c>
      <c r="E95" s="6" t="s">
        <v>313</v>
      </c>
      <c r="F95" s="148">
        <v>1072351</v>
      </c>
      <c r="G95" s="149" t="s">
        <v>595</v>
      </c>
      <c r="H95" s="129">
        <v>280325.85517184448</v>
      </c>
      <c r="I95" s="129">
        <v>63914.294979180544</v>
      </c>
      <c r="J95" s="9">
        <v>0</v>
      </c>
      <c r="K95" s="9">
        <v>66125</v>
      </c>
      <c r="L95" s="100">
        <v>15076.5</v>
      </c>
      <c r="M95" s="10">
        <v>0.23928581243025213</v>
      </c>
      <c r="N95" s="100">
        <v>48837.794979180544</v>
      </c>
      <c r="O95" s="100">
        <v>0</v>
      </c>
      <c r="P95" s="10">
        <v>0.73724137931034484</v>
      </c>
      <c r="Q95" s="6">
        <v>184799</v>
      </c>
      <c r="R95" s="6">
        <v>953</v>
      </c>
      <c r="S95" s="6">
        <v>183846</v>
      </c>
      <c r="T95" s="6">
        <v>0</v>
      </c>
      <c r="U95" s="6">
        <v>0</v>
      </c>
      <c r="V95" s="6">
        <v>0</v>
      </c>
      <c r="W95" s="6">
        <v>0</v>
      </c>
      <c r="X95" s="9">
        <v>280325.85517184448</v>
      </c>
      <c r="Y95" s="9">
        <v>19.674888699149705</v>
      </c>
      <c r="Z95" s="9">
        <v>29401.85517184448</v>
      </c>
      <c r="AA95" s="132">
        <v>538225.64192994137</v>
      </c>
      <c r="AB95" s="132">
        <v>352984.32000000001</v>
      </c>
      <c r="AC95" s="11">
        <v>0.89511543573524233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/>
      <c r="BJ95" s="31" t="s">
        <v>817</v>
      </c>
    </row>
    <row r="96" spans="1:62" ht="12.75" customHeight="1" x14ac:dyDescent="0.35">
      <c r="A96" s="118"/>
      <c r="B96" s="30" t="s">
        <v>1</v>
      </c>
      <c r="C96" s="6" t="s">
        <v>5</v>
      </c>
      <c r="D96" s="6" t="s">
        <v>396</v>
      </c>
      <c r="E96" s="6" t="s">
        <v>307</v>
      </c>
      <c r="F96" s="6">
        <v>1067889</v>
      </c>
      <c r="G96" s="8" t="s">
        <v>542</v>
      </c>
      <c r="H96" s="129">
        <v>1517.611358196616</v>
      </c>
      <c r="I96" s="129">
        <v>576.69231611471412</v>
      </c>
      <c r="J96" s="9">
        <v>0</v>
      </c>
      <c r="K96" s="9">
        <v>636</v>
      </c>
      <c r="L96" s="100">
        <v>241.68</v>
      </c>
      <c r="M96" s="10">
        <v>0.43489395123154639</v>
      </c>
      <c r="N96" s="100">
        <v>335.01231611471411</v>
      </c>
      <c r="O96" s="100">
        <v>0</v>
      </c>
      <c r="P96" s="10">
        <v>0</v>
      </c>
      <c r="Q96" s="6">
        <v>1556</v>
      </c>
      <c r="R96" s="6">
        <v>24</v>
      </c>
      <c r="S96" s="6">
        <v>1516</v>
      </c>
      <c r="T96" s="6">
        <v>0</v>
      </c>
      <c r="U96" s="6">
        <v>0</v>
      </c>
      <c r="V96" s="6">
        <v>0</v>
      </c>
      <c r="W96" s="6">
        <v>0</v>
      </c>
      <c r="X96" s="9">
        <v>1760</v>
      </c>
      <c r="Y96" s="9">
        <v>25.84090909090909</v>
      </c>
      <c r="Z96" s="9">
        <v>-674.38864180338396</v>
      </c>
      <c r="AA96" s="132">
        <v>4082.374553548897</v>
      </c>
      <c r="AB96" s="132">
        <v>4078.04</v>
      </c>
      <c r="AC96" s="11">
        <v>1.4443750622720448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2"/>
      <c r="BJ96" s="31"/>
    </row>
    <row r="97" spans="1:62" ht="12.75" customHeight="1" x14ac:dyDescent="0.35">
      <c r="A97" s="118"/>
      <c r="B97" s="30" t="s">
        <v>4</v>
      </c>
      <c r="C97" s="6" t="s">
        <v>5</v>
      </c>
      <c r="D97" s="6" t="s">
        <v>308</v>
      </c>
      <c r="E97" s="6" t="s">
        <v>314</v>
      </c>
      <c r="F97" s="61">
        <v>1069728</v>
      </c>
      <c r="G97" s="70" t="s">
        <v>568</v>
      </c>
      <c r="H97" s="129">
        <v>23435.242212776284</v>
      </c>
      <c r="I97" s="129">
        <v>4745.6365480871982</v>
      </c>
      <c r="J97" s="9">
        <v>0</v>
      </c>
      <c r="K97" s="9">
        <v>6104</v>
      </c>
      <c r="L97" s="100">
        <v>1236.0600000000002</v>
      </c>
      <c r="M97" s="10">
        <v>0.271983534120465</v>
      </c>
      <c r="N97" s="100">
        <v>3509.5765480871978</v>
      </c>
      <c r="O97" s="100">
        <v>0</v>
      </c>
      <c r="P97" s="10">
        <v>0.23167728153557771</v>
      </c>
      <c r="Q97" s="6">
        <v>16522</v>
      </c>
      <c r="R97" s="6">
        <v>270</v>
      </c>
      <c r="S97" s="6">
        <v>16243</v>
      </c>
      <c r="T97" s="6">
        <v>0</v>
      </c>
      <c r="U97" s="6">
        <v>0</v>
      </c>
      <c r="V97" s="6">
        <v>0</v>
      </c>
      <c r="W97" s="6">
        <v>0</v>
      </c>
      <c r="X97" s="9">
        <v>23435.242212776284</v>
      </c>
      <c r="Y97" s="9">
        <v>20.793043040721898</v>
      </c>
      <c r="Z97" s="9">
        <v>809.24221277628385</v>
      </c>
      <c r="AA97" s="132">
        <v>55072.819200024271</v>
      </c>
      <c r="AB97" s="132">
        <v>38171.050000000003</v>
      </c>
      <c r="AC97" s="11">
        <v>0.96546900580634465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/>
      <c r="BJ97" s="31" t="s">
        <v>811</v>
      </c>
    </row>
    <row r="98" spans="1:62" ht="12.75" customHeight="1" x14ac:dyDescent="0.35">
      <c r="A98" s="118"/>
      <c r="B98" s="30" t="s">
        <v>1</v>
      </c>
      <c r="C98" s="6" t="s">
        <v>50</v>
      </c>
      <c r="D98" s="6" t="s">
        <v>310</v>
      </c>
      <c r="E98" s="6" t="s">
        <v>403</v>
      </c>
      <c r="F98" s="61">
        <v>1076300</v>
      </c>
      <c r="G98" s="70" t="s">
        <v>690</v>
      </c>
      <c r="H98" s="129">
        <v>26252.455431555933</v>
      </c>
      <c r="I98" s="129">
        <v>3412.8192061022714</v>
      </c>
      <c r="J98" s="9">
        <v>0</v>
      </c>
      <c r="K98" s="9">
        <v>6280</v>
      </c>
      <c r="L98" s="100">
        <v>816.4</v>
      </c>
      <c r="M98" s="10">
        <v>0.25948049003491885</v>
      </c>
      <c r="N98" s="100">
        <v>2596.4192061022713</v>
      </c>
      <c r="O98" s="100">
        <v>35.876594371977852</v>
      </c>
      <c r="P98" s="10">
        <v>2.750655897494688</v>
      </c>
      <c r="Q98" s="6">
        <v>18814</v>
      </c>
      <c r="R98" s="6">
        <v>532</v>
      </c>
      <c r="S98" s="6">
        <v>18253</v>
      </c>
      <c r="T98" s="6">
        <v>0</v>
      </c>
      <c r="U98" s="6">
        <v>0</v>
      </c>
      <c r="V98" s="6">
        <v>0</v>
      </c>
      <c r="W98" s="6">
        <v>1</v>
      </c>
      <c r="X98" s="9">
        <v>26252.455431555933</v>
      </c>
      <c r="Y98" s="9">
        <v>20.858620308018377</v>
      </c>
      <c r="Z98" s="9">
        <v>1158.4554315559326</v>
      </c>
      <c r="AA98" s="132">
        <v>118661.0985506328</v>
      </c>
      <c r="AB98" s="132">
        <v>82508.079999999987</v>
      </c>
      <c r="AC98" s="11">
        <v>0.95587249221025439</v>
      </c>
      <c r="AD98" s="71"/>
      <c r="AE98" s="71">
        <v>37.655840694486706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 t="s">
        <v>800</v>
      </c>
    </row>
    <row r="99" spans="1:62" ht="12.75" customHeight="1" x14ac:dyDescent="0.35">
      <c r="A99" s="118"/>
      <c r="B99" s="30" t="s">
        <v>31</v>
      </c>
      <c r="C99" s="6" t="s">
        <v>5</v>
      </c>
      <c r="D99" s="6" t="s">
        <v>306</v>
      </c>
      <c r="E99" s="6" t="s">
        <v>307</v>
      </c>
      <c r="F99" s="133">
        <v>1076008</v>
      </c>
      <c r="G99" s="134" t="s">
        <v>654</v>
      </c>
      <c r="H99" s="129">
        <v>51805.001835882693</v>
      </c>
      <c r="I99" s="129">
        <v>25902.500917941346</v>
      </c>
      <c r="J99" s="9">
        <v>0</v>
      </c>
      <c r="K99" s="9">
        <v>6432</v>
      </c>
      <c r="L99" s="100">
        <v>3216</v>
      </c>
      <c r="M99" s="10">
        <v>0.14500530322917235</v>
      </c>
      <c r="N99" s="100">
        <v>22686.500917941346</v>
      </c>
      <c r="O99" s="100">
        <v>0</v>
      </c>
      <c r="P99" s="10">
        <v>0</v>
      </c>
      <c r="Q99" s="6">
        <v>38028</v>
      </c>
      <c r="R99" s="6">
        <v>1080</v>
      </c>
      <c r="S99" s="6">
        <v>36948</v>
      </c>
      <c r="T99" s="6">
        <v>480</v>
      </c>
      <c r="U99" s="6">
        <v>0</v>
      </c>
      <c r="V99" s="6">
        <v>0</v>
      </c>
      <c r="W99" s="6">
        <v>0</v>
      </c>
      <c r="X99" s="9">
        <v>51805.001835882693</v>
      </c>
      <c r="Y99" s="9">
        <v>21.396389551563338</v>
      </c>
      <c r="Z99" s="9">
        <v>6865.0018358826928</v>
      </c>
      <c r="AA99" s="132">
        <v>607672.67153490405</v>
      </c>
      <c r="AB99" s="132">
        <v>439030.44</v>
      </c>
      <c r="AC99" s="11">
        <v>0.86748380286461735</v>
      </c>
      <c r="AD99" s="71"/>
      <c r="AE99" s="71">
        <v>20.181318524705016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 t="s">
        <v>824</v>
      </c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306</v>
      </c>
      <c r="E100" s="6" t="s">
        <v>401</v>
      </c>
      <c r="F100" s="6">
        <v>1075853</v>
      </c>
      <c r="G100" s="8" t="s">
        <v>688</v>
      </c>
      <c r="H100" s="129">
        <v>19420.347524859841</v>
      </c>
      <c r="I100" s="129">
        <v>3612.1846396239303</v>
      </c>
      <c r="J100" s="9">
        <v>0</v>
      </c>
      <c r="K100" s="9">
        <v>3279</v>
      </c>
      <c r="L100" s="100">
        <v>609.89400000000001</v>
      </c>
      <c r="M100" s="10">
        <v>0.18552706100587679</v>
      </c>
      <c r="N100" s="100">
        <v>3002.2906396239305</v>
      </c>
      <c r="O100" s="100">
        <v>0</v>
      </c>
      <c r="P100" s="10">
        <v>0.72923390284288836</v>
      </c>
      <c r="Q100" s="6">
        <v>14303</v>
      </c>
      <c r="R100" s="6">
        <v>324</v>
      </c>
      <c r="S100" s="6">
        <v>13962</v>
      </c>
      <c r="T100" s="6">
        <v>0</v>
      </c>
      <c r="U100" s="6">
        <v>0</v>
      </c>
      <c r="V100" s="6">
        <v>0</v>
      </c>
      <c r="W100" s="6">
        <v>0</v>
      </c>
      <c r="X100" s="9">
        <v>19420.347524859841</v>
      </c>
      <c r="Y100" s="9">
        <v>21.568100131257719</v>
      </c>
      <c r="Z100" s="9">
        <v>1838.3475248598406</v>
      </c>
      <c r="AA100" s="132">
        <v>35345.032495244908</v>
      </c>
      <c r="AB100" s="132">
        <v>25410.84</v>
      </c>
      <c r="AC100" s="11">
        <v>0.90533910258266048</v>
      </c>
      <c r="AD100" s="71"/>
      <c r="AE100" s="71">
        <v>35.199203187251001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 t="s">
        <v>799</v>
      </c>
    </row>
    <row r="101" spans="1:62" ht="12.75" customHeight="1" x14ac:dyDescent="0.35">
      <c r="A101" s="118"/>
      <c r="B101" s="30" t="s">
        <v>1</v>
      </c>
      <c r="C101" s="6" t="s">
        <v>2</v>
      </c>
      <c r="D101" s="6" t="s">
        <v>306</v>
      </c>
      <c r="E101" s="6" t="s">
        <v>401</v>
      </c>
      <c r="F101" s="6">
        <v>1075854</v>
      </c>
      <c r="G101" s="8" t="s">
        <v>689</v>
      </c>
      <c r="H101" s="129">
        <v>21138.559311243745</v>
      </c>
      <c r="I101" s="129">
        <v>7609.8813520477479</v>
      </c>
      <c r="J101" s="9">
        <v>0</v>
      </c>
      <c r="K101" s="9">
        <v>8680</v>
      </c>
      <c r="L101" s="100">
        <v>3124.7999999999997</v>
      </c>
      <c r="M101" s="10">
        <v>0.42481608456747932</v>
      </c>
      <c r="N101" s="100">
        <v>4485.0813520477477</v>
      </c>
      <c r="O101" s="100">
        <v>10.746662146702368</v>
      </c>
      <c r="P101" s="10">
        <v>1.3287606091905375</v>
      </c>
      <c r="Q101" s="6">
        <v>22658</v>
      </c>
      <c r="R101" s="6">
        <v>300</v>
      </c>
      <c r="S101" s="6">
        <v>22309</v>
      </c>
      <c r="T101" s="6">
        <v>0</v>
      </c>
      <c r="U101" s="6">
        <v>0</v>
      </c>
      <c r="V101" s="6">
        <v>0</v>
      </c>
      <c r="W101" s="6">
        <v>0</v>
      </c>
      <c r="X101" s="9">
        <v>23946.666666666672</v>
      </c>
      <c r="Y101" s="9">
        <v>27.948357461024493</v>
      </c>
      <c r="Z101" s="9">
        <v>-10199.440688756255</v>
      </c>
      <c r="AA101" s="132">
        <v>95546.288086821718</v>
      </c>
      <c r="AB101" s="132">
        <v>100836.68</v>
      </c>
      <c r="AC101" s="11">
        <v>1.4825040599304751</v>
      </c>
      <c r="AD101" s="71"/>
      <c r="AE101" s="71">
        <v>31.309116809116805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31</v>
      </c>
      <c r="C102" s="6" t="s">
        <v>5</v>
      </c>
      <c r="D102" s="6" t="s">
        <v>306</v>
      </c>
      <c r="E102" s="6" t="s">
        <v>307</v>
      </c>
      <c r="F102" s="6">
        <v>1076592</v>
      </c>
      <c r="G102" s="8" t="s">
        <v>676</v>
      </c>
      <c r="H102" s="129">
        <v>9427.9092263038056</v>
      </c>
      <c r="I102" s="129">
        <v>2828.3727678911414</v>
      </c>
      <c r="J102" s="9">
        <v>0</v>
      </c>
      <c r="K102" s="9">
        <v>1634.3</v>
      </c>
      <c r="L102" s="100">
        <v>490.28999999999996</v>
      </c>
      <c r="M102" s="10">
        <v>0.2550194260772069</v>
      </c>
      <c r="N102" s="100">
        <v>2338.0827678911414</v>
      </c>
      <c r="O102" s="100">
        <v>11.622706646068313</v>
      </c>
      <c r="P102" s="10">
        <v>1.4139606882220574</v>
      </c>
      <c r="Q102" s="6">
        <v>7756</v>
      </c>
      <c r="R102" s="6">
        <v>770</v>
      </c>
      <c r="S102" s="6">
        <v>6864</v>
      </c>
      <c r="T102" s="6">
        <v>0</v>
      </c>
      <c r="U102" s="6">
        <v>0</v>
      </c>
      <c r="V102" s="6">
        <v>0</v>
      </c>
      <c r="W102" s="6">
        <v>2</v>
      </c>
      <c r="X102" s="9">
        <v>9427.9092263038056</v>
      </c>
      <c r="Y102" s="9">
        <v>21.841534008991573</v>
      </c>
      <c r="Z102" s="9">
        <v>37.609226303805372</v>
      </c>
      <c r="AA102" s="132">
        <v>55624.664435192455</v>
      </c>
      <c r="AB102" s="132">
        <v>40509.4</v>
      </c>
      <c r="AC102" s="11">
        <v>0.99601086249336424</v>
      </c>
      <c r="AD102" s="71"/>
      <c r="AE102" s="71">
        <v>10.813953488372093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1</v>
      </c>
      <c r="C103" s="6" t="s">
        <v>2</v>
      </c>
      <c r="D103" s="6" t="s">
        <v>310</v>
      </c>
      <c r="E103" s="6" t="s">
        <v>311</v>
      </c>
      <c r="F103" s="123">
        <v>1080750</v>
      </c>
      <c r="G103" s="124" t="s">
        <v>770</v>
      </c>
      <c r="H103" s="129">
        <v>4503.8562111569854</v>
      </c>
      <c r="I103" s="129">
        <v>2702.3137266941917</v>
      </c>
      <c r="J103" s="9">
        <v>0</v>
      </c>
      <c r="K103" s="9">
        <v>1139</v>
      </c>
      <c r="L103" s="100">
        <v>683.40000000000009</v>
      </c>
      <c r="M103" s="10">
        <v>0.25888925963301768</v>
      </c>
      <c r="N103" s="100">
        <v>2018.9137266941916</v>
      </c>
      <c r="O103" s="100">
        <v>3.3999999888666643</v>
      </c>
      <c r="P103" s="10">
        <v>1.1133333329622221</v>
      </c>
      <c r="Q103" s="6">
        <v>3370</v>
      </c>
      <c r="R103" s="6">
        <v>27</v>
      </c>
      <c r="S103" s="6">
        <v>3327</v>
      </c>
      <c r="T103" s="6">
        <v>0</v>
      </c>
      <c r="U103" s="6">
        <v>0</v>
      </c>
      <c r="V103" s="6">
        <v>1808</v>
      </c>
      <c r="W103" s="6">
        <v>0</v>
      </c>
      <c r="X103" s="9">
        <v>4503.8562111569854</v>
      </c>
      <c r="Y103" s="9">
        <v>22.161009437368346</v>
      </c>
      <c r="Z103" s="9">
        <v>-5.1437888430145904</v>
      </c>
      <c r="AA103" s="132">
        <v>47785.914400375616</v>
      </c>
      <c r="AB103" s="132">
        <v>54482.35</v>
      </c>
      <c r="AC103" s="11">
        <v>1.0011420854933761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</v>
      </c>
      <c r="C104" s="6" t="s">
        <v>5</v>
      </c>
      <c r="D104" s="6" t="s">
        <v>396</v>
      </c>
      <c r="E104" s="6" t="s">
        <v>397</v>
      </c>
      <c r="F104" s="6">
        <v>1071792</v>
      </c>
      <c r="G104" s="8" t="s">
        <v>665</v>
      </c>
      <c r="H104" s="129">
        <v>3241.3448641759687</v>
      </c>
      <c r="I104" s="129">
        <v>3241.3448641759687</v>
      </c>
      <c r="J104" s="9">
        <v>0</v>
      </c>
      <c r="K104" s="9">
        <v>541</v>
      </c>
      <c r="L104" s="100">
        <v>541</v>
      </c>
      <c r="M104" s="10">
        <v>0.16690602903111199</v>
      </c>
      <c r="N104" s="100">
        <v>2700.3448641759687</v>
      </c>
      <c r="O104" s="100">
        <v>1.0570249439673236</v>
      </c>
      <c r="P104" s="10">
        <v>1.0383470007297793</v>
      </c>
      <c r="Q104" s="6">
        <v>2431</v>
      </c>
      <c r="R104" s="6">
        <v>0</v>
      </c>
      <c r="S104" s="6">
        <v>2425</v>
      </c>
      <c r="T104" s="6">
        <v>0</v>
      </c>
      <c r="U104" s="6">
        <v>0</v>
      </c>
      <c r="V104" s="6">
        <v>1910</v>
      </c>
      <c r="W104" s="6">
        <v>0</v>
      </c>
      <c r="X104" s="9">
        <v>3241.3448641759687</v>
      </c>
      <c r="Y104" s="9">
        <v>22.444387452889828</v>
      </c>
      <c r="Z104" s="9">
        <v>269.34486417596872</v>
      </c>
      <c r="AA104" s="132">
        <v>49073.961243624166</v>
      </c>
      <c r="AB104" s="132">
        <v>65631.900000000009</v>
      </c>
      <c r="AC104" s="11">
        <v>0.91690336096204228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31</v>
      </c>
      <c r="C105" s="6" t="s">
        <v>5</v>
      </c>
      <c r="D105" s="6" t="s">
        <v>306</v>
      </c>
      <c r="E105" s="6" t="s">
        <v>307</v>
      </c>
      <c r="F105" s="133">
        <v>1076009</v>
      </c>
      <c r="G105" s="134" t="s">
        <v>655</v>
      </c>
      <c r="H105" s="129">
        <v>56504.606590848758</v>
      </c>
      <c r="I105" s="129">
        <v>22601.842636339505</v>
      </c>
      <c r="J105" s="9">
        <v>0</v>
      </c>
      <c r="K105" s="9">
        <v>10088</v>
      </c>
      <c r="L105" s="100">
        <v>4035.2000000000003</v>
      </c>
      <c r="M105" s="10">
        <v>0.18391420853964574</v>
      </c>
      <c r="N105" s="100">
        <v>18566.642636339504</v>
      </c>
      <c r="O105" s="100">
        <v>0</v>
      </c>
      <c r="P105" s="10">
        <v>0</v>
      </c>
      <c r="Q105" s="6">
        <v>43136</v>
      </c>
      <c r="R105" s="6">
        <v>304</v>
      </c>
      <c r="S105" s="6">
        <v>42824</v>
      </c>
      <c r="T105" s="6">
        <v>0</v>
      </c>
      <c r="U105" s="6">
        <v>0</v>
      </c>
      <c r="V105" s="6">
        <v>0</v>
      </c>
      <c r="W105" s="6">
        <v>0</v>
      </c>
      <c r="X105" s="9">
        <v>56504.606590848765</v>
      </c>
      <c r="Y105" s="9">
        <v>22.73655330976267</v>
      </c>
      <c r="Z105" s="9">
        <v>3280.6065908487581</v>
      </c>
      <c r="AA105" s="132">
        <v>505716.22898809635</v>
      </c>
      <c r="AB105" s="132">
        <v>383274.8</v>
      </c>
      <c r="AC105" s="11">
        <v>0.941940900241927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/>
      <c r="BJ105" s="31"/>
    </row>
    <row r="106" spans="1:62" ht="12.75" customHeight="1" x14ac:dyDescent="0.35">
      <c r="A106" s="118"/>
      <c r="B106" s="30" t="s">
        <v>4</v>
      </c>
      <c r="C106" s="6" t="s">
        <v>5</v>
      </c>
      <c r="D106" s="6" t="s">
        <v>308</v>
      </c>
      <c r="E106" s="6" t="s">
        <v>315</v>
      </c>
      <c r="F106" s="6">
        <v>1072749</v>
      </c>
      <c r="G106" s="8" t="s">
        <v>661</v>
      </c>
      <c r="H106" s="129">
        <v>13195.982182935113</v>
      </c>
      <c r="I106" s="129">
        <v>791.75893097610674</v>
      </c>
      <c r="J106" s="9">
        <v>0</v>
      </c>
      <c r="K106" s="9">
        <v>5651</v>
      </c>
      <c r="L106" s="100">
        <v>339.06</v>
      </c>
      <c r="M106" s="10">
        <v>0.43104029098763513</v>
      </c>
      <c r="N106" s="100">
        <v>452.69893097610674</v>
      </c>
      <c r="O106" s="100">
        <v>0</v>
      </c>
      <c r="P106" s="10">
        <v>0.61331451864418995</v>
      </c>
      <c r="Q106" s="6">
        <v>15009</v>
      </c>
      <c r="R106" s="6">
        <v>37</v>
      </c>
      <c r="S106" s="6">
        <v>14938</v>
      </c>
      <c r="T106" s="6">
        <v>0</v>
      </c>
      <c r="U106" s="6">
        <v>0</v>
      </c>
      <c r="V106" s="6">
        <v>0</v>
      </c>
      <c r="W106" s="6">
        <v>0</v>
      </c>
      <c r="X106" s="9">
        <v>15168</v>
      </c>
      <c r="Y106" s="9">
        <v>29.54509493670886</v>
      </c>
      <c r="Z106" s="9">
        <v>-7464.0178170648869</v>
      </c>
      <c r="AA106" s="132">
        <v>8181.5089534197705</v>
      </c>
      <c r="AB106" s="132">
        <v>9261.56</v>
      </c>
      <c r="AC106" s="11">
        <v>1.5656280611470714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/>
      <c r="BJ106" s="31" t="s">
        <v>806</v>
      </c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307</v>
      </c>
      <c r="F107" s="6">
        <v>1063072</v>
      </c>
      <c r="G107" s="8" t="s">
        <v>448</v>
      </c>
      <c r="H107" s="129">
        <v>24766.125608654085</v>
      </c>
      <c r="I107" s="129">
        <v>12383.062804327043</v>
      </c>
      <c r="J107" s="9">
        <v>0</v>
      </c>
      <c r="K107" s="9">
        <v>3647</v>
      </c>
      <c r="L107" s="100">
        <v>1823.5</v>
      </c>
      <c r="M107" s="10">
        <v>0.15501011585996841</v>
      </c>
      <c r="N107" s="100">
        <v>10559.562804327043</v>
      </c>
      <c r="O107" s="100">
        <v>0</v>
      </c>
      <c r="P107" s="10">
        <v>0.71662556124707533</v>
      </c>
      <c r="Q107" s="6">
        <v>19588</v>
      </c>
      <c r="R107" s="6">
        <v>192</v>
      </c>
      <c r="S107" s="6">
        <v>19394</v>
      </c>
      <c r="T107" s="6">
        <v>3168</v>
      </c>
      <c r="U107" s="6">
        <v>0</v>
      </c>
      <c r="V107" s="6">
        <v>0</v>
      </c>
      <c r="W107" s="6">
        <v>0</v>
      </c>
      <c r="X107" s="9">
        <v>24766.125608654085</v>
      </c>
      <c r="Y107" s="9">
        <v>23.49257244325262</v>
      </c>
      <c r="Z107" s="9">
        <v>-1636.8743913459148</v>
      </c>
      <c r="AA107" s="132">
        <v>141662.23848150135</v>
      </c>
      <c r="AB107" s="132">
        <v>129054.64</v>
      </c>
      <c r="AC107" s="11">
        <v>1.0660932766477587</v>
      </c>
      <c r="AD107" s="71"/>
      <c r="AE107" s="71">
        <v>0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 t="s">
        <v>827</v>
      </c>
    </row>
    <row r="108" spans="1:62" ht="12.75" customHeight="1" x14ac:dyDescent="0.35">
      <c r="A108" s="118"/>
      <c r="B108" s="30" t="s">
        <v>15</v>
      </c>
      <c r="C108" s="6" t="s">
        <v>5</v>
      </c>
      <c r="D108" s="6" t="s">
        <v>308</v>
      </c>
      <c r="E108" s="6" t="s">
        <v>315</v>
      </c>
      <c r="F108" s="6">
        <v>1074225</v>
      </c>
      <c r="G108" s="8" t="s">
        <v>632</v>
      </c>
      <c r="H108" s="129">
        <v>529.48526298438401</v>
      </c>
      <c r="I108" s="129">
        <v>397.11394723828801</v>
      </c>
      <c r="J108" s="9">
        <v>0</v>
      </c>
      <c r="K108" s="9">
        <v>131</v>
      </c>
      <c r="L108" s="100">
        <v>98.25</v>
      </c>
      <c r="M108" s="10">
        <v>0.28518263029438351</v>
      </c>
      <c r="N108" s="100">
        <v>298.86394723828801</v>
      </c>
      <c r="O108" s="100">
        <v>7.5812398913545458</v>
      </c>
      <c r="P108" s="10">
        <v>1.2680857303346023</v>
      </c>
      <c r="Q108" s="6">
        <v>441</v>
      </c>
      <c r="R108" s="6">
        <v>20</v>
      </c>
      <c r="S108" s="6">
        <v>418</v>
      </c>
      <c r="T108" s="6">
        <v>0</v>
      </c>
      <c r="U108" s="6">
        <v>0</v>
      </c>
      <c r="V108" s="6">
        <v>0</v>
      </c>
      <c r="W108" s="6">
        <v>2</v>
      </c>
      <c r="X108" s="9">
        <v>529.48526298438401</v>
      </c>
      <c r="Y108" s="9">
        <v>23.683378701268669</v>
      </c>
      <c r="Z108" s="9">
        <v>-42.514737015615992</v>
      </c>
      <c r="AA108" s="132">
        <v>4569.457819555234</v>
      </c>
      <c r="AB108" s="132">
        <v>3624.6000000000004</v>
      </c>
      <c r="AC108" s="11">
        <v>1.0802944670754129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15</v>
      </c>
      <c r="C109" s="6" t="s">
        <v>5</v>
      </c>
      <c r="D109" s="6" t="s">
        <v>308</v>
      </c>
      <c r="E109" s="6" t="s">
        <v>315</v>
      </c>
      <c r="F109" s="6">
        <v>1074340</v>
      </c>
      <c r="G109" s="8" t="s">
        <v>650</v>
      </c>
      <c r="H109" s="129">
        <v>21120.858515702217</v>
      </c>
      <c r="I109" s="129">
        <v>5069.0060437685315</v>
      </c>
      <c r="J109" s="9">
        <v>0</v>
      </c>
      <c r="K109" s="9">
        <v>5592</v>
      </c>
      <c r="L109" s="100">
        <v>1342.08</v>
      </c>
      <c r="M109" s="10">
        <v>0.27498882186451207</v>
      </c>
      <c r="N109" s="100">
        <v>3726.9260437685316</v>
      </c>
      <c r="O109" s="100">
        <v>0</v>
      </c>
      <c r="P109" s="10">
        <v>0.35556446731059588</v>
      </c>
      <c r="Q109" s="6">
        <v>17194</v>
      </c>
      <c r="R109" s="6">
        <v>216</v>
      </c>
      <c r="S109" s="6">
        <v>16935</v>
      </c>
      <c r="T109" s="6">
        <v>576</v>
      </c>
      <c r="U109" s="6">
        <v>0</v>
      </c>
      <c r="V109" s="6">
        <v>0</v>
      </c>
      <c r="W109" s="6">
        <v>0</v>
      </c>
      <c r="X109" s="9">
        <v>21120.858515702217</v>
      </c>
      <c r="Y109" s="9">
        <v>24.054419929109052</v>
      </c>
      <c r="Z109" s="9">
        <v>-2241.1414842977829</v>
      </c>
      <c r="AA109" s="132">
        <v>102858.5809714698</v>
      </c>
      <c r="AB109" s="132">
        <v>85278.57</v>
      </c>
      <c r="AC109" s="11">
        <v>1.1061103402890378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5">
      <c r="A110" s="118"/>
      <c r="B110" s="30" t="s">
        <v>8</v>
      </c>
      <c r="C110" s="6" t="s">
        <v>5</v>
      </c>
      <c r="D110" s="6" t="s">
        <v>308</v>
      </c>
      <c r="E110" s="6" t="s">
        <v>309</v>
      </c>
      <c r="F110" s="6">
        <v>1028943</v>
      </c>
      <c r="G110" s="8" t="s">
        <v>102</v>
      </c>
      <c r="H110" s="129">
        <v>4120.0000099999997</v>
      </c>
      <c r="I110" s="129">
        <v>288.40000070000002</v>
      </c>
      <c r="J110" s="9">
        <v>0</v>
      </c>
      <c r="K110" s="9">
        <v>1675</v>
      </c>
      <c r="L110" s="100">
        <v>117.25000000000001</v>
      </c>
      <c r="M110" s="10">
        <v>0.43276698924085683</v>
      </c>
      <c r="N110" s="100">
        <v>171.15000070000002</v>
      </c>
      <c r="O110" s="100">
        <v>11.395128085011107</v>
      </c>
      <c r="P110" s="10">
        <v>1.3900684926395324</v>
      </c>
      <c r="Q110" s="6">
        <v>5044</v>
      </c>
      <c r="R110" s="6">
        <v>108</v>
      </c>
      <c r="S110" s="6">
        <v>4914</v>
      </c>
      <c r="T110" s="6">
        <v>0</v>
      </c>
      <c r="U110" s="6">
        <v>0</v>
      </c>
      <c r="V110" s="6">
        <v>0</v>
      </c>
      <c r="W110" s="6">
        <v>0</v>
      </c>
      <c r="X110" s="9">
        <v>4754.666666666667</v>
      </c>
      <c r="Y110" s="9">
        <v>31.005328098710038</v>
      </c>
      <c r="Z110" s="9">
        <v>-2598.9999900000003</v>
      </c>
      <c r="AA110" s="132">
        <v>9640.8000233999992</v>
      </c>
      <c r="AB110" s="132">
        <v>11498.759999999998</v>
      </c>
      <c r="AC110" s="11">
        <v>1.630825238760133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 t="s">
        <v>1</v>
      </c>
      <c r="BJ110" s="31"/>
    </row>
    <row r="111" spans="1:62" ht="12.75" customHeight="1" x14ac:dyDescent="0.35">
      <c r="A111" s="118"/>
      <c r="B111" s="30" t="s">
        <v>21</v>
      </c>
      <c r="C111" s="6" t="s">
        <v>5</v>
      </c>
      <c r="D111" s="6" t="s">
        <v>308</v>
      </c>
      <c r="E111" s="6" t="s">
        <v>395</v>
      </c>
      <c r="F111" s="6">
        <v>1069121</v>
      </c>
      <c r="G111" s="8" t="s">
        <v>558</v>
      </c>
      <c r="H111" s="129">
        <v>171.23968708906878</v>
      </c>
      <c r="I111" s="129">
        <v>136.99174967125504</v>
      </c>
      <c r="J111" s="9">
        <v>0</v>
      </c>
      <c r="K111" s="9">
        <v>79</v>
      </c>
      <c r="L111" s="100">
        <v>63.2</v>
      </c>
      <c r="M111" s="10">
        <v>0.75916980584285743</v>
      </c>
      <c r="N111" s="100">
        <v>73.791749671255033</v>
      </c>
      <c r="O111" s="100">
        <v>13.643243243243241</v>
      </c>
      <c r="P111" s="10">
        <v>1.5047999999999999</v>
      </c>
      <c r="Q111" s="6">
        <v>424</v>
      </c>
      <c r="R111" s="6">
        <v>51</v>
      </c>
      <c r="S111" s="6">
        <v>368</v>
      </c>
      <c r="T111" s="6">
        <v>0</v>
      </c>
      <c r="U111" s="6">
        <v>0</v>
      </c>
      <c r="V111" s="6">
        <v>0</v>
      </c>
      <c r="W111" s="6">
        <v>0</v>
      </c>
      <c r="X111" s="9">
        <v>346.66666666666669</v>
      </c>
      <c r="Y111" s="9">
        <v>31.846153846153847</v>
      </c>
      <c r="Z111" s="9">
        <v>-331.76031291093125</v>
      </c>
      <c r="AA111" s="132">
        <v>6806.7775617904845</v>
      </c>
      <c r="AB111" s="132">
        <v>14628</v>
      </c>
      <c r="AC111" s="11">
        <v>2.9374031718381328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1</v>
      </c>
      <c r="C112" s="6" t="s">
        <v>5</v>
      </c>
      <c r="D112" s="6" t="s">
        <v>396</v>
      </c>
      <c r="E112" s="6" t="s">
        <v>397</v>
      </c>
      <c r="F112" s="6">
        <v>1071302</v>
      </c>
      <c r="G112" s="8" t="s">
        <v>685</v>
      </c>
      <c r="H112" s="129">
        <v>350.00000010000002</v>
      </c>
      <c r="I112" s="129">
        <v>1575.00000045</v>
      </c>
      <c r="J112" s="9">
        <v>0</v>
      </c>
      <c r="K112" s="9">
        <v>89</v>
      </c>
      <c r="L112" s="100">
        <v>400.5</v>
      </c>
      <c r="M112" s="10">
        <v>0.25428571421306123</v>
      </c>
      <c r="N112" s="100">
        <v>1174.50000045</v>
      </c>
      <c r="O112" s="100">
        <v>0</v>
      </c>
      <c r="P112" s="10">
        <v>0.99955882352941172</v>
      </c>
      <c r="Q112" s="6">
        <v>290</v>
      </c>
      <c r="R112" s="6">
        <v>0</v>
      </c>
      <c r="S112" s="6">
        <v>290</v>
      </c>
      <c r="T112" s="6">
        <v>174</v>
      </c>
      <c r="U112" s="6">
        <v>0</v>
      </c>
      <c r="V112" s="6">
        <v>0</v>
      </c>
      <c r="W112" s="6">
        <v>0</v>
      </c>
      <c r="X112" s="9">
        <v>350.00000010000002</v>
      </c>
      <c r="Y112" s="9">
        <v>24.857142850040812</v>
      </c>
      <c r="Z112" s="9">
        <v>-202.99999989999998</v>
      </c>
      <c r="AA112" s="132">
        <v>24402.000006972001</v>
      </c>
      <c r="AB112" s="132">
        <v>32350.079999999998</v>
      </c>
      <c r="AC112" s="11">
        <v>1.5799999995485714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123">
        <v>1082605</v>
      </c>
      <c r="G113" s="124" t="s">
        <v>771</v>
      </c>
      <c r="H113" s="129">
        <v>30019.106821539342</v>
      </c>
      <c r="I113" s="129">
        <v>10926.95488304032</v>
      </c>
      <c r="J113" s="9">
        <v>0</v>
      </c>
      <c r="K113" s="9">
        <v>9396</v>
      </c>
      <c r="L113" s="100">
        <v>3420.1439999999998</v>
      </c>
      <c r="M113" s="10">
        <v>0.32439339577594561</v>
      </c>
      <c r="N113" s="100">
        <v>7506.8108830403198</v>
      </c>
      <c r="O113" s="100">
        <v>9.8396847983278461E-3</v>
      </c>
      <c r="P113" s="10">
        <v>1.0003377669574542</v>
      </c>
      <c r="Q113" s="6">
        <v>28066</v>
      </c>
      <c r="R113" s="6">
        <v>342</v>
      </c>
      <c r="S113" s="6">
        <v>27724</v>
      </c>
      <c r="T113" s="6">
        <v>1368</v>
      </c>
      <c r="U113" s="6">
        <v>0</v>
      </c>
      <c r="V113" s="6">
        <v>0</v>
      </c>
      <c r="W113" s="6">
        <v>0</v>
      </c>
      <c r="X113" s="9">
        <v>30019.106821539339</v>
      </c>
      <c r="Y113" s="9">
        <v>27.706353987961542</v>
      </c>
      <c r="Z113" s="9">
        <v>-8810.8931784606575</v>
      </c>
      <c r="AA113" s="132">
        <v>175911.96597422057</v>
      </c>
      <c r="AB113" s="132">
        <v>170479.12</v>
      </c>
      <c r="AC113" s="11">
        <v>1.2935095048243959</v>
      </c>
      <c r="AD113" s="71"/>
      <c r="AE113" s="71">
        <v>38.569490221929236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27</v>
      </c>
      <c r="C114" s="6" t="s">
        <v>5</v>
      </c>
      <c r="D114" s="6" t="s">
        <v>312</v>
      </c>
      <c r="E114" s="6" t="s">
        <v>313</v>
      </c>
      <c r="F114" s="179">
        <v>1072813</v>
      </c>
      <c r="G114" s="180" t="s">
        <v>612</v>
      </c>
      <c r="H114" s="129">
        <v>54619.677088108532</v>
      </c>
      <c r="I114" s="129">
        <v>12453.286376088747</v>
      </c>
      <c r="J114" s="9">
        <v>0</v>
      </c>
      <c r="K114" s="9">
        <v>9380</v>
      </c>
      <c r="L114" s="100">
        <v>2138.64</v>
      </c>
      <c r="M114" s="10">
        <v>0.17667625505059861</v>
      </c>
      <c r="N114" s="100">
        <v>10314.646376088747</v>
      </c>
      <c r="O114" s="100">
        <v>6.9999759194056255</v>
      </c>
      <c r="P114" s="10">
        <v>1.2865869434857045</v>
      </c>
      <c r="Q114" s="6">
        <v>45770</v>
      </c>
      <c r="R114" s="6">
        <v>270</v>
      </c>
      <c r="S114" s="6">
        <v>45462</v>
      </c>
      <c r="T114" s="6">
        <v>0</v>
      </c>
      <c r="U114" s="6">
        <v>0</v>
      </c>
      <c r="V114" s="6">
        <v>0</v>
      </c>
      <c r="W114" s="6">
        <v>0</v>
      </c>
      <c r="X114" s="9">
        <v>54619.677088108532</v>
      </c>
      <c r="Y114" s="9">
        <v>24.970121991016519</v>
      </c>
      <c r="Z114" s="9">
        <v>-530.32291189146781</v>
      </c>
      <c r="AA114" s="132">
        <v>116886.10896855226</v>
      </c>
      <c r="AB114" s="132">
        <v>97288.680000000008</v>
      </c>
      <c r="AC114" s="11">
        <v>1.0097093747192241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21</v>
      </c>
      <c r="C115" s="6" t="s">
        <v>5</v>
      </c>
      <c r="D115" s="6" t="s">
        <v>308</v>
      </c>
      <c r="E115" s="6" t="s">
        <v>395</v>
      </c>
      <c r="F115" s="6">
        <v>1069142</v>
      </c>
      <c r="G115" s="8" t="s">
        <v>559</v>
      </c>
      <c r="H115" s="129">
        <v>1131.2160866202294</v>
      </c>
      <c r="I115" s="129">
        <v>565.60804331011468</v>
      </c>
      <c r="J115" s="9">
        <v>0</v>
      </c>
      <c r="K115" s="9">
        <v>661</v>
      </c>
      <c r="L115" s="100">
        <v>330.5</v>
      </c>
      <c r="M115" s="10">
        <v>0.60554301525767418</v>
      </c>
      <c r="N115" s="100">
        <v>235.10804331011468</v>
      </c>
      <c r="O115" s="100">
        <v>11.713483622306237</v>
      </c>
      <c r="P115" s="10">
        <v>1.4215466656499098</v>
      </c>
      <c r="Q115" s="6">
        <v>1997</v>
      </c>
      <c r="R115" s="6">
        <v>24</v>
      </c>
      <c r="S115" s="6">
        <v>1963</v>
      </c>
      <c r="T115" s="6">
        <v>0</v>
      </c>
      <c r="U115" s="6">
        <v>0</v>
      </c>
      <c r="V115" s="6">
        <v>0</v>
      </c>
      <c r="W115" s="6">
        <v>6</v>
      </c>
      <c r="X115" s="9">
        <v>1826.6666666666667</v>
      </c>
      <c r="Y115" s="9">
        <v>32.239051094890513</v>
      </c>
      <c r="Z115" s="9">
        <v>-1526.7839133797706</v>
      </c>
      <c r="AA115" s="132">
        <v>19592.662620262374</v>
      </c>
      <c r="AB115" s="132">
        <v>34103.08</v>
      </c>
      <c r="AC115" s="11">
        <v>2.3496837000801429</v>
      </c>
      <c r="AD115" s="71"/>
      <c r="AE115" s="71">
        <v>23.572447992259317</v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27</v>
      </c>
      <c r="C116" s="6" t="s">
        <v>5</v>
      </c>
      <c r="D116" s="6" t="s">
        <v>312</v>
      </c>
      <c r="E116" s="6" t="s">
        <v>313</v>
      </c>
      <c r="F116" s="6">
        <v>1052770</v>
      </c>
      <c r="G116" s="8" t="s">
        <v>183</v>
      </c>
      <c r="H116" s="129">
        <v>8019.161228119342</v>
      </c>
      <c r="I116" s="129">
        <v>2213.2884989609388</v>
      </c>
      <c r="J116" s="9">
        <v>0</v>
      </c>
      <c r="K116" s="9">
        <v>1589</v>
      </c>
      <c r="L116" s="100">
        <v>438.56400000000002</v>
      </c>
      <c r="M116" s="10">
        <v>0.20463486807645195</v>
      </c>
      <c r="N116" s="100">
        <v>1774.7244989609387</v>
      </c>
      <c r="O116" s="100">
        <v>8.4607857598814444</v>
      </c>
      <c r="P116" s="10">
        <v>1.7837522021075756</v>
      </c>
      <c r="Q116" s="6">
        <v>7116</v>
      </c>
      <c r="R116" s="6">
        <v>52</v>
      </c>
      <c r="S116" s="6">
        <v>7045</v>
      </c>
      <c r="T116" s="6">
        <v>0</v>
      </c>
      <c r="U116" s="6">
        <v>0</v>
      </c>
      <c r="V116" s="6">
        <v>0</v>
      </c>
      <c r="W116" s="6">
        <v>0</v>
      </c>
      <c r="X116" s="9">
        <v>8019.1612281193411</v>
      </c>
      <c r="Y116" s="9">
        <v>26.355624233978141</v>
      </c>
      <c r="Z116" s="9">
        <v>-685.83877188065799</v>
      </c>
      <c r="AA116" s="132">
        <v>29590.704931760371</v>
      </c>
      <c r="AB116" s="132">
        <v>25996.05</v>
      </c>
      <c r="AC116" s="11">
        <v>1.0855250009783755</v>
      </c>
      <c r="AD116" s="71"/>
      <c r="AE116" s="71">
        <v>29.433634992458529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31</v>
      </c>
      <c r="C117" s="6" t="s">
        <v>5</v>
      </c>
      <c r="D117" s="6" t="s">
        <v>306</v>
      </c>
      <c r="E117" s="6" t="s">
        <v>307</v>
      </c>
      <c r="F117" s="6">
        <v>1058893</v>
      </c>
      <c r="G117" s="8" t="s">
        <v>261</v>
      </c>
      <c r="H117" s="129">
        <v>4763.5551071863629</v>
      </c>
      <c r="I117" s="129">
        <v>1429.0665321559088</v>
      </c>
      <c r="J117" s="9">
        <v>0</v>
      </c>
      <c r="K117" s="9">
        <v>900</v>
      </c>
      <c r="L117" s="100">
        <v>270</v>
      </c>
      <c r="M117" s="10">
        <v>0.18893452048917161</v>
      </c>
      <c r="N117" s="100">
        <v>1159.0665321559088</v>
      </c>
      <c r="O117" s="100">
        <v>0</v>
      </c>
      <c r="P117" s="10">
        <v>1.773293213540186</v>
      </c>
      <c r="Q117" s="6">
        <v>4324</v>
      </c>
      <c r="R117" s="6">
        <v>0</v>
      </c>
      <c r="S117" s="6">
        <v>4324</v>
      </c>
      <c r="T117" s="6">
        <v>0</v>
      </c>
      <c r="U117" s="6">
        <v>0</v>
      </c>
      <c r="V117" s="6">
        <v>0</v>
      </c>
      <c r="W117" s="6">
        <v>0</v>
      </c>
      <c r="X117" s="9">
        <v>4763.5551071863629</v>
      </c>
      <c r="Y117" s="9">
        <v>27.231762219839272</v>
      </c>
      <c r="Z117" s="9">
        <v>-460.44489281363713</v>
      </c>
      <c r="AA117" s="132">
        <v>34869.223384604178</v>
      </c>
      <c r="AB117" s="132">
        <v>31651.68</v>
      </c>
      <c r="AC117" s="11">
        <v>1.0966599278171474</v>
      </c>
      <c r="AD117" s="71"/>
      <c r="AE117" s="71">
        <v>26.635199999999998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">
        <v>1074230</v>
      </c>
      <c r="G118" s="8" t="s">
        <v>702</v>
      </c>
      <c r="H118" s="129">
        <v>1989.2140126071224</v>
      </c>
      <c r="I118" s="129">
        <v>895.14630567320512</v>
      </c>
      <c r="J118" s="9">
        <v>0</v>
      </c>
      <c r="K118" s="9">
        <v>264</v>
      </c>
      <c r="L118" s="100">
        <v>118.8</v>
      </c>
      <c r="M118" s="10">
        <v>0.14478080195229406</v>
      </c>
      <c r="N118" s="100">
        <v>776.34630567320517</v>
      </c>
      <c r="O118" s="100">
        <v>5.4555091082659795</v>
      </c>
      <c r="P118" s="10">
        <v>1.2022295575080455</v>
      </c>
      <c r="Q118" s="6">
        <v>1836</v>
      </c>
      <c r="R118" s="6">
        <v>24</v>
      </c>
      <c r="S118" s="6">
        <v>1812</v>
      </c>
      <c r="T118" s="6">
        <v>624</v>
      </c>
      <c r="U118" s="6">
        <v>0</v>
      </c>
      <c r="V118" s="6">
        <v>0</v>
      </c>
      <c r="W118" s="6">
        <v>0</v>
      </c>
      <c r="X118" s="9">
        <v>1989.2140126071222</v>
      </c>
      <c r="Y118" s="9">
        <v>27.327376368495511</v>
      </c>
      <c r="Z118" s="9">
        <v>-734.78598739287759</v>
      </c>
      <c r="AA118" s="132">
        <v>14899.212954427347</v>
      </c>
      <c r="AB118" s="132">
        <v>18245.64</v>
      </c>
      <c r="AC118" s="11">
        <v>1.3693850851321148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/>
      <c r="BJ118" s="31"/>
    </row>
    <row r="119" spans="1:62" ht="12.75" customHeight="1" x14ac:dyDescent="0.35">
      <c r="A119" s="118"/>
      <c r="B119" s="30" t="s">
        <v>27</v>
      </c>
      <c r="C119" s="6" t="s">
        <v>5</v>
      </c>
      <c r="D119" s="6" t="s">
        <v>308</v>
      </c>
      <c r="E119" s="6" t="s">
        <v>315</v>
      </c>
      <c r="F119" s="6">
        <v>1078707</v>
      </c>
      <c r="G119" s="8" t="s">
        <v>695</v>
      </c>
      <c r="H119" s="129">
        <v>4305.0894869911044</v>
      </c>
      <c r="I119" s="129">
        <v>2815.5285244921824</v>
      </c>
      <c r="J119" s="9">
        <v>0</v>
      </c>
      <c r="K119" s="9">
        <v>474</v>
      </c>
      <c r="L119" s="100">
        <v>309.99600000000004</v>
      </c>
      <c r="M119" s="10">
        <v>0.11010224094814024</v>
      </c>
      <c r="N119" s="100">
        <v>2505.5325244921823</v>
      </c>
      <c r="O119" s="100">
        <v>10.72258064516129</v>
      </c>
      <c r="P119" s="10">
        <v>1.3574193548387097</v>
      </c>
      <c r="Q119" s="6">
        <v>4056</v>
      </c>
      <c r="R119" s="6">
        <v>0</v>
      </c>
      <c r="S119" s="6">
        <v>4026</v>
      </c>
      <c r="T119" s="6">
        <v>264</v>
      </c>
      <c r="U119" s="6">
        <v>0</v>
      </c>
      <c r="V119" s="6">
        <v>0</v>
      </c>
      <c r="W119" s="6">
        <v>56</v>
      </c>
      <c r="X119" s="9">
        <v>4305.0894869911044</v>
      </c>
      <c r="Y119" s="9">
        <v>28.055165952988137</v>
      </c>
      <c r="Z119" s="9">
        <v>-488.91051300889558</v>
      </c>
      <c r="AA119" s="132">
        <v>51445.819369543693</v>
      </c>
      <c r="AB119" s="132">
        <v>51934.7</v>
      </c>
      <c r="AC119" s="11">
        <v>1.1135657027539752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 t="s">
        <v>826</v>
      </c>
    </row>
    <row r="120" spans="1:62" ht="12.75" customHeight="1" x14ac:dyDescent="0.35">
      <c r="A120" s="118"/>
      <c r="B120" s="30" t="s">
        <v>27</v>
      </c>
      <c r="C120" s="6" t="s">
        <v>5</v>
      </c>
      <c r="D120" s="6" t="s">
        <v>312</v>
      </c>
      <c r="E120" s="6" t="s">
        <v>313</v>
      </c>
      <c r="F120" s="6">
        <v>1072353</v>
      </c>
      <c r="G120" s="8" t="s">
        <v>598</v>
      </c>
      <c r="H120" s="129">
        <v>207614.61466163353</v>
      </c>
      <c r="I120" s="129">
        <v>63114.842857136595</v>
      </c>
      <c r="J120" s="9">
        <v>0</v>
      </c>
      <c r="K120" s="9">
        <v>30984</v>
      </c>
      <c r="L120" s="100">
        <v>9419.1360000000004</v>
      </c>
      <c r="M120" s="10">
        <v>0.16416956029588511</v>
      </c>
      <c r="N120" s="100">
        <v>53695.706857136596</v>
      </c>
      <c r="O120" s="100">
        <v>54.904663512535848</v>
      </c>
      <c r="P120" s="10">
        <v>2.5119279453191461</v>
      </c>
      <c r="Q120" s="6">
        <v>197918</v>
      </c>
      <c r="R120" s="6">
        <v>3100</v>
      </c>
      <c r="S120" s="6">
        <v>194775</v>
      </c>
      <c r="T120" s="6">
        <v>0</v>
      </c>
      <c r="U120" s="6">
        <v>0</v>
      </c>
      <c r="V120" s="6">
        <v>0</v>
      </c>
      <c r="W120" s="6">
        <v>0</v>
      </c>
      <c r="X120" s="9">
        <v>207614.61466163353</v>
      </c>
      <c r="Y120" s="9">
        <v>28.144694965348275</v>
      </c>
      <c r="Z120" s="9">
        <v>-21287.385338366468</v>
      </c>
      <c r="AA120" s="132">
        <v>537721.85197363084</v>
      </c>
      <c r="AB120" s="132">
        <v>504467.25</v>
      </c>
      <c r="AC120" s="11">
        <v>1.1025331736547557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 t="s">
        <v>823</v>
      </c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1">
        <v>1074227</v>
      </c>
      <c r="G121" s="70" t="s">
        <v>701</v>
      </c>
      <c r="H121" s="129">
        <v>1600</v>
      </c>
      <c r="I121" s="129">
        <v>512</v>
      </c>
      <c r="J121" s="9">
        <v>0</v>
      </c>
      <c r="K121" s="9">
        <v>270</v>
      </c>
      <c r="L121" s="100">
        <v>86.4</v>
      </c>
      <c r="M121" s="10">
        <v>0.16875000000000001</v>
      </c>
      <c r="N121" s="100">
        <v>425.6</v>
      </c>
      <c r="O121" s="100">
        <v>0.94548300503498151</v>
      </c>
      <c r="P121" s="10">
        <v>1.0237935472408433</v>
      </c>
      <c r="Q121" s="6">
        <v>1516</v>
      </c>
      <c r="R121" s="6">
        <v>0</v>
      </c>
      <c r="S121" s="6">
        <v>1508</v>
      </c>
      <c r="T121" s="6">
        <v>0</v>
      </c>
      <c r="U121" s="6">
        <v>0</v>
      </c>
      <c r="V121" s="6">
        <v>0</v>
      </c>
      <c r="W121" s="6">
        <v>0</v>
      </c>
      <c r="X121" s="9">
        <v>1600</v>
      </c>
      <c r="Y121" s="9">
        <v>28.274999999999999</v>
      </c>
      <c r="Z121" s="9">
        <v>-186</v>
      </c>
      <c r="AA121" s="132">
        <v>8928</v>
      </c>
      <c r="AB121" s="132">
        <v>8414.64</v>
      </c>
      <c r="AC121" s="11">
        <v>1.11625</v>
      </c>
      <c r="AD121" s="71"/>
      <c r="AE121" s="71">
        <v>159.2206572769953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1</v>
      </c>
      <c r="C122" s="6" t="s">
        <v>2</v>
      </c>
      <c r="D122" s="6" t="s">
        <v>306</v>
      </c>
      <c r="E122" s="6" t="s">
        <v>401</v>
      </c>
      <c r="F122" s="61">
        <v>1064893</v>
      </c>
      <c r="G122" s="70" t="s">
        <v>535</v>
      </c>
      <c r="H122" s="129">
        <v>1048.7424049523765</v>
      </c>
      <c r="I122" s="129">
        <v>1887.7363289142779</v>
      </c>
      <c r="J122" s="9">
        <v>0</v>
      </c>
      <c r="K122" s="9">
        <v>720</v>
      </c>
      <c r="L122" s="100">
        <v>1296</v>
      </c>
      <c r="M122" s="10">
        <v>0.68653655711832806</v>
      </c>
      <c r="N122" s="100">
        <v>591.73632891427792</v>
      </c>
      <c r="O122" s="100">
        <v>0.51611329933386463</v>
      </c>
      <c r="P122" s="10">
        <v>1.0172037766444622</v>
      </c>
      <c r="Q122" s="6">
        <v>2370</v>
      </c>
      <c r="R122" s="6">
        <v>0</v>
      </c>
      <c r="S122" s="6">
        <v>2348</v>
      </c>
      <c r="T122" s="6">
        <v>0</v>
      </c>
      <c r="U122" s="6">
        <v>0</v>
      </c>
      <c r="V122" s="6">
        <v>0</v>
      </c>
      <c r="W122" s="6">
        <v>0</v>
      </c>
      <c r="X122" s="9">
        <v>1920</v>
      </c>
      <c r="Y122" s="9">
        <v>36.6875</v>
      </c>
      <c r="Z122" s="9">
        <v>-2041.2575950476235</v>
      </c>
      <c r="AA122" s="132">
        <v>3156.7146389066534</v>
      </c>
      <c r="AB122" s="132">
        <v>7067.48</v>
      </c>
      <c r="AC122" s="11">
        <v>2.9463860576328247</v>
      </c>
      <c r="AD122" s="71"/>
      <c r="AE122" s="71" t="s">
        <v>574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4</v>
      </c>
      <c r="C123" s="6" t="s">
        <v>5</v>
      </c>
      <c r="D123" s="6" t="s">
        <v>308</v>
      </c>
      <c r="E123" s="6" t="s">
        <v>314</v>
      </c>
      <c r="F123" s="150">
        <v>1083252</v>
      </c>
      <c r="G123" s="151" t="s">
        <v>776</v>
      </c>
      <c r="H123" s="129">
        <v>72800</v>
      </c>
      <c r="I123" s="129">
        <v>6988.8</v>
      </c>
      <c r="J123" s="9">
        <v>0</v>
      </c>
      <c r="K123" s="9">
        <v>0</v>
      </c>
      <c r="L123" s="100">
        <v>0</v>
      </c>
      <c r="M123" s="10">
        <v>0</v>
      </c>
      <c r="N123" s="100">
        <v>6988.8</v>
      </c>
      <c r="O123" s="100">
        <v>24.102270064114261</v>
      </c>
      <c r="P123" s="10">
        <v>1.6576743415035191</v>
      </c>
      <c r="Q123" s="6">
        <v>70008</v>
      </c>
      <c r="R123" s="6">
        <v>0</v>
      </c>
      <c r="S123" s="6">
        <v>69984</v>
      </c>
      <c r="T123" s="6">
        <v>0</v>
      </c>
      <c r="U123" s="6">
        <v>0</v>
      </c>
      <c r="V123" s="6">
        <v>0</v>
      </c>
      <c r="W123" s="6">
        <v>0</v>
      </c>
      <c r="X123" s="9">
        <v>72800</v>
      </c>
      <c r="Y123" s="9">
        <v>28.83956043956044</v>
      </c>
      <c r="Z123" s="9">
        <v>2792</v>
      </c>
      <c r="AA123" s="132">
        <v>160160</v>
      </c>
      <c r="AB123" s="132">
        <v>153964.80000000002</v>
      </c>
      <c r="AC123" s="11">
        <v>0.96164835164835161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1</v>
      </c>
      <c r="C124" s="6" t="s">
        <v>50</v>
      </c>
      <c r="D124" s="6" t="s">
        <v>320</v>
      </c>
      <c r="E124" s="6" t="s">
        <v>402</v>
      </c>
      <c r="F124" s="148">
        <v>1060791</v>
      </c>
      <c r="G124" s="149" t="s">
        <v>428</v>
      </c>
      <c r="H124" s="129">
        <v>10037.747435513329</v>
      </c>
      <c r="I124" s="129">
        <v>1806.7945383923991</v>
      </c>
      <c r="J124" s="9">
        <v>0</v>
      </c>
      <c r="K124" s="9">
        <v>3200</v>
      </c>
      <c r="L124" s="100">
        <v>576</v>
      </c>
      <c r="M124" s="10">
        <v>0.32357857386495376</v>
      </c>
      <c r="N124" s="100">
        <v>1230.7945383923991</v>
      </c>
      <c r="O124" s="100">
        <v>0</v>
      </c>
      <c r="P124" s="10">
        <v>0.95433688804585515</v>
      </c>
      <c r="Q124" s="6">
        <v>10917</v>
      </c>
      <c r="R124" s="6">
        <v>48</v>
      </c>
      <c r="S124" s="6">
        <v>10839</v>
      </c>
      <c r="T124" s="6">
        <v>0</v>
      </c>
      <c r="U124" s="6">
        <v>0</v>
      </c>
      <c r="V124" s="6">
        <v>0</v>
      </c>
      <c r="W124" s="6">
        <v>0</v>
      </c>
      <c r="X124" s="9">
        <v>10037.747435513329</v>
      </c>
      <c r="Y124" s="9">
        <v>32.394718246202899</v>
      </c>
      <c r="Z124" s="9">
        <v>-4079.252564486671</v>
      </c>
      <c r="AA124" s="132">
        <v>68858.947407621439</v>
      </c>
      <c r="AB124" s="132">
        <v>74355.540000000008</v>
      </c>
      <c r="AC124" s="11">
        <v>1.4063912337597144</v>
      </c>
      <c r="AD124" s="71"/>
      <c r="AE124" s="71">
        <v>5.2400270453008789E-2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1</v>
      </c>
      <c r="C125" s="6" t="s">
        <v>50</v>
      </c>
      <c r="D125" s="6" t="s">
        <v>320</v>
      </c>
      <c r="E125" s="6" t="s">
        <v>402</v>
      </c>
      <c r="F125" s="6">
        <v>1060793</v>
      </c>
      <c r="G125" s="8" t="s">
        <v>430</v>
      </c>
      <c r="H125" s="129">
        <v>28312.209795258874</v>
      </c>
      <c r="I125" s="129">
        <v>5096.197763146597</v>
      </c>
      <c r="J125" s="9">
        <v>0</v>
      </c>
      <c r="K125" s="9">
        <v>6181</v>
      </c>
      <c r="L125" s="100">
        <v>1112.58</v>
      </c>
      <c r="M125" s="10">
        <v>0.22283672117520467</v>
      </c>
      <c r="N125" s="100">
        <v>3983.6177631465971</v>
      </c>
      <c r="O125" s="100">
        <v>0</v>
      </c>
      <c r="P125" s="10">
        <v>0.79863636363636359</v>
      </c>
      <c r="Q125" s="6">
        <v>28641</v>
      </c>
      <c r="R125" s="6">
        <v>128</v>
      </c>
      <c r="S125" s="6">
        <v>28493</v>
      </c>
      <c r="T125" s="6">
        <v>0</v>
      </c>
      <c r="U125" s="6">
        <v>0</v>
      </c>
      <c r="V125" s="6">
        <v>0</v>
      </c>
      <c r="W125" s="6">
        <v>900</v>
      </c>
      <c r="X125" s="9">
        <v>28312.20979525887</v>
      </c>
      <c r="Y125" s="9">
        <v>30.191567743438455</v>
      </c>
      <c r="Z125" s="9">
        <v>-6509.7902047411262</v>
      </c>
      <c r="AA125" s="132">
        <v>194221.7591954759</v>
      </c>
      <c r="AB125" s="132">
        <v>201635.98</v>
      </c>
      <c r="AC125" s="11">
        <v>1.2299287216298902</v>
      </c>
      <c r="AD125" s="71"/>
      <c r="AE125" s="71" t="s">
        <v>574</v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 t="s">
        <v>1</v>
      </c>
      <c r="BJ125" s="31"/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1">
        <v>1078183</v>
      </c>
      <c r="G126" s="70" t="s">
        <v>694</v>
      </c>
      <c r="H126" s="129">
        <v>1390</v>
      </c>
      <c r="I126" s="129">
        <v>390.59000000000003</v>
      </c>
      <c r="J126" s="9">
        <v>0</v>
      </c>
      <c r="K126" s="9">
        <v>140</v>
      </c>
      <c r="L126" s="100">
        <v>39.340000000000003</v>
      </c>
      <c r="M126" s="10">
        <v>0.10071942446043165</v>
      </c>
      <c r="N126" s="100">
        <v>351.25</v>
      </c>
      <c r="O126" s="100">
        <v>0</v>
      </c>
      <c r="P126" s="10">
        <v>0.66052819473893742</v>
      </c>
      <c r="Q126" s="6">
        <v>1414</v>
      </c>
      <c r="R126" s="6">
        <v>0</v>
      </c>
      <c r="S126" s="6">
        <v>1414</v>
      </c>
      <c r="T126" s="6">
        <v>0</v>
      </c>
      <c r="U126" s="6">
        <v>0</v>
      </c>
      <c r="V126" s="6">
        <v>0</v>
      </c>
      <c r="W126" s="6">
        <v>0</v>
      </c>
      <c r="X126" s="9">
        <v>1390</v>
      </c>
      <c r="Y126" s="9">
        <v>30.517985611510788</v>
      </c>
      <c r="Z126" s="9">
        <v>-164</v>
      </c>
      <c r="AA126" s="132">
        <v>6574.7000000000007</v>
      </c>
      <c r="AB126" s="132">
        <v>6688.22</v>
      </c>
      <c r="AC126" s="11">
        <v>1.1179856115107913</v>
      </c>
      <c r="AD126" s="71"/>
      <c r="AE126" s="71">
        <v>1010.848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">
        <v>1071168</v>
      </c>
      <c r="G127" s="131" t="s">
        <v>594</v>
      </c>
      <c r="H127" s="129">
        <v>263285.5084002263</v>
      </c>
      <c r="I127" s="129">
        <v>10531.420336009052</v>
      </c>
      <c r="J127" s="9">
        <v>0</v>
      </c>
      <c r="K127" s="9">
        <v>55987</v>
      </c>
      <c r="L127" s="100">
        <v>2239.48</v>
      </c>
      <c r="M127" s="10">
        <v>0.21629371227463673</v>
      </c>
      <c r="N127" s="100">
        <v>8291.9403360090528</v>
      </c>
      <c r="O127" s="100">
        <v>5.9769598311449137</v>
      </c>
      <c r="P127" s="10">
        <v>1.2166221053794986</v>
      </c>
      <c r="Q127" s="6">
        <v>269208</v>
      </c>
      <c r="R127" s="6">
        <v>960</v>
      </c>
      <c r="S127" s="6">
        <v>268248</v>
      </c>
      <c r="T127" s="6">
        <v>0</v>
      </c>
      <c r="U127" s="6">
        <v>0</v>
      </c>
      <c r="V127" s="6">
        <v>0</v>
      </c>
      <c r="W127" s="6">
        <v>0</v>
      </c>
      <c r="X127" s="9">
        <v>263285.5084002263</v>
      </c>
      <c r="Y127" s="9">
        <v>30.565449837698257</v>
      </c>
      <c r="Z127" s="9">
        <v>-61909.491599773697</v>
      </c>
      <c r="AA127" s="132">
        <v>226425.53722419462</v>
      </c>
      <c r="AB127" s="132">
        <v>230693.28</v>
      </c>
      <c r="AC127" s="11">
        <v>1.2351420401979119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/>
      <c r="BJ127" s="31" t="s">
        <v>825</v>
      </c>
    </row>
    <row r="128" spans="1:62" ht="12.75" customHeight="1" x14ac:dyDescent="0.35">
      <c r="A128" s="118"/>
      <c r="B128" s="30" t="s">
        <v>31</v>
      </c>
      <c r="C128" s="6" t="s">
        <v>5</v>
      </c>
      <c r="D128" s="6" t="s">
        <v>306</v>
      </c>
      <c r="E128" s="6" t="s">
        <v>307</v>
      </c>
      <c r="F128" s="6">
        <v>1071183</v>
      </c>
      <c r="G128" s="8" t="s">
        <v>591</v>
      </c>
      <c r="H128" s="129">
        <v>191689.2869303597</v>
      </c>
      <c r="I128" s="129">
        <v>26836.500170250361</v>
      </c>
      <c r="J128" s="9">
        <v>0</v>
      </c>
      <c r="K128" s="9">
        <v>39326</v>
      </c>
      <c r="L128" s="100">
        <v>5505.64</v>
      </c>
      <c r="M128" s="10">
        <v>0.22221377460428987</v>
      </c>
      <c r="N128" s="100">
        <v>21330.860170250362</v>
      </c>
      <c r="O128" s="100">
        <v>0</v>
      </c>
      <c r="P128" s="10">
        <v>0.86212133260304691</v>
      </c>
      <c r="Q128" s="6">
        <v>202818</v>
      </c>
      <c r="R128" s="6">
        <v>3270</v>
      </c>
      <c r="S128" s="6">
        <v>199546</v>
      </c>
      <c r="T128" s="6">
        <v>0</v>
      </c>
      <c r="U128" s="6">
        <v>0</v>
      </c>
      <c r="V128" s="6">
        <v>0</v>
      </c>
      <c r="W128" s="6">
        <v>30</v>
      </c>
      <c r="X128" s="9">
        <v>191689.2869303597</v>
      </c>
      <c r="Y128" s="9">
        <v>31.229601277482129</v>
      </c>
      <c r="Z128" s="9">
        <v>-50454.713069640304</v>
      </c>
      <c r="AA128" s="132">
        <v>515644.18184266757</v>
      </c>
      <c r="AB128" s="132">
        <v>536859.43999999994</v>
      </c>
      <c r="AC128" s="11">
        <v>1.2632109174049482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/>
      <c r="BJ128" s="31"/>
    </row>
    <row r="129" spans="1:62" ht="12.75" customHeight="1" x14ac:dyDescent="0.35">
      <c r="A129" s="118"/>
      <c r="B129" s="30" t="s">
        <v>1</v>
      </c>
      <c r="C129" s="6" t="s">
        <v>2</v>
      </c>
      <c r="D129" s="6" t="s">
        <v>310</v>
      </c>
      <c r="E129" s="6" t="s">
        <v>311</v>
      </c>
      <c r="F129" s="6">
        <v>1078887</v>
      </c>
      <c r="G129" s="8" t="s">
        <v>721</v>
      </c>
      <c r="H129" s="129">
        <v>10300</v>
      </c>
      <c r="I129" s="129">
        <v>1030</v>
      </c>
      <c r="J129" s="9">
        <v>0</v>
      </c>
      <c r="K129" s="9">
        <v>3771</v>
      </c>
      <c r="L129" s="100">
        <v>377.1</v>
      </c>
      <c r="M129" s="10">
        <v>0.38242718446601942</v>
      </c>
      <c r="N129" s="100">
        <v>652.9</v>
      </c>
      <c r="O129" s="100">
        <v>2.7882449193995247</v>
      </c>
      <c r="P129" s="10">
        <v>1.075868219191469</v>
      </c>
      <c r="Q129" s="6">
        <v>14405</v>
      </c>
      <c r="R129" s="6">
        <v>168</v>
      </c>
      <c r="S129" s="6">
        <v>14217</v>
      </c>
      <c r="T129" s="6">
        <v>0</v>
      </c>
      <c r="U129" s="6">
        <v>0</v>
      </c>
      <c r="V129" s="6">
        <v>0</v>
      </c>
      <c r="W129" s="6">
        <v>1787</v>
      </c>
      <c r="X129" s="9">
        <v>10504</v>
      </c>
      <c r="Y129" s="9">
        <v>40.604531607006855</v>
      </c>
      <c r="Z129" s="9">
        <v>-7876</v>
      </c>
      <c r="AA129" s="132">
        <v>22454</v>
      </c>
      <c r="AB129" s="132">
        <v>34888.720000000001</v>
      </c>
      <c r="AC129" s="11">
        <v>1.7646601941747573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27</v>
      </c>
      <c r="C130" s="6" t="s">
        <v>5</v>
      </c>
      <c r="D130" s="6" t="s">
        <v>312</v>
      </c>
      <c r="E130" s="6" t="s">
        <v>313</v>
      </c>
      <c r="F130" s="61">
        <v>1072352</v>
      </c>
      <c r="G130" s="70" t="s">
        <v>592</v>
      </c>
      <c r="H130" s="129">
        <v>64328.557536110246</v>
      </c>
      <c r="I130" s="129">
        <v>14666.911118233136</v>
      </c>
      <c r="J130" s="9">
        <v>0</v>
      </c>
      <c r="K130" s="9">
        <v>10120</v>
      </c>
      <c r="L130" s="100">
        <v>2307.36</v>
      </c>
      <c r="M130" s="10">
        <v>0.16104822487562401</v>
      </c>
      <c r="N130" s="100">
        <v>12359.551118233136</v>
      </c>
      <c r="O130" s="100">
        <v>0</v>
      </c>
      <c r="P130" s="10">
        <v>0.76414807302231236</v>
      </c>
      <c r="Q130" s="6">
        <v>68739</v>
      </c>
      <c r="R130" s="6">
        <v>240</v>
      </c>
      <c r="S130" s="6">
        <v>68448</v>
      </c>
      <c r="T130" s="6">
        <v>0</v>
      </c>
      <c r="U130" s="6">
        <v>0</v>
      </c>
      <c r="V130" s="6">
        <v>0</v>
      </c>
      <c r="W130" s="6">
        <v>30</v>
      </c>
      <c r="X130" s="9">
        <v>64328.557536110246</v>
      </c>
      <c r="Y130" s="9">
        <v>31.921126147548396</v>
      </c>
      <c r="Z130" s="9">
        <v>-14530.442463889754</v>
      </c>
      <c r="AA130" s="132">
        <v>139592.96985335922</v>
      </c>
      <c r="AB130" s="132">
        <v>148597.26</v>
      </c>
      <c r="AC130" s="11">
        <v>1.2258785680952542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>
        <v>0</v>
      </c>
      <c r="C131" s="6" t="s">
        <v>2</v>
      </c>
      <c r="D131" s="6" t="s">
        <v>310</v>
      </c>
      <c r="E131" s="6" t="s">
        <v>311</v>
      </c>
      <c r="F131" s="154">
        <v>1080745</v>
      </c>
      <c r="G131" s="162" t="s">
        <v>788</v>
      </c>
      <c r="H131" s="129">
        <v>1946.7256937465086</v>
      </c>
      <c r="I131" s="129">
        <v>934.42833299832409</v>
      </c>
      <c r="J131" s="9">
        <v>0</v>
      </c>
      <c r="K131" s="9">
        <v>0</v>
      </c>
      <c r="L131" s="100">
        <v>0</v>
      </c>
      <c r="M131" s="10">
        <v>0</v>
      </c>
      <c r="N131" s="100">
        <v>934.42833299832409</v>
      </c>
      <c r="O131" s="100">
        <v>0</v>
      </c>
      <c r="P131" s="10">
        <v>0</v>
      </c>
      <c r="Q131" s="6">
        <v>2080</v>
      </c>
      <c r="R131" s="6">
        <v>0</v>
      </c>
      <c r="S131" s="6">
        <v>2080</v>
      </c>
      <c r="T131" s="6">
        <v>0</v>
      </c>
      <c r="U131" s="6">
        <v>0</v>
      </c>
      <c r="V131" s="6">
        <v>0</v>
      </c>
      <c r="W131" s="6">
        <v>0</v>
      </c>
      <c r="X131" s="9">
        <v>1946.7256937465088</v>
      </c>
      <c r="Y131" s="9">
        <v>32.05382258037087</v>
      </c>
      <c r="Z131" s="9">
        <v>-133.27430625349143</v>
      </c>
      <c r="AA131" s="132">
        <v>44560.55112985758</v>
      </c>
      <c r="AB131" s="132">
        <v>47611.200000000004</v>
      </c>
      <c r="AC131" s="11">
        <v>1.0684607526790293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2" t="s">
        <v>1</v>
      </c>
      <c r="BJ131" s="31" t="s">
        <v>829</v>
      </c>
    </row>
    <row r="132" spans="1:62" ht="12.75" customHeight="1" x14ac:dyDescent="0.35">
      <c r="A132" s="118"/>
      <c r="B132" s="30" t="s">
        <v>22</v>
      </c>
      <c r="C132" s="6" t="s">
        <v>5</v>
      </c>
      <c r="D132" s="6" t="s">
        <v>306</v>
      </c>
      <c r="E132" s="6" t="s">
        <v>307</v>
      </c>
      <c r="F132" s="6">
        <v>1062351</v>
      </c>
      <c r="G132" s="8" t="s">
        <v>412</v>
      </c>
      <c r="H132" s="129">
        <v>50138.632421417882</v>
      </c>
      <c r="I132" s="129">
        <v>7520.7948632126818</v>
      </c>
      <c r="J132" s="9">
        <v>0</v>
      </c>
      <c r="K132" s="9">
        <v>9817</v>
      </c>
      <c r="L132" s="100">
        <v>1472.55</v>
      </c>
      <c r="M132" s="10">
        <v>0.20441323396810285</v>
      </c>
      <c r="N132" s="100">
        <v>6048.2448632126816</v>
      </c>
      <c r="O132" s="100">
        <v>17.522057420187107</v>
      </c>
      <c r="P132" s="10">
        <v>3.065686345847022</v>
      </c>
      <c r="Q132" s="6">
        <v>54107</v>
      </c>
      <c r="R132" s="6">
        <v>432</v>
      </c>
      <c r="S132" s="6">
        <v>53658</v>
      </c>
      <c r="T132" s="6">
        <v>0</v>
      </c>
      <c r="U132" s="6">
        <v>0</v>
      </c>
      <c r="V132" s="6">
        <v>0</v>
      </c>
      <c r="W132" s="6">
        <v>0</v>
      </c>
      <c r="X132" s="9">
        <v>50138.632421417882</v>
      </c>
      <c r="Y132" s="9">
        <v>32.105781954123707</v>
      </c>
      <c r="Z132" s="9">
        <v>-13785.367578582118</v>
      </c>
      <c r="AA132" s="132">
        <v>168465.80493596409</v>
      </c>
      <c r="AB132" s="132">
        <v>180290.88</v>
      </c>
      <c r="AC132" s="11">
        <v>1.2749450256783106</v>
      </c>
      <c r="AD132" s="71"/>
      <c r="AE132" s="71">
        <v>112.11666666666667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15</v>
      </c>
      <c r="C133" s="6" t="s">
        <v>5</v>
      </c>
      <c r="D133" s="6" t="s">
        <v>308</v>
      </c>
      <c r="E133" s="6" t="s">
        <v>397</v>
      </c>
      <c r="F133" s="61">
        <v>1074165</v>
      </c>
      <c r="G133" s="70" t="s">
        <v>631</v>
      </c>
      <c r="H133" s="129">
        <v>12885.535414600512</v>
      </c>
      <c r="I133" s="129">
        <v>12885.535414600512</v>
      </c>
      <c r="J133" s="9">
        <v>0</v>
      </c>
      <c r="K133" s="9">
        <v>3114</v>
      </c>
      <c r="L133" s="100">
        <v>3114</v>
      </c>
      <c r="M133" s="10">
        <v>0.24865090172113216</v>
      </c>
      <c r="N133" s="100">
        <v>9771.535414600512</v>
      </c>
      <c r="O133" s="100">
        <v>9.0264122197286731</v>
      </c>
      <c r="P133" s="10">
        <v>1.3566204376335407</v>
      </c>
      <c r="Q133" s="6">
        <v>14032</v>
      </c>
      <c r="R133" s="6">
        <v>90</v>
      </c>
      <c r="S133" s="6">
        <v>13936</v>
      </c>
      <c r="T133" s="6">
        <v>0</v>
      </c>
      <c r="U133" s="6">
        <v>0</v>
      </c>
      <c r="V133" s="6">
        <v>4959</v>
      </c>
      <c r="W133" s="6">
        <v>124</v>
      </c>
      <c r="X133" s="9">
        <v>12885.535414600512</v>
      </c>
      <c r="Y133" s="9">
        <v>32.4456832058586</v>
      </c>
      <c r="Z133" s="9">
        <v>-4260.464585399488</v>
      </c>
      <c r="AA133" s="132">
        <v>144575.70735181775</v>
      </c>
      <c r="AB133" s="132">
        <v>213393.18000000002</v>
      </c>
      <c r="AC133" s="11">
        <v>1.3306393136424881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>
        <v>0</v>
      </c>
      <c r="C134" s="6" t="s">
        <v>2</v>
      </c>
      <c r="D134" s="6" t="s">
        <v>308</v>
      </c>
      <c r="E134" s="6" t="s">
        <v>395</v>
      </c>
      <c r="F134" s="154">
        <v>1080732</v>
      </c>
      <c r="G134" s="162" t="s">
        <v>787</v>
      </c>
      <c r="H134" s="129">
        <v>4462.0001199999997</v>
      </c>
      <c r="I134" s="129">
        <v>417.19701121999998</v>
      </c>
      <c r="J134" s="9">
        <v>0</v>
      </c>
      <c r="K134" s="9">
        <v>468</v>
      </c>
      <c r="L134" s="100">
        <v>43.758000000000003</v>
      </c>
      <c r="M134" s="10">
        <v>0.13177946754515105</v>
      </c>
      <c r="N134" s="100">
        <v>373.43901122</v>
      </c>
      <c r="O134" s="100">
        <v>0</v>
      </c>
      <c r="P134" s="10">
        <v>0</v>
      </c>
      <c r="Q134" s="6">
        <v>5014</v>
      </c>
      <c r="R134" s="6">
        <v>120</v>
      </c>
      <c r="S134" s="6">
        <v>4878</v>
      </c>
      <c r="T134" s="6">
        <v>0</v>
      </c>
      <c r="U134" s="6">
        <v>0</v>
      </c>
      <c r="V134" s="6">
        <v>0</v>
      </c>
      <c r="W134" s="6">
        <v>0</v>
      </c>
      <c r="X134" s="9">
        <v>4462.0001199999997</v>
      </c>
      <c r="Y134" s="9">
        <v>32.796951157410554</v>
      </c>
      <c r="Z134" s="9">
        <v>-1019.9998800000003</v>
      </c>
      <c r="AA134" s="132">
        <v>48992.761317600001</v>
      </c>
      <c r="AB134" s="132">
        <v>53560.44</v>
      </c>
      <c r="AC134" s="11">
        <v>1.2285970086437381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 t="s">
        <v>1</v>
      </c>
      <c r="BJ134" s="31"/>
    </row>
    <row r="135" spans="1:62" ht="12.75" customHeight="1" x14ac:dyDescent="0.35">
      <c r="A135" s="118"/>
      <c r="B135" s="30" t="s">
        <v>1</v>
      </c>
      <c r="C135" s="6" t="s">
        <v>50</v>
      </c>
      <c r="D135" s="6" t="s">
        <v>316</v>
      </c>
      <c r="E135" s="6" t="s">
        <v>408</v>
      </c>
      <c r="F135" s="6">
        <v>1060662</v>
      </c>
      <c r="G135" s="8" t="s">
        <v>426</v>
      </c>
      <c r="H135" s="129">
        <v>1985.3687406795009</v>
      </c>
      <c r="I135" s="129">
        <v>4526.6407287492621</v>
      </c>
      <c r="J135" s="9">
        <v>0</v>
      </c>
      <c r="K135" s="9">
        <v>196</v>
      </c>
      <c r="L135" s="100">
        <v>446.87999999999994</v>
      </c>
      <c r="M135" s="10">
        <v>0.15916438771562791</v>
      </c>
      <c r="N135" s="100">
        <v>4079.7607287492619</v>
      </c>
      <c r="O135" s="100">
        <v>0</v>
      </c>
      <c r="P135" s="10">
        <v>0.50433168316831689</v>
      </c>
      <c r="Q135" s="6">
        <v>2370</v>
      </c>
      <c r="R135" s="6">
        <v>120</v>
      </c>
      <c r="S135" s="6">
        <v>2236</v>
      </c>
      <c r="T135" s="6">
        <v>0</v>
      </c>
      <c r="U135" s="6">
        <v>0</v>
      </c>
      <c r="V135" s="6">
        <v>0</v>
      </c>
      <c r="W135" s="6">
        <v>0</v>
      </c>
      <c r="X135" s="9">
        <v>1985.3687406795011</v>
      </c>
      <c r="Y135" s="9">
        <v>33.78717445558329</v>
      </c>
      <c r="Z135" s="9">
        <v>-580.63125932049911</v>
      </c>
      <c r="AA135" s="132">
        <v>24559.011322205424</v>
      </c>
      <c r="AB135" s="132">
        <v>27659.32</v>
      </c>
      <c r="AC135" s="11">
        <v>1.2924551230325987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1</v>
      </c>
      <c r="C136" s="6" t="s">
        <v>50</v>
      </c>
      <c r="D136" s="6" t="s">
        <v>320</v>
      </c>
      <c r="E136" s="6" t="s">
        <v>402</v>
      </c>
      <c r="F136" s="61">
        <v>1060798</v>
      </c>
      <c r="G136" s="70" t="s">
        <v>435</v>
      </c>
      <c r="H136" s="129">
        <v>12919.300242108769</v>
      </c>
      <c r="I136" s="129">
        <v>2325.4740435795784</v>
      </c>
      <c r="J136" s="9">
        <v>0</v>
      </c>
      <c r="K136" s="9">
        <v>2881</v>
      </c>
      <c r="L136" s="100">
        <v>518.57999999999993</v>
      </c>
      <c r="M136" s="10">
        <v>0.22485737970014291</v>
      </c>
      <c r="N136" s="100">
        <v>1806.8940435795785</v>
      </c>
      <c r="O136" s="100">
        <v>0</v>
      </c>
      <c r="P136" s="10">
        <v>0.54039928122482395</v>
      </c>
      <c r="Q136" s="6">
        <v>14637</v>
      </c>
      <c r="R136" s="6">
        <v>24</v>
      </c>
      <c r="S136" s="6">
        <v>14591</v>
      </c>
      <c r="T136" s="6">
        <v>0</v>
      </c>
      <c r="U136" s="6">
        <v>0</v>
      </c>
      <c r="V136" s="6">
        <v>0</v>
      </c>
      <c r="W136" s="6">
        <v>8</v>
      </c>
      <c r="X136" s="9">
        <v>12919.300242108769</v>
      </c>
      <c r="Y136" s="9">
        <v>33.881866029653551</v>
      </c>
      <c r="Z136" s="9">
        <v>-4598.6997578912305</v>
      </c>
      <c r="AA136" s="132">
        <v>88626.399660866169</v>
      </c>
      <c r="AB136" s="132">
        <v>100149.14</v>
      </c>
      <c r="AC136" s="11">
        <v>1.3559557926289514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15</v>
      </c>
      <c r="C137" s="6" t="s">
        <v>5</v>
      </c>
      <c r="D137" s="6" t="s">
        <v>308</v>
      </c>
      <c r="E137" s="6" t="s">
        <v>315</v>
      </c>
      <c r="F137" s="6">
        <v>1074226</v>
      </c>
      <c r="G137" s="131" t="s">
        <v>633</v>
      </c>
      <c r="H137" s="129">
        <v>2482.0898988843169</v>
      </c>
      <c r="I137" s="129">
        <v>496.41797977686338</v>
      </c>
      <c r="J137" s="9">
        <v>0</v>
      </c>
      <c r="K137" s="9">
        <v>132</v>
      </c>
      <c r="L137" s="100">
        <v>26.400000000000002</v>
      </c>
      <c r="M137" s="10">
        <v>5.3180990768840863E-2</v>
      </c>
      <c r="N137" s="100">
        <v>470.0179797768634</v>
      </c>
      <c r="O137" s="100">
        <v>6.7338129496402903</v>
      </c>
      <c r="P137" s="10">
        <v>1.2244604316546763</v>
      </c>
      <c r="Q137" s="6">
        <v>2838</v>
      </c>
      <c r="R137" s="6">
        <v>0</v>
      </c>
      <c r="S137" s="6">
        <v>2838</v>
      </c>
      <c r="T137" s="6">
        <v>0</v>
      </c>
      <c r="U137" s="6">
        <v>0</v>
      </c>
      <c r="V137" s="6">
        <v>0</v>
      </c>
      <c r="W137" s="6">
        <v>0</v>
      </c>
      <c r="X137" s="9">
        <v>2482.0898988843169</v>
      </c>
      <c r="Y137" s="9">
        <v>34.301739045902352</v>
      </c>
      <c r="Z137" s="9">
        <v>-487.91010111568312</v>
      </c>
      <c r="AA137" s="132">
        <v>6453.4337370992243</v>
      </c>
      <c r="AB137" s="132">
        <v>7378.8</v>
      </c>
      <c r="AC137" s="11">
        <v>1.1965722922989193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320</v>
      </c>
      <c r="E138" s="6" t="s">
        <v>402</v>
      </c>
      <c r="F138" s="6">
        <v>1060796</v>
      </c>
      <c r="G138" s="8" t="s">
        <v>433</v>
      </c>
      <c r="H138" s="129">
        <v>41024.912002145014</v>
      </c>
      <c r="I138" s="129">
        <v>7384.4841603861023</v>
      </c>
      <c r="J138" s="9">
        <v>0</v>
      </c>
      <c r="K138" s="9">
        <v>11569</v>
      </c>
      <c r="L138" s="100">
        <v>2082.42</v>
      </c>
      <c r="M138" s="10">
        <v>0.28397379619951096</v>
      </c>
      <c r="N138" s="100">
        <v>5302.0641603861022</v>
      </c>
      <c r="O138" s="100">
        <v>0</v>
      </c>
      <c r="P138" s="10">
        <v>0.4</v>
      </c>
      <c r="Q138" s="6">
        <v>48647</v>
      </c>
      <c r="R138" s="6">
        <v>81</v>
      </c>
      <c r="S138" s="6">
        <v>48532</v>
      </c>
      <c r="T138" s="6">
        <v>0</v>
      </c>
      <c r="U138" s="6">
        <v>32</v>
      </c>
      <c r="V138" s="6">
        <v>0</v>
      </c>
      <c r="W138" s="6">
        <v>0</v>
      </c>
      <c r="X138" s="9">
        <v>41024.912002145014</v>
      </c>
      <c r="Y138" s="9">
        <v>35.489655649325321</v>
      </c>
      <c r="Z138" s="9">
        <v>-19191.087997854986</v>
      </c>
      <c r="AA138" s="132">
        <v>280610.39809467189</v>
      </c>
      <c r="AB138" s="132">
        <v>332177.76</v>
      </c>
      <c r="AC138" s="11">
        <v>1.4677910825707943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 t="s">
        <v>831</v>
      </c>
    </row>
    <row r="139" spans="1:62" ht="12.75" customHeight="1" x14ac:dyDescent="0.35">
      <c r="A139" s="118"/>
      <c r="B139" s="30" t="s">
        <v>21</v>
      </c>
      <c r="C139" s="6" t="s">
        <v>5</v>
      </c>
      <c r="D139" s="6" t="s">
        <v>396</v>
      </c>
      <c r="E139" s="6" t="s">
        <v>397</v>
      </c>
      <c r="F139" s="6">
        <v>1040797</v>
      </c>
      <c r="G139" s="8" t="s">
        <v>84</v>
      </c>
      <c r="H139" s="129">
        <v>2477.0810777471647</v>
      </c>
      <c r="I139" s="129">
        <v>24770.810777471648</v>
      </c>
      <c r="J139" s="9">
        <v>0</v>
      </c>
      <c r="K139" s="9">
        <v>866</v>
      </c>
      <c r="L139" s="100">
        <v>8660</v>
      </c>
      <c r="M139" s="10">
        <v>0.34960502818406031</v>
      </c>
      <c r="N139" s="100">
        <v>16110.810777471648</v>
      </c>
      <c r="O139" s="100">
        <v>32.699999999999996</v>
      </c>
      <c r="P139" s="10">
        <v>1.5449999999999999</v>
      </c>
      <c r="Q139" s="6">
        <v>3577</v>
      </c>
      <c r="R139" s="6">
        <v>0</v>
      </c>
      <c r="S139" s="6">
        <v>3572</v>
      </c>
      <c r="T139" s="6">
        <v>0</v>
      </c>
      <c r="U139" s="6">
        <v>0</v>
      </c>
      <c r="V139" s="6">
        <v>0</v>
      </c>
      <c r="W139" s="6">
        <v>0</v>
      </c>
      <c r="X139" s="9">
        <v>2477.0810777471647</v>
      </c>
      <c r="Y139" s="9">
        <v>43.260594480604965</v>
      </c>
      <c r="Z139" s="9">
        <v>-1965.9189222528353</v>
      </c>
      <c r="AA139" s="132">
        <v>24968.97726369142</v>
      </c>
      <c r="AB139" s="132">
        <v>36005.760000000002</v>
      </c>
      <c r="AC139" s="11">
        <v>1.793643348985889</v>
      </c>
      <c r="AD139" s="71"/>
      <c r="AE139" s="71">
        <v>27.489419348425013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21</v>
      </c>
      <c r="C140" s="6" t="s">
        <v>5</v>
      </c>
      <c r="D140" s="6" t="s">
        <v>396</v>
      </c>
      <c r="E140" s="6" t="s">
        <v>397</v>
      </c>
      <c r="F140" s="6">
        <v>1042368</v>
      </c>
      <c r="G140" s="8" t="s">
        <v>134</v>
      </c>
      <c r="H140" s="129">
        <v>200</v>
      </c>
      <c r="I140" s="129">
        <v>1920</v>
      </c>
      <c r="J140" s="9">
        <v>0</v>
      </c>
      <c r="K140" s="9">
        <v>83</v>
      </c>
      <c r="L140" s="100">
        <v>796.8</v>
      </c>
      <c r="M140" s="10">
        <v>0.41499999999999998</v>
      </c>
      <c r="N140" s="100">
        <v>1123.2</v>
      </c>
      <c r="O140" s="100">
        <v>0</v>
      </c>
      <c r="P140" s="10">
        <v>0.54577124623316409</v>
      </c>
      <c r="Q140" s="6">
        <v>346</v>
      </c>
      <c r="R140" s="6">
        <v>0</v>
      </c>
      <c r="S140" s="6">
        <v>346</v>
      </c>
      <c r="T140" s="6">
        <v>0</v>
      </c>
      <c r="U140" s="6">
        <v>0</v>
      </c>
      <c r="V140" s="6">
        <v>0</v>
      </c>
      <c r="W140" s="6">
        <v>9</v>
      </c>
      <c r="X140" s="9">
        <v>221.33333333333334</v>
      </c>
      <c r="Y140" s="9">
        <v>46.897590361445779</v>
      </c>
      <c r="Z140" s="9">
        <v>-229</v>
      </c>
      <c r="AA140" s="132">
        <v>18490</v>
      </c>
      <c r="AB140" s="132">
        <v>32819.75</v>
      </c>
      <c r="AC140" s="11">
        <v>2.145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8</v>
      </c>
      <c r="C141" s="6" t="s">
        <v>5</v>
      </c>
      <c r="D141" s="6" t="s">
        <v>308</v>
      </c>
      <c r="E141" s="6" t="s">
        <v>309</v>
      </c>
      <c r="F141" s="123">
        <v>1079847</v>
      </c>
      <c r="G141" s="124" t="s">
        <v>728</v>
      </c>
      <c r="H141" s="129">
        <v>8271.166346510523</v>
      </c>
      <c r="I141" s="129">
        <v>3176.1278770600411</v>
      </c>
      <c r="J141" s="9">
        <v>0</v>
      </c>
      <c r="K141" s="9">
        <v>1473</v>
      </c>
      <c r="L141" s="100">
        <v>565.63200000000006</v>
      </c>
      <c r="M141" s="10">
        <v>0.17808854740558275</v>
      </c>
      <c r="N141" s="100">
        <v>2610.495877060041</v>
      </c>
      <c r="O141" s="100">
        <v>0</v>
      </c>
      <c r="P141" s="10">
        <v>0.92272727272727273</v>
      </c>
      <c r="Q141" s="6">
        <v>10067</v>
      </c>
      <c r="R141" s="6">
        <v>0</v>
      </c>
      <c r="S141" s="6">
        <v>10067</v>
      </c>
      <c r="T141" s="6">
        <v>0</v>
      </c>
      <c r="U141" s="6">
        <v>0</v>
      </c>
      <c r="V141" s="6">
        <v>0</v>
      </c>
      <c r="W141" s="6">
        <v>1</v>
      </c>
      <c r="X141" s="9">
        <v>8271.166346510523</v>
      </c>
      <c r="Y141" s="9">
        <v>36.513592805132419</v>
      </c>
      <c r="Z141" s="9">
        <v>-3268.833653489477</v>
      </c>
      <c r="AA141" s="132">
        <v>74275.073791664501</v>
      </c>
      <c r="AB141" s="132">
        <v>90410.64</v>
      </c>
      <c r="AC141" s="11">
        <v>1.3952083075766633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31</v>
      </c>
      <c r="C142" s="6" t="s">
        <v>5</v>
      </c>
      <c r="D142" s="6" t="s">
        <v>306</v>
      </c>
      <c r="E142" s="6" t="s">
        <v>307</v>
      </c>
      <c r="F142" s="61">
        <v>1075354</v>
      </c>
      <c r="G142" s="70" t="s">
        <v>670</v>
      </c>
      <c r="H142" s="129">
        <v>12117.135518167654</v>
      </c>
      <c r="I142" s="129">
        <v>1090.5421966350889</v>
      </c>
      <c r="J142" s="9">
        <v>0</v>
      </c>
      <c r="K142" s="9">
        <v>900</v>
      </c>
      <c r="L142" s="100">
        <v>81</v>
      </c>
      <c r="M142" s="10">
        <v>7.4274980142839689E-2</v>
      </c>
      <c r="N142" s="100">
        <v>1009.5421966350889</v>
      </c>
      <c r="O142" s="100">
        <v>0</v>
      </c>
      <c r="P142" s="10">
        <v>0.30633438453702727</v>
      </c>
      <c r="Q142" s="6">
        <v>15072</v>
      </c>
      <c r="R142" s="6">
        <v>0</v>
      </c>
      <c r="S142" s="6">
        <v>15072</v>
      </c>
      <c r="T142" s="6">
        <v>0</v>
      </c>
      <c r="U142" s="6">
        <v>0</v>
      </c>
      <c r="V142" s="6">
        <v>0</v>
      </c>
      <c r="W142" s="6">
        <v>0</v>
      </c>
      <c r="X142" s="9">
        <v>12117.135518167654</v>
      </c>
      <c r="Y142" s="9">
        <v>37.315750023762661</v>
      </c>
      <c r="Z142" s="9">
        <v>-3854.8644818323464</v>
      </c>
      <c r="AA142" s="132">
        <v>21568.501222338422</v>
      </c>
      <c r="AB142" s="132">
        <v>26828.16</v>
      </c>
      <c r="AC142" s="11">
        <v>1.3181333142682616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9</v>
      </c>
      <c r="C143" s="6" t="s">
        <v>5</v>
      </c>
      <c r="D143" s="6" t="s">
        <v>308</v>
      </c>
      <c r="E143" s="6" t="s">
        <v>315</v>
      </c>
      <c r="F143" s="120">
        <v>1082308</v>
      </c>
      <c r="G143" s="121" t="s">
        <v>757</v>
      </c>
      <c r="H143" s="129">
        <v>66602.638259441184</v>
      </c>
      <c r="I143" s="129">
        <v>17716.301777011355</v>
      </c>
      <c r="J143" s="9">
        <v>0</v>
      </c>
      <c r="K143" s="9">
        <v>6120</v>
      </c>
      <c r="L143" s="100">
        <v>1627.92</v>
      </c>
      <c r="M143" s="10">
        <v>9.1888251876155458E-2</v>
      </c>
      <c r="N143" s="100">
        <v>16088.381777011355</v>
      </c>
      <c r="O143" s="100">
        <v>8.1960138888837939</v>
      </c>
      <c r="P143" s="10">
        <v>1.2743095010344963</v>
      </c>
      <c r="Q143" s="6">
        <v>83220</v>
      </c>
      <c r="R143" s="6">
        <v>0</v>
      </c>
      <c r="S143" s="6">
        <v>83220</v>
      </c>
      <c r="T143" s="6">
        <v>0</v>
      </c>
      <c r="U143" s="6">
        <v>0</v>
      </c>
      <c r="V143" s="6">
        <v>0</v>
      </c>
      <c r="W143" s="6">
        <v>0</v>
      </c>
      <c r="X143" s="9">
        <v>66602.638259441184</v>
      </c>
      <c r="Y143" s="9">
        <v>37.485001574184601</v>
      </c>
      <c r="Z143" s="9">
        <v>-22737.361740558816</v>
      </c>
      <c r="AA143" s="132">
        <v>378969.01169622038</v>
      </c>
      <c r="AB143" s="132">
        <v>473521.80000000005</v>
      </c>
      <c r="AC143" s="11">
        <v>1.3413883043489754</v>
      </c>
      <c r="AD143" s="71"/>
      <c r="AE143" s="71">
        <v>56.781838316722038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1076340</v>
      </c>
      <c r="G144" s="8" t="s">
        <v>651</v>
      </c>
      <c r="H144" s="129">
        <v>228</v>
      </c>
      <c r="I144" s="129">
        <v>1299.6000000000001</v>
      </c>
      <c r="J144" s="9">
        <v>0</v>
      </c>
      <c r="K144" s="9">
        <v>0</v>
      </c>
      <c r="L144" s="100">
        <v>0</v>
      </c>
      <c r="M144" s="10">
        <v>0</v>
      </c>
      <c r="N144" s="100">
        <v>1299.6000000000001</v>
      </c>
      <c r="O144" s="100">
        <v>0</v>
      </c>
      <c r="P144" s="10">
        <v>0.67502634993090915</v>
      </c>
      <c r="Q144" s="6">
        <v>294</v>
      </c>
      <c r="R144" s="6">
        <v>0</v>
      </c>
      <c r="S144" s="6">
        <v>294</v>
      </c>
      <c r="T144" s="6">
        <v>0</v>
      </c>
      <c r="U144" s="6">
        <v>0</v>
      </c>
      <c r="V144" s="6">
        <v>0</v>
      </c>
      <c r="W144" s="6">
        <v>0</v>
      </c>
      <c r="X144" s="9">
        <v>228</v>
      </c>
      <c r="Y144" s="9">
        <v>38.684210526315788</v>
      </c>
      <c r="Z144" s="9">
        <v>-66</v>
      </c>
      <c r="AA144" s="132">
        <v>10057.08</v>
      </c>
      <c r="AB144" s="132">
        <v>12968.34</v>
      </c>
      <c r="AC144" s="11">
        <v>1.2894736842105263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312</v>
      </c>
      <c r="E145" s="6" t="s">
        <v>313</v>
      </c>
      <c r="F145" s="6">
        <v>1052861</v>
      </c>
      <c r="G145" s="8" t="s">
        <v>196</v>
      </c>
      <c r="H145" s="129">
        <v>12988.152287151419</v>
      </c>
      <c r="I145" s="129">
        <v>597.4550052089653</v>
      </c>
      <c r="J145" s="9">
        <v>0</v>
      </c>
      <c r="K145" s="9">
        <v>2772</v>
      </c>
      <c r="L145" s="100">
        <v>127.512</v>
      </c>
      <c r="M145" s="10">
        <v>0.21342527703052974</v>
      </c>
      <c r="N145" s="100">
        <v>469.9430052089653</v>
      </c>
      <c r="O145" s="100">
        <v>0</v>
      </c>
      <c r="P145" s="10">
        <v>0</v>
      </c>
      <c r="Q145" s="6">
        <v>16764</v>
      </c>
      <c r="R145" s="6">
        <v>0</v>
      </c>
      <c r="S145" s="6">
        <v>16764</v>
      </c>
      <c r="T145" s="6">
        <v>0</v>
      </c>
      <c r="U145" s="6">
        <v>0</v>
      </c>
      <c r="V145" s="6">
        <v>0</v>
      </c>
      <c r="W145" s="6">
        <v>0</v>
      </c>
      <c r="X145" s="9">
        <v>12988.152287151419</v>
      </c>
      <c r="Y145" s="9">
        <v>38.72144311839611</v>
      </c>
      <c r="Z145" s="9">
        <v>-6547.8477128485811</v>
      </c>
      <c r="AA145" s="132">
        <v>6623.9576664472233</v>
      </c>
      <c r="AB145" s="132">
        <v>8549.64</v>
      </c>
      <c r="AC145" s="11">
        <v>1.5041400476437334</v>
      </c>
      <c r="AD145" s="71"/>
      <c r="AE145" s="71">
        <v>7.7885819816926292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21</v>
      </c>
      <c r="C146" s="6" t="s">
        <v>5</v>
      </c>
      <c r="D146" s="6" t="s">
        <v>396</v>
      </c>
      <c r="E146" s="6" t="s">
        <v>307</v>
      </c>
      <c r="F146" s="6">
        <v>1063071</v>
      </c>
      <c r="G146" s="8" t="s">
        <v>444</v>
      </c>
      <c r="H146" s="129">
        <v>1361.1952223581898</v>
      </c>
      <c r="I146" s="129">
        <v>680.59761117909488</v>
      </c>
      <c r="J146" s="9">
        <v>0</v>
      </c>
      <c r="K146" s="9">
        <v>573</v>
      </c>
      <c r="L146" s="100">
        <v>286.5</v>
      </c>
      <c r="M146" s="10">
        <v>0.42095357858170523</v>
      </c>
      <c r="N146" s="100">
        <v>394.09761117909488</v>
      </c>
      <c r="O146" s="100">
        <v>0</v>
      </c>
      <c r="P146" s="10">
        <v>0.44765141636343875</v>
      </c>
      <c r="Q146" s="6">
        <v>2565</v>
      </c>
      <c r="R146" s="6">
        <v>0</v>
      </c>
      <c r="S146" s="6">
        <v>2555</v>
      </c>
      <c r="T146" s="6">
        <v>0</v>
      </c>
      <c r="U146" s="6">
        <v>0</v>
      </c>
      <c r="V146" s="6">
        <v>0</v>
      </c>
      <c r="W146" s="6">
        <v>0</v>
      </c>
      <c r="X146" s="9">
        <v>1527.9999999999998</v>
      </c>
      <c r="Y146" s="9">
        <v>50.163612565445035</v>
      </c>
      <c r="Z146" s="9">
        <v>-1776.8047776418102</v>
      </c>
      <c r="AA146" s="132">
        <v>6833.2000162381119</v>
      </c>
      <c r="AB146" s="132">
        <v>12826.099999999999</v>
      </c>
      <c r="AC146" s="11">
        <v>2.3053269277301762</v>
      </c>
      <c r="AD146" s="71"/>
      <c r="AE146" s="71">
        <v>0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 t="s">
        <v>1</v>
      </c>
      <c r="BJ146" s="31"/>
    </row>
    <row r="147" spans="1:62" ht="12.75" customHeight="1" x14ac:dyDescent="0.35">
      <c r="A147" s="118"/>
      <c r="B147" s="30" t="s">
        <v>15</v>
      </c>
      <c r="C147" s="6" t="s">
        <v>5</v>
      </c>
      <c r="D147" s="6" t="s">
        <v>308</v>
      </c>
      <c r="E147" s="6" t="s">
        <v>315</v>
      </c>
      <c r="F147" s="61">
        <v>1074235</v>
      </c>
      <c r="G147" s="70" t="s">
        <v>636</v>
      </c>
      <c r="H147" s="129">
        <v>1438.5349221518081</v>
      </c>
      <c r="I147" s="129">
        <v>1078.9011916138561</v>
      </c>
      <c r="J147" s="9">
        <v>0</v>
      </c>
      <c r="K147" s="9">
        <v>260</v>
      </c>
      <c r="L147" s="100">
        <v>195</v>
      </c>
      <c r="M147" s="10">
        <v>0.2015939936767113</v>
      </c>
      <c r="N147" s="100">
        <v>883.9011916138561</v>
      </c>
      <c r="O147" s="100">
        <v>0</v>
      </c>
      <c r="P147" s="10">
        <v>0.98124139560935042</v>
      </c>
      <c r="Q147" s="6">
        <v>1936</v>
      </c>
      <c r="R147" s="6">
        <v>30</v>
      </c>
      <c r="S147" s="6">
        <v>1898</v>
      </c>
      <c r="T147" s="6">
        <v>0</v>
      </c>
      <c r="U147" s="6">
        <v>0</v>
      </c>
      <c r="V147" s="6">
        <v>0</v>
      </c>
      <c r="W147" s="6">
        <v>0</v>
      </c>
      <c r="X147" s="9">
        <v>1438.5349221518081</v>
      </c>
      <c r="Y147" s="9">
        <v>39.581937930868762</v>
      </c>
      <c r="Z147" s="9">
        <v>-757.46507784819187</v>
      </c>
      <c r="AA147" s="132">
        <v>13018.741045473864</v>
      </c>
      <c r="AB147" s="132">
        <v>17176.900000000001</v>
      </c>
      <c r="AC147" s="11">
        <v>1.526553138324338</v>
      </c>
      <c r="AD147" s="71"/>
      <c r="AE147" s="71">
        <v>339.04983660130716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31</v>
      </c>
      <c r="C148" s="6" t="s">
        <v>5</v>
      </c>
      <c r="D148" s="6" t="s">
        <v>306</v>
      </c>
      <c r="E148" s="6" t="s">
        <v>307</v>
      </c>
      <c r="F148" s="6">
        <v>1078161</v>
      </c>
      <c r="G148" s="8" t="s">
        <v>705</v>
      </c>
      <c r="H148" s="129">
        <v>4739.7301470349103</v>
      </c>
      <c r="I148" s="129">
        <v>1758.4398845499518</v>
      </c>
      <c r="J148" s="9">
        <v>0</v>
      </c>
      <c r="K148" s="9">
        <v>252</v>
      </c>
      <c r="L148" s="100">
        <v>93.492000000000004</v>
      </c>
      <c r="M148" s="10">
        <v>6.3294742673836529E-2</v>
      </c>
      <c r="N148" s="100">
        <v>1664.9478845499518</v>
      </c>
      <c r="O148" s="100">
        <v>26.673169355018267</v>
      </c>
      <c r="P148" s="10">
        <v>1.9056784999321463</v>
      </c>
      <c r="Q148" s="6">
        <v>6323</v>
      </c>
      <c r="R148" s="6">
        <v>48</v>
      </c>
      <c r="S148" s="6">
        <v>6275</v>
      </c>
      <c r="T148" s="6">
        <v>0</v>
      </c>
      <c r="U148" s="6">
        <v>0</v>
      </c>
      <c r="V148" s="6">
        <v>0</v>
      </c>
      <c r="W148" s="6">
        <v>0</v>
      </c>
      <c r="X148" s="9">
        <v>4739.7301470349103</v>
      </c>
      <c r="Y148" s="9">
        <v>39.717451027832418</v>
      </c>
      <c r="Z148" s="9">
        <v>-1835.2698529650897</v>
      </c>
      <c r="AA148" s="132">
        <v>46070.177029179329</v>
      </c>
      <c r="AB148" s="132">
        <v>60993.000000000007</v>
      </c>
      <c r="AC148" s="11">
        <v>1.3872097769349172</v>
      </c>
      <c r="AD148" s="71"/>
      <c r="AE148" s="71">
        <v>40.776923076923076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2</v>
      </c>
      <c r="D149" s="6" t="s">
        <v>310</v>
      </c>
      <c r="E149" s="6" t="s">
        <v>311</v>
      </c>
      <c r="F149" s="141">
        <v>1068295</v>
      </c>
      <c r="G149" s="142" t="s">
        <v>566</v>
      </c>
      <c r="H149" s="129">
        <v>802.80434449646077</v>
      </c>
      <c r="I149" s="129">
        <v>433.51434602808882</v>
      </c>
      <c r="J149" s="9">
        <v>0</v>
      </c>
      <c r="K149" s="9">
        <v>344</v>
      </c>
      <c r="L149" s="100">
        <v>185.76000000000002</v>
      </c>
      <c r="M149" s="10">
        <v>0.42849793023450256</v>
      </c>
      <c r="N149" s="100">
        <v>247.7543460280888</v>
      </c>
      <c r="O149" s="100">
        <v>3.0145726507705071</v>
      </c>
      <c r="P149" s="10">
        <v>1.0998246855661706</v>
      </c>
      <c r="Q149" s="6">
        <v>1641</v>
      </c>
      <c r="R149" s="6">
        <v>0</v>
      </c>
      <c r="S149" s="6">
        <v>1634</v>
      </c>
      <c r="T149" s="6">
        <v>0</v>
      </c>
      <c r="U149" s="6">
        <v>0</v>
      </c>
      <c r="V149" s="6">
        <v>0</v>
      </c>
      <c r="W149" s="6">
        <v>0</v>
      </c>
      <c r="X149" s="9">
        <v>917.33333333333337</v>
      </c>
      <c r="Y149" s="9">
        <v>53.4375</v>
      </c>
      <c r="Z149" s="9">
        <v>-1182.1956555035392</v>
      </c>
      <c r="AA149" s="132">
        <v>6615.1077986508371</v>
      </c>
      <c r="AB149" s="132">
        <v>13464.16</v>
      </c>
      <c r="AC149" s="11">
        <v>2.4725825334752543</v>
      </c>
      <c r="AD149" s="71"/>
      <c r="AE149" s="71">
        <v>0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27</v>
      </c>
      <c r="C150" s="6" t="s">
        <v>5</v>
      </c>
      <c r="D150" s="6" t="s">
        <v>312</v>
      </c>
      <c r="E150" s="6" t="s">
        <v>313</v>
      </c>
      <c r="F150" s="6">
        <v>1072811</v>
      </c>
      <c r="G150" s="8" t="s">
        <v>606</v>
      </c>
      <c r="H150" s="129">
        <v>77934.697707890475</v>
      </c>
      <c r="I150" s="129">
        <v>17769.111077399029</v>
      </c>
      <c r="J150" s="9">
        <v>0</v>
      </c>
      <c r="K150" s="9">
        <v>18955</v>
      </c>
      <c r="L150" s="100">
        <v>4321.74</v>
      </c>
      <c r="M150" s="10">
        <v>0.25130013429200898</v>
      </c>
      <c r="N150" s="100">
        <v>13447.37107739903</v>
      </c>
      <c r="O150" s="100">
        <v>0</v>
      </c>
      <c r="P150" s="10">
        <v>0.85415406656527793</v>
      </c>
      <c r="Q150" s="6">
        <v>108762</v>
      </c>
      <c r="R150" s="6">
        <v>630</v>
      </c>
      <c r="S150" s="6">
        <v>108132</v>
      </c>
      <c r="T150" s="6">
        <v>0</v>
      </c>
      <c r="U150" s="6">
        <v>0</v>
      </c>
      <c r="V150" s="6">
        <v>0</v>
      </c>
      <c r="W150" s="6">
        <v>0</v>
      </c>
      <c r="X150" s="9">
        <v>77934.697707890475</v>
      </c>
      <c r="Y150" s="9">
        <v>41.624078817355397</v>
      </c>
      <c r="Z150" s="9">
        <v>-49782.302292109525</v>
      </c>
      <c r="AA150" s="132">
        <v>155090.04843870204</v>
      </c>
      <c r="AB150" s="132">
        <v>215182.68</v>
      </c>
      <c r="AC150" s="11">
        <v>1.6387694282038554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/>
      <c r="BJ150" s="31"/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123">
        <v>1081304</v>
      </c>
      <c r="G151" s="124" t="s">
        <v>747</v>
      </c>
      <c r="H151" s="129">
        <v>20006.320991402186</v>
      </c>
      <c r="I151" s="129">
        <v>4561.4411860396986</v>
      </c>
      <c r="J151" s="9">
        <v>0</v>
      </c>
      <c r="K151" s="9">
        <v>21698</v>
      </c>
      <c r="L151" s="100">
        <v>4947.1440000000002</v>
      </c>
      <c r="M151" s="10">
        <v>1.0890558043812002</v>
      </c>
      <c r="N151" s="100">
        <v>385.70281396030168</v>
      </c>
      <c r="O151" s="100">
        <v>0</v>
      </c>
      <c r="P151" s="10">
        <v>0.55909134072274513</v>
      </c>
      <c r="Q151" s="6">
        <v>104990</v>
      </c>
      <c r="R151" s="6">
        <v>90</v>
      </c>
      <c r="S151" s="6">
        <v>104834</v>
      </c>
      <c r="T151" s="6">
        <v>0</v>
      </c>
      <c r="U151" s="6">
        <v>150</v>
      </c>
      <c r="V151" s="6">
        <v>0</v>
      </c>
      <c r="W151" s="6">
        <v>0</v>
      </c>
      <c r="X151" s="9">
        <v>58101.333333333336</v>
      </c>
      <c r="Y151" s="9">
        <v>54.129910960161553</v>
      </c>
      <c r="Z151" s="9">
        <v>-106681.67900859781</v>
      </c>
      <c r="AA151" s="132">
        <v>39612.515562976332</v>
      </c>
      <c r="AB151" s="132">
        <v>207868.32</v>
      </c>
      <c r="AC151" s="11">
        <v>6.332398648129498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50</v>
      </c>
      <c r="D152" s="6" t="s">
        <v>320</v>
      </c>
      <c r="E152" s="6" t="s">
        <v>402</v>
      </c>
      <c r="F152" s="6">
        <v>1060795</v>
      </c>
      <c r="G152" s="8" t="s">
        <v>432</v>
      </c>
      <c r="H152" s="129">
        <v>20276.475168859557</v>
      </c>
      <c r="I152" s="129">
        <v>3649.7655303947199</v>
      </c>
      <c r="J152" s="9">
        <v>0</v>
      </c>
      <c r="K152" s="9">
        <v>4584</v>
      </c>
      <c r="L152" s="100">
        <v>825.12</v>
      </c>
      <c r="M152" s="10">
        <v>0.22804752608587023</v>
      </c>
      <c r="N152" s="100">
        <v>2824.64553039472</v>
      </c>
      <c r="O152" s="100">
        <v>9.1332147680169449</v>
      </c>
      <c r="P152" s="10">
        <v>1.3693286455717395</v>
      </c>
      <c r="Q152" s="6">
        <v>28640</v>
      </c>
      <c r="R152" s="6">
        <v>40</v>
      </c>
      <c r="S152" s="6">
        <v>28573</v>
      </c>
      <c r="T152" s="6">
        <v>0</v>
      </c>
      <c r="U152" s="6">
        <v>24</v>
      </c>
      <c r="V152" s="6">
        <v>0</v>
      </c>
      <c r="W152" s="6">
        <v>3</v>
      </c>
      <c r="X152" s="9">
        <v>20276.475168859557</v>
      </c>
      <c r="Y152" s="9">
        <v>42.27509923995396</v>
      </c>
      <c r="Z152" s="9">
        <v>-12947.524831140443</v>
      </c>
      <c r="AA152" s="132">
        <v>139907.67866513095</v>
      </c>
      <c r="AB152" s="132">
        <v>197340</v>
      </c>
      <c r="AC152" s="11">
        <v>1.6385490931394795</v>
      </c>
      <c r="AD152" s="71"/>
      <c r="AE152" s="71">
        <v>53.485240371099245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 t="s">
        <v>830</v>
      </c>
    </row>
    <row r="153" spans="1:62" ht="12.75" customHeight="1" x14ac:dyDescent="0.3">
      <c r="A153" s="118"/>
      <c r="B153" s="30" t="s">
        <v>1</v>
      </c>
      <c r="C153" s="6" t="s">
        <v>17</v>
      </c>
      <c r="D153" s="6" t="s">
        <v>312</v>
      </c>
      <c r="E153" s="6" t="s">
        <v>398</v>
      </c>
      <c r="F153" s="133">
        <v>1082287</v>
      </c>
      <c r="G153" s="134" t="s">
        <v>774</v>
      </c>
      <c r="H153" s="175">
        <v>8881.1093436375395</v>
      </c>
      <c r="I153" s="129">
        <v>2158.109570503922</v>
      </c>
      <c r="J153" s="9">
        <v>0</v>
      </c>
      <c r="K153" s="9">
        <v>2826</v>
      </c>
      <c r="L153" s="100">
        <v>686.71799999999996</v>
      </c>
      <c r="M153" s="10">
        <v>0.32090585643354913</v>
      </c>
      <c r="N153" s="100">
        <v>1471.3915705039221</v>
      </c>
      <c r="O153" s="100">
        <v>0</v>
      </c>
      <c r="P153" s="10">
        <v>0</v>
      </c>
      <c r="Q153" s="6">
        <v>14295</v>
      </c>
      <c r="R153" s="6">
        <v>24</v>
      </c>
      <c r="S153" s="6">
        <v>14169</v>
      </c>
      <c r="T153" s="6">
        <v>0</v>
      </c>
      <c r="U153" s="6">
        <v>0</v>
      </c>
      <c r="V153" s="6">
        <v>0</v>
      </c>
      <c r="W153" s="6">
        <v>0</v>
      </c>
      <c r="X153" s="9">
        <v>8881.1093436375395</v>
      </c>
      <c r="Y153" s="9">
        <v>47.862263997967979</v>
      </c>
      <c r="Z153" s="9">
        <v>-8239.8906563624605</v>
      </c>
      <c r="AA153" s="132">
        <v>22735.639919712103</v>
      </c>
      <c r="AB153" s="132">
        <v>36272.639999999999</v>
      </c>
      <c r="AC153" s="11">
        <v>1.9277997080697524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/>
      <c r="BJ153" s="31"/>
    </row>
    <row r="154" spans="1:62" ht="12.75" customHeight="1" x14ac:dyDescent="0.35">
      <c r="A154" s="118"/>
      <c r="B154" s="30" t="s">
        <v>1</v>
      </c>
      <c r="C154" s="6" t="s">
        <v>50</v>
      </c>
      <c r="D154" s="6" t="s">
        <v>320</v>
      </c>
      <c r="E154" s="6" t="s">
        <v>402</v>
      </c>
      <c r="F154" s="6">
        <v>1060794</v>
      </c>
      <c r="G154" s="8" t="s">
        <v>431</v>
      </c>
      <c r="H154" s="129">
        <v>43527.394192551612</v>
      </c>
      <c r="I154" s="129">
        <v>7834.9309546592895</v>
      </c>
      <c r="J154" s="9">
        <v>0</v>
      </c>
      <c r="K154" s="9">
        <v>10681</v>
      </c>
      <c r="L154" s="100">
        <v>1922.58</v>
      </c>
      <c r="M154" s="10">
        <v>0.24942912851552793</v>
      </c>
      <c r="N154" s="100">
        <v>5912.3509546592895</v>
      </c>
      <c r="O154" s="100">
        <v>0</v>
      </c>
      <c r="P154" s="10">
        <v>0.65720924133971981</v>
      </c>
      <c r="Q154" s="6">
        <v>64011</v>
      </c>
      <c r="R154" s="6">
        <v>176</v>
      </c>
      <c r="S154" s="6">
        <v>63800</v>
      </c>
      <c r="T154" s="6">
        <v>0</v>
      </c>
      <c r="U154" s="6">
        <v>152</v>
      </c>
      <c r="V154" s="6">
        <v>0</v>
      </c>
      <c r="W154" s="6">
        <v>0</v>
      </c>
      <c r="X154" s="9">
        <v>43527.394192551612</v>
      </c>
      <c r="Y154" s="9">
        <v>43.972308370518597</v>
      </c>
      <c r="Z154" s="9">
        <v>-31164.605807448388</v>
      </c>
      <c r="AA154" s="132">
        <v>299033.19810282957</v>
      </c>
      <c r="AB154" s="132">
        <v>439350.24</v>
      </c>
      <c r="AC154" s="11">
        <v>1.7159768321895377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 t="s">
        <v>832</v>
      </c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6">
        <v>1068804</v>
      </c>
      <c r="G155" s="8" t="s">
        <v>563</v>
      </c>
      <c r="H155" s="129">
        <v>4463.9255430118974</v>
      </c>
      <c r="I155" s="129">
        <v>2678.3553258071383</v>
      </c>
      <c r="J155" s="9">
        <v>0</v>
      </c>
      <c r="K155" s="9">
        <v>1357</v>
      </c>
      <c r="L155" s="100">
        <v>814.19999999999993</v>
      </c>
      <c r="M155" s="10">
        <v>0.30914494130851633</v>
      </c>
      <c r="N155" s="100">
        <v>1864.1553258071385</v>
      </c>
      <c r="O155" s="100">
        <v>6.5658385485133106</v>
      </c>
      <c r="P155" s="10">
        <v>1.2407874520475985</v>
      </c>
      <c r="Q155" s="6">
        <v>7069</v>
      </c>
      <c r="R155" s="6">
        <v>23</v>
      </c>
      <c r="S155" s="6">
        <v>7030</v>
      </c>
      <c r="T155" s="6">
        <v>0</v>
      </c>
      <c r="U155" s="6">
        <v>0</v>
      </c>
      <c r="V155" s="6">
        <v>0</v>
      </c>
      <c r="W155" s="6">
        <v>0</v>
      </c>
      <c r="X155" s="9">
        <v>4463.9255430118974</v>
      </c>
      <c r="Y155" s="9">
        <v>47.245411682584127</v>
      </c>
      <c r="Z155" s="9">
        <v>-3962.0744569881026</v>
      </c>
      <c r="AA155" s="132">
        <v>35265.011789793993</v>
      </c>
      <c r="AB155" s="132">
        <v>55537</v>
      </c>
      <c r="AC155" s="11">
        <v>1.8875762865692454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4</v>
      </c>
      <c r="C156" s="6" t="s">
        <v>5</v>
      </c>
      <c r="D156" s="6" t="s">
        <v>308</v>
      </c>
      <c r="E156" s="6" t="s">
        <v>314</v>
      </c>
      <c r="F156" s="150">
        <v>1083030</v>
      </c>
      <c r="G156" s="151" t="s">
        <v>775</v>
      </c>
      <c r="H156" s="129">
        <v>440323</v>
      </c>
      <c r="I156" s="129">
        <v>88064.6</v>
      </c>
      <c r="J156" s="9">
        <v>0</v>
      </c>
      <c r="K156" s="9">
        <v>9445</v>
      </c>
      <c r="L156" s="100">
        <v>1889</v>
      </c>
      <c r="M156" s="10">
        <v>2.2369942065256641E-2</v>
      </c>
      <c r="N156" s="100">
        <v>86175.6</v>
      </c>
      <c r="O156" s="100">
        <v>10.333752947079054</v>
      </c>
      <c r="P156" s="10">
        <v>1.3444584315693018</v>
      </c>
      <c r="Q156" s="6">
        <v>658195</v>
      </c>
      <c r="R156" s="6">
        <v>405</v>
      </c>
      <c r="S156" s="6">
        <v>657772</v>
      </c>
      <c r="T156" s="6">
        <v>1950</v>
      </c>
      <c r="U156" s="6">
        <v>0</v>
      </c>
      <c r="V156" s="6">
        <v>0</v>
      </c>
      <c r="W156" s="6">
        <v>0</v>
      </c>
      <c r="X156" s="9">
        <v>440323</v>
      </c>
      <c r="Y156" s="9">
        <v>44.81519248369947</v>
      </c>
      <c r="Z156" s="9">
        <v>-229267</v>
      </c>
      <c r="AA156" s="132">
        <v>1858163.0599999998</v>
      </c>
      <c r="AB156" s="132">
        <v>2784026.84</v>
      </c>
      <c r="AC156" s="11">
        <v>1.5206791378147404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2"/>
      <c r="BJ156" s="31"/>
    </row>
    <row r="157" spans="1:62" x14ac:dyDescent="0.35">
      <c r="A157" s="118"/>
      <c r="B157" s="30" t="s">
        <v>1</v>
      </c>
      <c r="C157" s="6" t="s">
        <v>24</v>
      </c>
      <c r="D157" s="6" t="s">
        <v>316</v>
      </c>
      <c r="E157" s="6" t="s">
        <v>317</v>
      </c>
      <c r="F157" s="123">
        <v>1072239</v>
      </c>
      <c r="G157" s="124" t="s">
        <v>767</v>
      </c>
      <c r="H157" s="129">
        <v>3907.3097526170368</v>
      </c>
      <c r="I157" s="129">
        <v>1484.777705994474</v>
      </c>
      <c r="J157" s="9">
        <v>0</v>
      </c>
      <c r="K157" s="9">
        <v>1538</v>
      </c>
      <c r="L157" s="100">
        <v>584.44000000000005</v>
      </c>
      <c r="M157" s="10">
        <v>0.47347154874550385</v>
      </c>
      <c r="N157" s="100">
        <v>900.33770599447394</v>
      </c>
      <c r="O157" s="100">
        <v>0</v>
      </c>
      <c r="P157" s="10">
        <v>0.1</v>
      </c>
      <c r="Q157" s="6">
        <v>10100</v>
      </c>
      <c r="R157" s="6">
        <v>312</v>
      </c>
      <c r="S157" s="6">
        <v>9788</v>
      </c>
      <c r="T157" s="6">
        <v>0</v>
      </c>
      <c r="U157" s="6">
        <v>0</v>
      </c>
      <c r="V157" s="6">
        <v>0</v>
      </c>
      <c r="W157" s="6">
        <v>0</v>
      </c>
      <c r="X157" s="9">
        <v>4933.333333333333</v>
      </c>
      <c r="Y157" s="9">
        <v>59.52162162162162</v>
      </c>
      <c r="Z157" s="9">
        <v>-7730.6902473829632</v>
      </c>
      <c r="AA157" s="132">
        <v>33837.302457663536</v>
      </c>
      <c r="AB157" s="132">
        <v>84764.08</v>
      </c>
      <c r="AC157" s="11">
        <v>2.9785199374595535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4</v>
      </c>
      <c r="C158" s="6" t="s">
        <v>5</v>
      </c>
      <c r="D158" s="6" t="s">
        <v>308</v>
      </c>
      <c r="E158" s="6" t="s">
        <v>314</v>
      </c>
      <c r="F158" s="6">
        <v>1075138</v>
      </c>
      <c r="G158" s="8" t="s">
        <v>664</v>
      </c>
      <c r="H158" s="129">
        <v>2721.3864470982403</v>
      </c>
      <c r="I158" s="129">
        <v>65.313274730357762</v>
      </c>
      <c r="J158" s="9">
        <v>0</v>
      </c>
      <c r="K158" s="9">
        <v>1920</v>
      </c>
      <c r="L158" s="100">
        <v>46.08</v>
      </c>
      <c r="M158" s="10">
        <v>0.74961790236561621</v>
      </c>
      <c r="N158" s="100">
        <v>19.233274730357763</v>
      </c>
      <c r="O158" s="100">
        <v>0</v>
      </c>
      <c r="P158" s="10">
        <v>0.6847605468400163</v>
      </c>
      <c r="Q158" s="6">
        <v>11024</v>
      </c>
      <c r="R158" s="6">
        <v>120</v>
      </c>
      <c r="S158" s="6">
        <v>10904</v>
      </c>
      <c r="T158" s="6">
        <v>0</v>
      </c>
      <c r="U158" s="6">
        <v>0</v>
      </c>
      <c r="V158" s="6">
        <v>0</v>
      </c>
      <c r="W158" s="6">
        <v>0</v>
      </c>
      <c r="X158" s="9">
        <v>5440</v>
      </c>
      <c r="Y158" s="9">
        <v>60.132352941176471</v>
      </c>
      <c r="Z158" s="9">
        <v>-10222.613552901759</v>
      </c>
      <c r="AA158" s="132">
        <v>1034.1268498973313</v>
      </c>
      <c r="AB158" s="132">
        <v>4143.5200000000004</v>
      </c>
      <c r="AC158" s="11">
        <v>4.7563990824610478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313</v>
      </c>
      <c r="F159" s="127">
        <v>1080361</v>
      </c>
      <c r="G159" s="128" t="s">
        <v>741</v>
      </c>
      <c r="H159" s="129">
        <v>6054.9852882265532</v>
      </c>
      <c r="I159" s="129">
        <v>2785.2932325842144</v>
      </c>
      <c r="J159" s="9">
        <v>0</v>
      </c>
      <c r="K159" s="9">
        <v>1188</v>
      </c>
      <c r="L159" s="100">
        <v>546.48</v>
      </c>
      <c r="M159" s="10">
        <v>0.19620196308486057</v>
      </c>
      <c r="N159" s="100">
        <v>2238.8132325842143</v>
      </c>
      <c r="O159" s="100">
        <v>0</v>
      </c>
      <c r="P159" s="10">
        <v>0.59190787153299962</v>
      </c>
      <c r="Q159" s="6">
        <v>9459</v>
      </c>
      <c r="R159" s="6">
        <v>0</v>
      </c>
      <c r="S159" s="6">
        <v>9459</v>
      </c>
      <c r="T159" s="6">
        <v>0</v>
      </c>
      <c r="U159" s="6">
        <v>0</v>
      </c>
      <c r="V159" s="6">
        <v>0</v>
      </c>
      <c r="W159" s="6">
        <v>0</v>
      </c>
      <c r="X159" s="9">
        <v>6054.9852882265532</v>
      </c>
      <c r="Y159" s="9">
        <v>46.865514364133738</v>
      </c>
      <c r="Z159" s="9">
        <v>-4592.0147117734468</v>
      </c>
      <c r="AA159" s="132">
        <v>3088.042496995542</v>
      </c>
      <c r="AB159" s="132">
        <v>4824.09</v>
      </c>
      <c r="AC159" s="11">
        <v>1.7583857752226519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/>
      <c r="BJ159" s="31"/>
    </row>
    <row r="160" spans="1:62" ht="12.75" customHeight="1" x14ac:dyDescent="0.35">
      <c r="A160" s="118"/>
      <c r="B160" s="30" t="s">
        <v>21</v>
      </c>
      <c r="C160" s="6" t="s">
        <v>5</v>
      </c>
      <c r="D160" s="6" t="s">
        <v>306</v>
      </c>
      <c r="E160" s="6" t="s">
        <v>307</v>
      </c>
      <c r="F160" s="6">
        <v>1059375</v>
      </c>
      <c r="G160" s="8" t="s">
        <v>349</v>
      </c>
      <c r="H160" s="129">
        <v>4043.190899222503</v>
      </c>
      <c r="I160" s="129">
        <v>3638.8718093002526</v>
      </c>
      <c r="J160" s="9">
        <v>0</v>
      </c>
      <c r="K160" s="9">
        <v>1019</v>
      </c>
      <c r="L160" s="100">
        <v>917.1</v>
      </c>
      <c r="M160" s="10">
        <v>0.25524394611158513</v>
      </c>
      <c r="N160" s="100">
        <v>2721.7718093002527</v>
      </c>
      <c r="O160" s="100">
        <v>0</v>
      </c>
      <c r="P160" s="10">
        <v>0.76593679089250466</v>
      </c>
      <c r="Q160" s="6">
        <v>6552</v>
      </c>
      <c r="R160" s="6">
        <v>13</v>
      </c>
      <c r="S160" s="6">
        <v>6469</v>
      </c>
      <c r="T160" s="6">
        <v>0</v>
      </c>
      <c r="U160" s="6">
        <v>0</v>
      </c>
      <c r="V160" s="6">
        <v>0</v>
      </c>
      <c r="W160" s="6">
        <v>0</v>
      </c>
      <c r="X160" s="9">
        <v>4043.190899222503</v>
      </c>
      <c r="Y160" s="9">
        <v>47.999217656855933</v>
      </c>
      <c r="Z160" s="9">
        <v>-3527.809100777497</v>
      </c>
      <c r="AA160" s="132">
        <v>96955.717763355628</v>
      </c>
      <c r="AB160" s="132">
        <v>155126.62</v>
      </c>
      <c r="AC160" s="11">
        <v>1.8725309263670651</v>
      </c>
      <c r="AD160" s="71"/>
      <c r="AE160" s="71" t="s">
        <v>574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2</v>
      </c>
      <c r="D161" s="6" t="s">
        <v>310</v>
      </c>
      <c r="E161" s="6" t="s">
        <v>311</v>
      </c>
      <c r="F161" s="6">
        <v>1078888</v>
      </c>
      <c r="G161" s="8" t="s">
        <v>717</v>
      </c>
      <c r="H161" s="129">
        <v>13050</v>
      </c>
      <c r="I161" s="129">
        <v>1305</v>
      </c>
      <c r="J161" s="9">
        <v>0</v>
      </c>
      <c r="K161" s="9">
        <v>5065</v>
      </c>
      <c r="L161" s="100">
        <v>506.5</v>
      </c>
      <c r="M161" s="10">
        <v>0.38812260536398469</v>
      </c>
      <c r="N161" s="100">
        <v>798.5</v>
      </c>
      <c r="O161" s="100">
        <v>0</v>
      </c>
      <c r="P161" s="10">
        <v>0.13187662241295764</v>
      </c>
      <c r="Q161" s="6">
        <v>28173</v>
      </c>
      <c r="R161" s="6">
        <v>0</v>
      </c>
      <c r="S161" s="6">
        <v>28152</v>
      </c>
      <c r="T161" s="6">
        <v>0</v>
      </c>
      <c r="U161" s="6">
        <v>0</v>
      </c>
      <c r="V161" s="6">
        <v>0</v>
      </c>
      <c r="W161" s="6">
        <v>12738</v>
      </c>
      <c r="X161" s="9">
        <v>13506.666666666666</v>
      </c>
      <c r="Y161" s="9">
        <v>62.529121421520244</v>
      </c>
      <c r="Z161" s="9">
        <v>-20188</v>
      </c>
      <c r="AA161" s="132">
        <v>18400.5</v>
      </c>
      <c r="AB161" s="132">
        <v>57654.899999999994</v>
      </c>
      <c r="AC161" s="11">
        <v>2.5469731800766287</v>
      </c>
      <c r="AD161" s="71"/>
      <c r="AE161" s="71">
        <v>109.37333145988478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1</v>
      </c>
      <c r="C162" s="6" t="s">
        <v>24</v>
      </c>
      <c r="D162" s="6" t="s">
        <v>316</v>
      </c>
      <c r="E162" s="6" t="s">
        <v>317</v>
      </c>
      <c r="F162" s="6">
        <v>1003496</v>
      </c>
      <c r="G162" s="8" t="s">
        <v>280</v>
      </c>
      <c r="H162" s="129">
        <v>4054.4483973268702</v>
      </c>
      <c r="I162" s="129">
        <v>202.72241986634353</v>
      </c>
      <c r="J162" s="9">
        <v>0</v>
      </c>
      <c r="K162" s="9">
        <v>865</v>
      </c>
      <c r="L162" s="100">
        <v>43.25</v>
      </c>
      <c r="M162" s="10">
        <v>0.26070130790094365</v>
      </c>
      <c r="N162" s="100">
        <v>159.47241986634353</v>
      </c>
      <c r="O162" s="100">
        <v>0</v>
      </c>
      <c r="P162" s="10">
        <v>0.89159264567720198</v>
      </c>
      <c r="Q162" s="6">
        <v>6808</v>
      </c>
      <c r="R162" s="6">
        <v>192</v>
      </c>
      <c r="S162" s="6">
        <v>6601</v>
      </c>
      <c r="T162" s="6">
        <v>0</v>
      </c>
      <c r="U162" s="6">
        <v>0</v>
      </c>
      <c r="V162" s="6">
        <v>0</v>
      </c>
      <c r="W162" s="6">
        <v>0</v>
      </c>
      <c r="X162" s="9">
        <v>4054.4483973268698</v>
      </c>
      <c r="Y162" s="9">
        <v>48.842649010050977</v>
      </c>
      <c r="Z162" s="9">
        <v>-3618.5516026731298</v>
      </c>
      <c r="AA162" s="132">
        <v>17515.217076452082</v>
      </c>
      <c r="AB162" s="132">
        <v>28516.320000000003</v>
      </c>
      <c r="AC162" s="11">
        <v>1.8924892483670206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2"/>
      <c r="BJ162" s="31" t="s">
        <v>833</v>
      </c>
    </row>
    <row r="163" spans="1:62" ht="12.75" customHeight="1" x14ac:dyDescent="0.35">
      <c r="A163" s="118"/>
      <c r="B163" s="30" t="s">
        <v>15</v>
      </c>
      <c r="C163" s="6" t="s">
        <v>5</v>
      </c>
      <c r="D163" s="6" t="s">
        <v>308</v>
      </c>
      <c r="E163" s="6" t="s">
        <v>315</v>
      </c>
      <c r="F163" s="6">
        <v>1071558</v>
      </c>
      <c r="G163" s="8" t="s">
        <v>589</v>
      </c>
      <c r="H163" s="129">
        <v>3922.6942234465287</v>
      </c>
      <c r="I163" s="129">
        <v>1019.9004980960975</v>
      </c>
      <c r="J163" s="9">
        <v>0</v>
      </c>
      <c r="K163" s="9">
        <v>1568</v>
      </c>
      <c r="L163" s="100">
        <v>407.68</v>
      </c>
      <c r="M163" s="10">
        <v>0.44051356072351655</v>
      </c>
      <c r="N163" s="100">
        <v>612.22049809609757</v>
      </c>
      <c r="O163" s="100">
        <v>0</v>
      </c>
      <c r="P163" s="10">
        <v>0.64112769330792241</v>
      </c>
      <c r="Q163" s="6">
        <v>9938</v>
      </c>
      <c r="R163" s="6">
        <v>160</v>
      </c>
      <c r="S163" s="6">
        <v>9778</v>
      </c>
      <c r="T163" s="6">
        <v>0</v>
      </c>
      <c r="U163" s="6">
        <v>0</v>
      </c>
      <c r="V163" s="6">
        <v>0</v>
      </c>
      <c r="W163" s="6">
        <v>0</v>
      </c>
      <c r="X163" s="9">
        <v>4608</v>
      </c>
      <c r="Y163" s="9">
        <v>63.658854166666657</v>
      </c>
      <c r="Z163" s="9">
        <v>-7583.3057765534713</v>
      </c>
      <c r="AA163" s="132">
        <v>7060.8496022037516</v>
      </c>
      <c r="AB163" s="132">
        <v>17600.400000000001</v>
      </c>
      <c r="AC163" s="11">
        <v>2.9331880958823966</v>
      </c>
      <c r="AD163" s="71"/>
      <c r="AE163" s="71">
        <v>22.123413866612527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>
        <v>0</v>
      </c>
      <c r="C164" s="6" t="s">
        <v>2</v>
      </c>
      <c r="D164" s="6" t="s">
        <v>310</v>
      </c>
      <c r="E164" s="6" t="s">
        <v>311</v>
      </c>
      <c r="F164" s="154">
        <v>1080746</v>
      </c>
      <c r="G164" s="162" t="s">
        <v>789</v>
      </c>
      <c r="H164" s="129">
        <v>8109.826278203117</v>
      </c>
      <c r="I164" s="129">
        <v>3892.716613537496</v>
      </c>
      <c r="J164" s="9">
        <v>0</v>
      </c>
      <c r="K164" s="9">
        <v>1915</v>
      </c>
      <c r="L164" s="100">
        <v>919.19999999999993</v>
      </c>
      <c r="M164" s="10">
        <v>0.23933928217634579</v>
      </c>
      <c r="N164" s="100">
        <v>2973.5166135374961</v>
      </c>
      <c r="O164" s="100">
        <v>0</v>
      </c>
      <c r="P164" s="10">
        <v>0</v>
      </c>
      <c r="Q164" s="6">
        <v>13467</v>
      </c>
      <c r="R164" s="6">
        <v>26</v>
      </c>
      <c r="S164" s="6">
        <v>13425</v>
      </c>
      <c r="T164" s="6">
        <v>0</v>
      </c>
      <c r="U164" s="6">
        <v>0</v>
      </c>
      <c r="V164" s="6">
        <v>0</v>
      </c>
      <c r="W164" s="6">
        <v>0</v>
      </c>
      <c r="X164" s="9">
        <v>8109.826278203117</v>
      </c>
      <c r="Y164" s="9">
        <v>49.661976247564795</v>
      </c>
      <c r="Z164" s="9">
        <v>-7272.173721796883</v>
      </c>
      <c r="AA164" s="132">
        <v>185633.92350806936</v>
      </c>
      <c r="AB164" s="132">
        <v>307298.25</v>
      </c>
      <c r="AC164" s="11">
        <v>1.8967114056860128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2" t="s">
        <v>1</v>
      </c>
      <c r="BJ164" s="31" t="s">
        <v>834</v>
      </c>
    </row>
    <row r="165" spans="1:62" ht="12.75" customHeight="1" x14ac:dyDescent="0.35">
      <c r="A165" s="118"/>
      <c r="B165" s="30" t="s">
        <v>27</v>
      </c>
      <c r="C165" s="6" t="s">
        <v>5</v>
      </c>
      <c r="D165" s="6" t="s">
        <v>312</v>
      </c>
      <c r="E165" s="6" t="s">
        <v>313</v>
      </c>
      <c r="F165" s="6">
        <v>1077108</v>
      </c>
      <c r="G165" s="8" t="s">
        <v>673</v>
      </c>
      <c r="H165" s="129">
        <v>38027.142439739306</v>
      </c>
      <c r="I165" s="129">
        <v>8670.1884762605623</v>
      </c>
      <c r="J165" s="9">
        <v>0</v>
      </c>
      <c r="K165" s="9">
        <v>6277</v>
      </c>
      <c r="L165" s="100">
        <v>1431.1559999999999</v>
      </c>
      <c r="M165" s="10">
        <v>0.18321124210267539</v>
      </c>
      <c r="N165" s="100">
        <v>7239.0324762605624</v>
      </c>
      <c r="O165" s="100">
        <v>0</v>
      </c>
      <c r="P165" s="10">
        <v>0</v>
      </c>
      <c r="Q165" s="6">
        <v>63728</v>
      </c>
      <c r="R165" s="6">
        <v>690</v>
      </c>
      <c r="S165" s="6">
        <v>62998</v>
      </c>
      <c r="T165" s="6">
        <v>0</v>
      </c>
      <c r="U165" s="6">
        <v>0</v>
      </c>
      <c r="V165" s="6">
        <v>0</v>
      </c>
      <c r="W165" s="6">
        <v>0</v>
      </c>
      <c r="X165" s="9">
        <v>38027.142439739306</v>
      </c>
      <c r="Y165" s="9">
        <v>49.69976387247457</v>
      </c>
      <c r="Z165" s="9">
        <v>-31977.857560260694</v>
      </c>
      <c r="AA165" s="132">
        <v>79476.727699055147</v>
      </c>
      <c r="AB165" s="132">
        <v>131665.81999999998</v>
      </c>
      <c r="AC165" s="11">
        <v>1.8409219180992953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/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1080748</v>
      </c>
      <c r="G166" s="124" t="s">
        <v>768</v>
      </c>
      <c r="H166" s="129">
        <v>3083.5175950684861</v>
      </c>
      <c r="I166" s="129">
        <v>1850.1105570410916</v>
      </c>
      <c r="J166" s="9">
        <v>0</v>
      </c>
      <c r="K166" s="9">
        <v>1425</v>
      </c>
      <c r="L166" s="100">
        <v>855</v>
      </c>
      <c r="M166" s="10">
        <v>0.46537759417848501</v>
      </c>
      <c r="N166" s="100">
        <v>995.11055704109162</v>
      </c>
      <c r="O166" s="100">
        <v>0</v>
      </c>
      <c r="P166" s="10">
        <v>0.72454729574609511</v>
      </c>
      <c r="Q166" s="6">
        <v>8259</v>
      </c>
      <c r="R166" s="6">
        <v>10</v>
      </c>
      <c r="S166" s="6">
        <v>8239</v>
      </c>
      <c r="T166" s="6">
        <v>0</v>
      </c>
      <c r="U166" s="6">
        <v>0</v>
      </c>
      <c r="V166" s="6">
        <v>0</v>
      </c>
      <c r="W166" s="6">
        <v>8</v>
      </c>
      <c r="X166" s="9">
        <v>3826.6666666666665</v>
      </c>
      <c r="Y166" s="9">
        <v>64.591463414634148</v>
      </c>
      <c r="Z166" s="9">
        <v>-6600.4824049315139</v>
      </c>
      <c r="AA166" s="132">
        <v>44340.983017084836</v>
      </c>
      <c r="AB166" s="132">
        <v>118591.86</v>
      </c>
      <c r="AC166" s="11">
        <v>3.1405690745814976</v>
      </c>
      <c r="AD166" s="71"/>
      <c r="AE166" s="71" t="s">
        <v>574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27</v>
      </c>
      <c r="C167" s="6" t="s">
        <v>5</v>
      </c>
      <c r="D167" s="6" t="s">
        <v>312</v>
      </c>
      <c r="E167" s="6" t="s">
        <v>313</v>
      </c>
      <c r="F167" s="6">
        <v>1072810</v>
      </c>
      <c r="G167" s="8" t="s">
        <v>609</v>
      </c>
      <c r="H167" s="129">
        <v>7851.0185228962173</v>
      </c>
      <c r="I167" s="129">
        <v>10740.193339322026</v>
      </c>
      <c r="J167" s="9">
        <v>0</v>
      </c>
      <c r="K167" s="9">
        <v>1161</v>
      </c>
      <c r="L167" s="100">
        <v>1588.248</v>
      </c>
      <c r="M167" s="10">
        <v>0.1482610181857785</v>
      </c>
      <c r="N167" s="100">
        <v>9151.9453393220265</v>
      </c>
      <c r="O167" s="100">
        <v>0</v>
      </c>
      <c r="P167" s="10">
        <v>0.52768030994442572</v>
      </c>
      <c r="Q167" s="6">
        <v>13299</v>
      </c>
      <c r="R167" s="6">
        <v>3</v>
      </c>
      <c r="S167" s="6">
        <v>13296</v>
      </c>
      <c r="T167" s="6">
        <v>0</v>
      </c>
      <c r="U167" s="6">
        <v>0</v>
      </c>
      <c r="V167" s="6">
        <v>0</v>
      </c>
      <c r="W167" s="6">
        <v>0</v>
      </c>
      <c r="X167" s="9">
        <v>7851.0185228962173</v>
      </c>
      <c r="Y167" s="9">
        <v>50.806146850466781</v>
      </c>
      <c r="Z167" s="9">
        <v>-6608.9814771037827</v>
      </c>
      <c r="AA167" s="132">
        <v>93898.181533838768</v>
      </c>
      <c r="AB167" s="132">
        <v>159020.16</v>
      </c>
      <c r="AC167" s="11">
        <v>1.8417992465346713</v>
      </c>
      <c r="AD167" s="71"/>
      <c r="AE167" s="71">
        <v>69.94509598864569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</v>
      </c>
      <c r="C168" s="6" t="s">
        <v>24</v>
      </c>
      <c r="D168" s="6" t="s">
        <v>316</v>
      </c>
      <c r="E168" s="6" t="s">
        <v>317</v>
      </c>
      <c r="F168" s="6">
        <v>1003495</v>
      </c>
      <c r="G168" s="8" t="s">
        <v>129</v>
      </c>
      <c r="H168" s="129">
        <v>1397.6873297428735</v>
      </c>
      <c r="I168" s="129">
        <v>118.80342302814427</v>
      </c>
      <c r="J168" s="9">
        <v>0</v>
      </c>
      <c r="K168" s="9">
        <v>412</v>
      </c>
      <c r="L168" s="100">
        <v>35.020000000000003</v>
      </c>
      <c r="M168" s="10">
        <v>0.29477265138819986</v>
      </c>
      <c r="N168" s="100">
        <v>83.783423028144256</v>
      </c>
      <c r="O168" s="100">
        <v>0</v>
      </c>
      <c r="P168" s="10">
        <v>0.69610202206910632</v>
      </c>
      <c r="Q168" s="6">
        <v>2478</v>
      </c>
      <c r="R168" s="6">
        <v>0</v>
      </c>
      <c r="S168" s="6">
        <v>2447</v>
      </c>
      <c r="T168" s="6">
        <v>0</v>
      </c>
      <c r="U168" s="6">
        <v>0</v>
      </c>
      <c r="V168" s="6">
        <v>0</v>
      </c>
      <c r="W168" s="6">
        <v>0</v>
      </c>
      <c r="X168" s="9">
        <v>1397.6873297428735</v>
      </c>
      <c r="Y168" s="9">
        <v>52.52247654953338</v>
      </c>
      <c r="Z168" s="9">
        <v>-1492.3126702571265</v>
      </c>
      <c r="AA168" s="132">
        <v>8819.4070506775315</v>
      </c>
      <c r="AB168" s="132">
        <v>15440.57</v>
      </c>
      <c r="AC168" s="11">
        <v>2.0677013653201399</v>
      </c>
      <c r="AD168" s="71"/>
      <c r="AE168" s="71">
        <v>18.339424394700778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 t="s">
        <v>1</v>
      </c>
      <c r="BJ168" s="31"/>
    </row>
    <row r="169" spans="1:62" ht="12.75" customHeight="1" x14ac:dyDescent="0.35">
      <c r="A169" s="118"/>
      <c r="B169" s="30" t="s">
        <v>27</v>
      </c>
      <c r="C169" s="6" t="s">
        <v>5</v>
      </c>
      <c r="D169" s="6" t="s">
        <v>312</v>
      </c>
      <c r="E169" s="6" t="s">
        <v>319</v>
      </c>
      <c r="F169" s="6">
        <v>1030816</v>
      </c>
      <c r="G169" s="8" t="s">
        <v>61</v>
      </c>
      <c r="H169" s="129">
        <v>8000</v>
      </c>
      <c r="I169" s="129">
        <v>1536</v>
      </c>
      <c r="J169" s="9">
        <v>0</v>
      </c>
      <c r="K169" s="9">
        <v>1368</v>
      </c>
      <c r="L169" s="100">
        <v>262.65600000000001</v>
      </c>
      <c r="M169" s="10">
        <v>0.17100000000000001</v>
      </c>
      <c r="N169" s="100">
        <v>1273.3440000000001</v>
      </c>
      <c r="O169" s="100">
        <v>42299956</v>
      </c>
      <c r="P169" s="10">
        <v>961363.63636363635</v>
      </c>
      <c r="Q169" s="6">
        <v>14320</v>
      </c>
      <c r="R169" s="6">
        <v>0</v>
      </c>
      <c r="S169" s="6">
        <v>14320</v>
      </c>
      <c r="T169" s="6">
        <v>0</v>
      </c>
      <c r="U169" s="6">
        <v>0</v>
      </c>
      <c r="V169" s="6">
        <v>0</v>
      </c>
      <c r="W169" s="6">
        <v>0</v>
      </c>
      <c r="X169" s="9">
        <v>8000</v>
      </c>
      <c r="Y169" s="9">
        <v>53.7</v>
      </c>
      <c r="Z169" s="9">
        <v>-7688</v>
      </c>
      <c r="AA169" s="132">
        <v>17920</v>
      </c>
      <c r="AB169" s="132">
        <v>32076.800000000003</v>
      </c>
      <c r="AC169" s="11">
        <v>1.9609999999999999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22</v>
      </c>
      <c r="C170" s="6" t="s">
        <v>5</v>
      </c>
      <c r="D170" s="6" t="s">
        <v>396</v>
      </c>
      <c r="E170" s="6" t="s">
        <v>397</v>
      </c>
      <c r="F170" s="6">
        <v>1077857</v>
      </c>
      <c r="G170" s="8" t="s">
        <v>732</v>
      </c>
      <c r="H170" s="129">
        <v>400</v>
      </c>
      <c r="I170" s="129">
        <v>2000</v>
      </c>
      <c r="J170" s="9">
        <v>0</v>
      </c>
      <c r="K170" s="9">
        <v>57</v>
      </c>
      <c r="L170" s="100">
        <v>285</v>
      </c>
      <c r="M170" s="10">
        <v>0.14249999999999999</v>
      </c>
      <c r="N170" s="100">
        <v>1715</v>
      </c>
      <c r="O170" s="100">
        <v>0</v>
      </c>
      <c r="P170" s="10">
        <v>0.96048047423622696</v>
      </c>
      <c r="Q170" s="6">
        <v>729</v>
      </c>
      <c r="R170" s="6">
        <v>0</v>
      </c>
      <c r="S170" s="6">
        <v>729</v>
      </c>
      <c r="T170" s="6">
        <v>0</v>
      </c>
      <c r="U170" s="6">
        <v>0</v>
      </c>
      <c r="V170" s="6">
        <v>0</v>
      </c>
      <c r="W170" s="6">
        <v>0</v>
      </c>
      <c r="X170" s="9">
        <v>400</v>
      </c>
      <c r="Y170" s="9">
        <v>54.674999999999997</v>
      </c>
      <c r="Z170" s="9">
        <v>-386</v>
      </c>
      <c r="AA170" s="132">
        <v>43320</v>
      </c>
      <c r="AB170" s="132">
        <v>78950.7</v>
      </c>
      <c r="AC170" s="11">
        <v>1.9649999999999999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/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308</v>
      </c>
      <c r="E171" s="6" t="s">
        <v>315</v>
      </c>
      <c r="F171" s="6">
        <v>1058339</v>
      </c>
      <c r="G171" s="8" t="s">
        <v>232</v>
      </c>
      <c r="H171" s="129">
        <v>272.55457483929598</v>
      </c>
      <c r="I171" s="129">
        <v>85.037027349860352</v>
      </c>
      <c r="J171" s="9">
        <v>0</v>
      </c>
      <c r="K171" s="9">
        <v>389</v>
      </c>
      <c r="L171" s="100">
        <v>121.36799999999999</v>
      </c>
      <c r="M171" s="10">
        <v>1.4272370963846883</v>
      </c>
      <c r="N171" s="100">
        <v>36.330972650139643</v>
      </c>
      <c r="O171" s="100">
        <v>24.786011668915812</v>
      </c>
      <c r="P171" s="10">
        <v>1.8538502089624427</v>
      </c>
      <c r="Q171" s="6">
        <v>2478</v>
      </c>
      <c r="R171" s="6">
        <v>0</v>
      </c>
      <c r="S171" s="6">
        <v>2442</v>
      </c>
      <c r="T171" s="6">
        <v>0</v>
      </c>
      <c r="U171" s="6">
        <v>0</v>
      </c>
      <c r="V171" s="6">
        <v>0</v>
      </c>
      <c r="W171" s="6">
        <v>0</v>
      </c>
      <c r="X171" s="9">
        <v>1037.3333333333333</v>
      </c>
      <c r="Y171" s="9">
        <v>70.623393316195376</v>
      </c>
      <c r="Z171" s="9">
        <v>-2594.445425160704</v>
      </c>
      <c r="AA171" s="132">
        <v>1324.6152337189785</v>
      </c>
      <c r="AB171" s="132">
        <v>11868.12</v>
      </c>
      <c r="AC171" s="11">
        <v>10.518994229652701</v>
      </c>
      <c r="AD171" s="71"/>
      <c r="AE171" s="71">
        <v>0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310</v>
      </c>
      <c r="E172" s="6" t="s">
        <v>311</v>
      </c>
      <c r="F172" s="123">
        <v>1080399</v>
      </c>
      <c r="G172" s="124" t="s">
        <v>752</v>
      </c>
      <c r="H172" s="129">
        <v>13204.799999999997</v>
      </c>
      <c r="I172" s="129">
        <v>0</v>
      </c>
      <c r="J172" s="9">
        <v>0</v>
      </c>
      <c r="K172" s="9">
        <v>859</v>
      </c>
      <c r="L172" s="100">
        <v>0</v>
      </c>
      <c r="M172" s="10">
        <v>6.5960862716587923E-2</v>
      </c>
      <c r="N172" s="100">
        <v>0</v>
      </c>
      <c r="O172" s="100">
        <v>26.394092181603455</v>
      </c>
      <c r="P172" s="10">
        <v>1.9005631167079649</v>
      </c>
      <c r="Q172" s="6">
        <v>25103</v>
      </c>
      <c r="R172" s="6">
        <v>12</v>
      </c>
      <c r="S172" s="6">
        <v>25050</v>
      </c>
      <c r="T172" s="6">
        <v>0</v>
      </c>
      <c r="U172" s="6">
        <v>0</v>
      </c>
      <c r="V172" s="6">
        <v>0</v>
      </c>
      <c r="W172" s="6">
        <v>0</v>
      </c>
      <c r="X172" s="9">
        <v>13204.799999999997</v>
      </c>
      <c r="Y172" s="9">
        <v>56.91112322791713</v>
      </c>
      <c r="Z172" s="9">
        <v>-12757.200000000003</v>
      </c>
      <c r="AA172" s="132">
        <v>29578.751999999997</v>
      </c>
      <c r="AB172" s="132">
        <v>56112.000000000007</v>
      </c>
      <c r="AC172" s="11">
        <v>1.966103235187205</v>
      </c>
      <c r="AD172" s="71"/>
      <c r="AE172" s="71" t="s">
        <v>574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2" t="s">
        <v>1</v>
      </c>
      <c r="BJ172" s="31"/>
    </row>
    <row r="173" spans="1:62" ht="12.75" customHeight="1" x14ac:dyDescent="0.35">
      <c r="A173" s="118"/>
      <c r="B173" s="30" t="s">
        <v>1</v>
      </c>
      <c r="C173" s="6" t="s">
        <v>2</v>
      </c>
      <c r="D173" s="6" t="s">
        <v>396</v>
      </c>
      <c r="E173" s="6" t="s">
        <v>397</v>
      </c>
      <c r="F173" s="6">
        <v>1043305</v>
      </c>
      <c r="G173" s="8" t="s">
        <v>128</v>
      </c>
      <c r="H173" s="129">
        <v>5589.9803373125123</v>
      </c>
      <c r="I173" s="129">
        <v>5589.9803373125123</v>
      </c>
      <c r="J173" s="9">
        <v>0</v>
      </c>
      <c r="K173" s="9">
        <v>406</v>
      </c>
      <c r="L173" s="100">
        <v>406</v>
      </c>
      <c r="M173" s="10">
        <v>7.2629951359577075E-2</v>
      </c>
      <c r="N173" s="100">
        <v>5183.9803373125123</v>
      </c>
      <c r="O173" s="100">
        <v>0</v>
      </c>
      <c r="P173" s="10">
        <v>0</v>
      </c>
      <c r="Q173" s="6">
        <v>10837</v>
      </c>
      <c r="R173" s="6">
        <v>0</v>
      </c>
      <c r="S173" s="6">
        <v>10835</v>
      </c>
      <c r="T173" s="6">
        <v>0</v>
      </c>
      <c r="U173" s="6">
        <v>0</v>
      </c>
      <c r="V173" s="6">
        <v>0</v>
      </c>
      <c r="W173" s="6">
        <v>0</v>
      </c>
      <c r="X173" s="9">
        <v>5589.9803373125123</v>
      </c>
      <c r="Y173" s="9">
        <v>58.148683964114596</v>
      </c>
      <c r="Z173" s="9">
        <v>-5653.0196626874877</v>
      </c>
      <c r="AA173" s="132">
        <v>167028.61247889788</v>
      </c>
      <c r="AB173" s="132">
        <v>323749.8</v>
      </c>
      <c r="AC173" s="11">
        <v>2.011277199841687</v>
      </c>
      <c r="AD173" s="71"/>
      <c r="AE173" s="71">
        <v>62.451143451143452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21</v>
      </c>
      <c r="C174" s="6" t="s">
        <v>5</v>
      </c>
      <c r="D174" s="6" t="s">
        <v>396</v>
      </c>
      <c r="E174" s="6" t="s">
        <v>397</v>
      </c>
      <c r="F174" s="6">
        <v>1071793</v>
      </c>
      <c r="G174" s="8" t="s">
        <v>666</v>
      </c>
      <c r="H174" s="129">
        <v>250</v>
      </c>
      <c r="I174" s="129">
        <v>125</v>
      </c>
      <c r="J174" s="9">
        <v>0</v>
      </c>
      <c r="K174" s="9">
        <v>12</v>
      </c>
      <c r="L174" s="100">
        <v>6</v>
      </c>
      <c r="M174" s="10">
        <v>4.8000000000000001E-2</v>
      </c>
      <c r="N174" s="100">
        <v>119</v>
      </c>
      <c r="O174" s="100">
        <v>4.0217256024026202</v>
      </c>
      <c r="P174" s="10">
        <v>1.1318261992942189</v>
      </c>
      <c r="Q174" s="6">
        <v>506</v>
      </c>
      <c r="R174" s="6">
        <v>0</v>
      </c>
      <c r="S174" s="6">
        <v>500</v>
      </c>
      <c r="T174" s="6">
        <v>440</v>
      </c>
      <c r="U174" s="6">
        <v>0</v>
      </c>
      <c r="V174" s="6">
        <v>0</v>
      </c>
      <c r="W174" s="6">
        <v>0</v>
      </c>
      <c r="X174" s="9">
        <v>250</v>
      </c>
      <c r="Y174" s="9">
        <v>60</v>
      </c>
      <c r="Z174" s="9">
        <v>-708</v>
      </c>
      <c r="AA174" s="132">
        <v>1792.5</v>
      </c>
      <c r="AB174" s="132">
        <v>6739.8</v>
      </c>
      <c r="AC174" s="11">
        <v>3.8319999999999999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905</v>
      </c>
      <c r="L175" s="100">
        <v>452.5</v>
      </c>
      <c r="M175" s="10">
        <v>0.40994952073307239</v>
      </c>
      <c r="N175" s="100">
        <v>739.11012586735933</v>
      </c>
      <c r="O175" s="100">
        <v>15.713474904042513</v>
      </c>
      <c r="P175" s="10">
        <v>1.3755081370199564</v>
      </c>
      <c r="Q175" s="6">
        <v>6891</v>
      </c>
      <c r="R175" s="6">
        <v>72</v>
      </c>
      <c r="S175" s="6">
        <v>6801</v>
      </c>
      <c r="T175" s="6">
        <v>0</v>
      </c>
      <c r="U175" s="6">
        <v>0</v>
      </c>
      <c r="V175" s="6">
        <v>0</v>
      </c>
      <c r="W175" s="6">
        <v>0</v>
      </c>
      <c r="X175" s="9">
        <v>2605.3333333333335</v>
      </c>
      <c r="Y175" s="9">
        <v>78.312436028659164</v>
      </c>
      <c r="Z175" s="9">
        <v>-5412.7797482652813</v>
      </c>
      <c r="AA175" s="132">
        <v>42659.642506051459</v>
      </c>
      <c r="AB175" s="132">
        <v>121737.9</v>
      </c>
      <c r="AC175" s="11">
        <v>3.271204159298907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312</v>
      </c>
      <c r="E176" s="6" t="s">
        <v>315</v>
      </c>
      <c r="F176" s="6">
        <v>1078687</v>
      </c>
      <c r="G176" s="8" t="s">
        <v>709</v>
      </c>
      <c r="H176" s="173">
        <v>1713.0487804878048</v>
      </c>
      <c r="I176" s="129">
        <v>596.14097560975608</v>
      </c>
      <c r="J176" s="9">
        <v>0</v>
      </c>
      <c r="K176" s="9">
        <v>454</v>
      </c>
      <c r="L176" s="100">
        <v>157.99199999999999</v>
      </c>
      <c r="M176" s="10">
        <v>0.27786716024773972</v>
      </c>
      <c r="N176" s="100">
        <v>438.14897560975612</v>
      </c>
      <c r="O176" s="100">
        <v>0</v>
      </c>
      <c r="P176" s="10">
        <v>0</v>
      </c>
      <c r="Q176" s="6">
        <v>3597</v>
      </c>
      <c r="R176" s="6">
        <v>22</v>
      </c>
      <c r="S176" s="6">
        <v>3546</v>
      </c>
      <c r="T176" s="6">
        <v>0</v>
      </c>
      <c r="U176" s="6">
        <v>0</v>
      </c>
      <c r="V176" s="6">
        <v>0</v>
      </c>
      <c r="W176" s="6">
        <v>0</v>
      </c>
      <c r="X176" s="9">
        <v>1713.0487804878048</v>
      </c>
      <c r="Y176" s="9">
        <v>62.09980778813982</v>
      </c>
      <c r="Z176" s="9">
        <v>-2337.9512195121952</v>
      </c>
      <c r="AA176" s="132">
        <v>7999.9378048780482</v>
      </c>
      <c r="AB176" s="132">
        <v>16559.82</v>
      </c>
      <c r="AC176" s="11">
        <v>2.3647896347974657</v>
      </c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2"/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4178</v>
      </c>
      <c r="L177" s="100">
        <v>154.58599999999998</v>
      </c>
      <c r="M177" s="10">
        <v>0.56733062794311384</v>
      </c>
      <c r="N177" s="100">
        <v>127.28490934923852</v>
      </c>
      <c r="O177" s="100">
        <v>4.4521345554003382</v>
      </c>
      <c r="P177" s="10">
        <v>1.1223487285336138</v>
      </c>
      <c r="Q177" s="6">
        <v>30876</v>
      </c>
      <c r="R177" s="6">
        <v>144</v>
      </c>
      <c r="S177" s="6">
        <v>30679</v>
      </c>
      <c r="T177" s="6">
        <v>0</v>
      </c>
      <c r="U177" s="6">
        <v>0</v>
      </c>
      <c r="V177" s="6">
        <v>0</v>
      </c>
      <c r="W177" s="6">
        <v>0</v>
      </c>
      <c r="X177" s="9">
        <v>11525.333333333334</v>
      </c>
      <c r="Y177" s="9">
        <v>79.856258676538644</v>
      </c>
      <c r="Z177" s="9">
        <v>-27435.867314885447</v>
      </c>
      <c r="AA177" s="132">
        <v>17216.979868358889</v>
      </c>
      <c r="AB177" s="132">
        <v>69334.539999999994</v>
      </c>
      <c r="AC177" s="11">
        <v>4.6013900582873468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9</v>
      </c>
      <c r="C178" s="6" t="s">
        <v>5</v>
      </c>
      <c r="D178" s="6" t="s">
        <v>308</v>
      </c>
      <c r="E178" s="6" t="s">
        <v>315</v>
      </c>
      <c r="F178" s="133">
        <v>1080402</v>
      </c>
      <c r="G178" s="134" t="s">
        <v>742</v>
      </c>
      <c r="H178" s="129">
        <v>4379.9479256411914</v>
      </c>
      <c r="I178" s="129">
        <v>875.98958512823833</v>
      </c>
      <c r="J178" s="9">
        <v>0</v>
      </c>
      <c r="K178" s="9">
        <v>713</v>
      </c>
      <c r="L178" s="100">
        <v>142.6</v>
      </c>
      <c r="M178" s="10">
        <v>0.18173732051471173</v>
      </c>
      <c r="N178" s="100">
        <v>733.38958512823831</v>
      </c>
      <c r="O178" s="100">
        <v>39.241622511709515</v>
      </c>
      <c r="P178" s="10">
        <v>2.3080540837236505</v>
      </c>
      <c r="Q178" s="6">
        <v>9268</v>
      </c>
      <c r="R178" s="6">
        <v>83</v>
      </c>
      <c r="S178" s="6">
        <v>9170</v>
      </c>
      <c r="T178" s="6">
        <v>0</v>
      </c>
      <c r="U178" s="6">
        <v>0</v>
      </c>
      <c r="V178" s="6">
        <v>0</v>
      </c>
      <c r="W178" s="6">
        <v>0</v>
      </c>
      <c r="X178" s="9">
        <v>4379.9479256411914</v>
      </c>
      <c r="Y178" s="9">
        <v>62.808965921604525</v>
      </c>
      <c r="Z178" s="9">
        <v>-5601.0520743588086</v>
      </c>
      <c r="AA178" s="132">
        <v>28513.460995924157</v>
      </c>
      <c r="AB178" s="132">
        <v>59696.7</v>
      </c>
      <c r="AC178" s="11">
        <v>2.2787942161524342</v>
      </c>
      <c r="AD178" s="71"/>
      <c r="AE178" s="71">
        <v>104.89112227805695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310</v>
      </c>
      <c r="E179" s="6" t="s">
        <v>311</v>
      </c>
      <c r="F179" s="123">
        <v>1080744</v>
      </c>
      <c r="G179" s="124" t="s">
        <v>765</v>
      </c>
      <c r="H179" s="129">
        <v>14333.811238200115</v>
      </c>
      <c r="I179" s="129">
        <v>2150.0716857300172</v>
      </c>
      <c r="J179" s="9">
        <v>0</v>
      </c>
      <c r="K179" s="9">
        <v>3402</v>
      </c>
      <c r="L179" s="100">
        <v>510.29999999999995</v>
      </c>
      <c r="M179" s="10">
        <v>0.24989864457359695</v>
      </c>
      <c r="N179" s="100">
        <v>1639.7716857300172</v>
      </c>
      <c r="O179" s="100">
        <v>0</v>
      </c>
      <c r="P179" s="10">
        <v>0</v>
      </c>
      <c r="Q179" s="6">
        <v>31585</v>
      </c>
      <c r="R179" s="6">
        <v>180</v>
      </c>
      <c r="S179" s="6">
        <v>31346</v>
      </c>
      <c r="T179" s="6">
        <v>0</v>
      </c>
      <c r="U179" s="6">
        <v>0</v>
      </c>
      <c r="V179" s="6">
        <v>0</v>
      </c>
      <c r="W179" s="6">
        <v>0</v>
      </c>
      <c r="X179" s="9">
        <v>14333.811238200115</v>
      </c>
      <c r="Y179" s="9">
        <v>65.605719537721683</v>
      </c>
      <c r="Z179" s="9">
        <v>-20653.188761799887</v>
      </c>
      <c r="AA179" s="132">
        <v>35977.866207882282</v>
      </c>
      <c r="AB179" s="132">
        <v>78678.459999999992</v>
      </c>
      <c r="AC179" s="11">
        <v>2.4408721043261967</v>
      </c>
      <c r="AD179" s="71"/>
      <c r="AE179" s="71">
        <v>40.312352692310292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308</v>
      </c>
      <c r="E180" s="6" t="s">
        <v>395</v>
      </c>
      <c r="F180" s="6">
        <v>1069116</v>
      </c>
      <c r="G180" s="8" t="s">
        <v>555</v>
      </c>
      <c r="H180" s="129">
        <v>171.0258227180864</v>
      </c>
      <c r="I180" s="129">
        <v>136.82065817446912</v>
      </c>
      <c r="J180" s="9">
        <v>0</v>
      </c>
      <c r="K180" s="9">
        <v>36</v>
      </c>
      <c r="L180" s="100">
        <v>28.8</v>
      </c>
      <c r="M180" s="10">
        <v>0.50869511175168014</v>
      </c>
      <c r="N180" s="100">
        <v>108.02065817446912</v>
      </c>
      <c r="O180" s="100">
        <v>0</v>
      </c>
      <c r="P180" s="10">
        <v>0.3271685948973892</v>
      </c>
      <c r="Q180" s="6">
        <v>711</v>
      </c>
      <c r="R180" s="6">
        <v>51</v>
      </c>
      <c r="S180" s="6">
        <v>655</v>
      </c>
      <c r="T180" s="6">
        <v>0</v>
      </c>
      <c r="U180" s="6">
        <v>0</v>
      </c>
      <c r="V180" s="6">
        <v>0</v>
      </c>
      <c r="W180" s="6">
        <v>0</v>
      </c>
      <c r="X180" s="9">
        <v>232</v>
      </c>
      <c r="Y180" s="9">
        <v>84.698275862068954</v>
      </c>
      <c r="Z180" s="9">
        <v>-575.97417728191363</v>
      </c>
      <c r="AA180" s="132">
        <v>6396.3657696564314</v>
      </c>
      <c r="AB180" s="132">
        <v>24497</v>
      </c>
      <c r="AC180" s="11">
        <v>4.3677614767644268</v>
      </c>
      <c r="AD180" s="71"/>
      <c r="AE180" s="71">
        <v>29.223956228478066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15</v>
      </c>
      <c r="C181" s="6" t="s">
        <v>5</v>
      </c>
      <c r="D181" s="6" t="s">
        <v>312</v>
      </c>
      <c r="E181" s="6" t="s">
        <v>315</v>
      </c>
      <c r="F181" s="6">
        <v>1080723</v>
      </c>
      <c r="G181" s="8" t="s">
        <v>737</v>
      </c>
      <c r="H181" s="129">
        <v>240</v>
      </c>
      <c r="I181" s="129">
        <v>11.28</v>
      </c>
      <c r="J181" s="9">
        <v>0</v>
      </c>
      <c r="K181" s="9">
        <v>0</v>
      </c>
      <c r="L181" s="100">
        <v>0</v>
      </c>
      <c r="M181" s="10">
        <v>0</v>
      </c>
      <c r="N181" s="100">
        <v>11.28</v>
      </c>
      <c r="O181" s="100">
        <v>0</v>
      </c>
      <c r="P181" s="10">
        <v>3.3546124797698251E-2</v>
      </c>
      <c r="Q181" s="6">
        <v>528</v>
      </c>
      <c r="R181" s="6">
        <v>0</v>
      </c>
      <c r="S181" s="6">
        <v>528</v>
      </c>
      <c r="T181" s="6">
        <v>0</v>
      </c>
      <c r="U181" s="6">
        <v>0</v>
      </c>
      <c r="V181" s="6">
        <v>0</v>
      </c>
      <c r="W181" s="6">
        <v>0</v>
      </c>
      <c r="X181" s="9">
        <v>240</v>
      </c>
      <c r="Y181" s="9">
        <v>66</v>
      </c>
      <c r="Z181" s="9">
        <v>-288</v>
      </c>
      <c r="AA181" s="132">
        <v>156</v>
      </c>
      <c r="AB181" s="132">
        <v>343.2</v>
      </c>
      <c r="AC181" s="11">
        <v>2.2000000000000002</v>
      </c>
      <c r="AD181" s="71"/>
      <c r="AE181" s="71">
        <v>21.992222251817914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 t="s">
        <v>1</v>
      </c>
      <c r="BJ181" s="31"/>
    </row>
    <row r="182" spans="1:62" x14ac:dyDescent="0.35">
      <c r="A182" s="118"/>
      <c r="B182" s="30" t="s">
        <v>15</v>
      </c>
      <c r="C182" s="6" t="s">
        <v>5</v>
      </c>
      <c r="D182" s="6" t="s">
        <v>312</v>
      </c>
      <c r="E182" s="6" t="s">
        <v>315</v>
      </c>
      <c r="F182" s="61">
        <v>1080722</v>
      </c>
      <c r="G182" s="70" t="s">
        <v>736</v>
      </c>
      <c r="H182" s="129">
        <v>5472.9268292682927</v>
      </c>
      <c r="I182" s="129">
        <v>1543.3653658536584</v>
      </c>
      <c r="J182" s="9">
        <v>0</v>
      </c>
      <c r="K182" s="9">
        <v>43</v>
      </c>
      <c r="L182" s="100">
        <v>12.125999999999999</v>
      </c>
      <c r="M182" s="10">
        <v>7.8568563661482235E-3</v>
      </c>
      <c r="N182" s="100">
        <v>1531.2393658536585</v>
      </c>
      <c r="O182" s="100">
        <v>17.831539884505236</v>
      </c>
      <c r="P182" s="10">
        <v>1.750603966600089</v>
      </c>
      <c r="Q182" s="6">
        <v>12222</v>
      </c>
      <c r="R182" s="6">
        <v>0</v>
      </c>
      <c r="S182" s="6">
        <v>12211</v>
      </c>
      <c r="T182" s="6">
        <v>0</v>
      </c>
      <c r="U182" s="6">
        <v>0</v>
      </c>
      <c r="V182" s="6">
        <v>0</v>
      </c>
      <c r="W182" s="6">
        <v>0</v>
      </c>
      <c r="X182" s="9">
        <v>5472.9268292682927</v>
      </c>
      <c r="Y182" s="9">
        <v>66.93493471188556</v>
      </c>
      <c r="Z182" s="9">
        <v>-6792.0731707317073</v>
      </c>
      <c r="AA182" s="132">
        <v>23369.397560975609</v>
      </c>
      <c r="AB182" s="132">
        <v>52140.969999999994</v>
      </c>
      <c r="AC182" s="11">
        <v>2.2410312402513481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/>
      <c r="BJ182" s="31"/>
    </row>
    <row r="183" spans="1:62" x14ac:dyDescent="0.35">
      <c r="A183" s="118"/>
      <c r="B183" s="30" t="s">
        <v>1</v>
      </c>
      <c r="C183" s="6" t="s">
        <v>24</v>
      </c>
      <c r="D183" s="6" t="s">
        <v>316</v>
      </c>
      <c r="E183" s="6" t="s">
        <v>317</v>
      </c>
      <c r="F183" s="6">
        <v>1032134</v>
      </c>
      <c r="G183" s="8" t="s">
        <v>25</v>
      </c>
      <c r="H183" s="129">
        <v>1607.210444282189</v>
      </c>
      <c r="I183" s="129">
        <v>273.22577552797213</v>
      </c>
      <c r="J183" s="9">
        <v>0</v>
      </c>
      <c r="K183" s="9">
        <v>268</v>
      </c>
      <c r="L183" s="100">
        <v>45.56</v>
      </c>
      <c r="M183" s="10">
        <v>0.1903919932132257</v>
      </c>
      <c r="N183" s="100">
        <v>227.66577552797213</v>
      </c>
      <c r="O183" s="100">
        <v>0</v>
      </c>
      <c r="P183" s="10">
        <v>0.99707133258995295</v>
      </c>
      <c r="Q183" s="6">
        <v>3691</v>
      </c>
      <c r="R183" s="6">
        <v>38</v>
      </c>
      <c r="S183" s="6">
        <v>3602</v>
      </c>
      <c r="T183" s="6">
        <v>0</v>
      </c>
      <c r="U183" s="6">
        <v>0</v>
      </c>
      <c r="V183" s="6">
        <v>0</v>
      </c>
      <c r="W183" s="6">
        <v>0</v>
      </c>
      <c r="X183" s="9">
        <v>1607.210444282189</v>
      </c>
      <c r="Y183" s="9">
        <v>67.234505838631279</v>
      </c>
      <c r="Z183" s="9">
        <v>-2351.7895557178108</v>
      </c>
      <c r="AA183" s="132">
        <v>18611.496944787748</v>
      </c>
      <c r="AB183" s="132">
        <v>41711.160000000003</v>
      </c>
      <c r="AC183" s="11">
        <v>2.4632741867031389</v>
      </c>
      <c r="AD183" s="71"/>
      <c r="AE183" s="71">
        <v>9.4224010042222996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1078372</v>
      </c>
      <c r="G184" s="8" t="s">
        <v>708</v>
      </c>
      <c r="H184" s="129">
        <v>5206.195586776832</v>
      </c>
      <c r="I184" s="129">
        <v>1874.2304112396594</v>
      </c>
      <c r="J184" s="9">
        <v>0</v>
      </c>
      <c r="K184" s="9">
        <v>4905</v>
      </c>
      <c r="L184" s="100">
        <v>1765.8</v>
      </c>
      <c r="M184" s="10">
        <v>0.95943379704879972</v>
      </c>
      <c r="N184" s="100">
        <v>108.43041123965941</v>
      </c>
      <c r="O184" s="100">
        <v>0</v>
      </c>
      <c r="P184" s="10">
        <v>0.8767448385356843</v>
      </c>
      <c r="Q184" s="6">
        <v>39190</v>
      </c>
      <c r="R184" s="6">
        <v>90</v>
      </c>
      <c r="S184" s="6">
        <v>39086</v>
      </c>
      <c r="T184" s="6">
        <v>0</v>
      </c>
      <c r="U184" s="6">
        <v>0</v>
      </c>
      <c r="V184" s="6">
        <v>0</v>
      </c>
      <c r="W184" s="6">
        <v>0</v>
      </c>
      <c r="X184" s="9">
        <v>13320</v>
      </c>
      <c r="Y184" s="9">
        <v>88.031531531531527</v>
      </c>
      <c r="Z184" s="9">
        <v>-38888.804413223166</v>
      </c>
      <c r="AA184" s="132">
        <v>32851.094152561811</v>
      </c>
      <c r="AB184" s="132">
        <v>246632.65999999997</v>
      </c>
      <c r="AC184" s="11">
        <v>8.4697163725459106</v>
      </c>
      <c r="AD184" s="71"/>
      <c r="AE184" s="71">
        <v>44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</v>
      </c>
      <c r="D185" s="6" t="s">
        <v>310</v>
      </c>
      <c r="E185" s="6" t="s">
        <v>311</v>
      </c>
      <c r="F185" s="61">
        <v>1068803</v>
      </c>
      <c r="G185" s="70" t="s">
        <v>561</v>
      </c>
      <c r="H185" s="129">
        <v>23339.174123599438</v>
      </c>
      <c r="I185" s="129">
        <v>3500.8761185399158</v>
      </c>
      <c r="J185" s="9">
        <v>0</v>
      </c>
      <c r="K185" s="9">
        <v>4127</v>
      </c>
      <c r="L185" s="100">
        <v>619.04999999999995</v>
      </c>
      <c r="M185" s="10">
        <v>0.17991210733348853</v>
      </c>
      <c r="N185" s="100">
        <v>2881.826118539916</v>
      </c>
      <c r="O185" s="100">
        <v>123.65622599121473</v>
      </c>
      <c r="P185" s="10">
        <v>5.1218741997071575</v>
      </c>
      <c r="Q185" s="6">
        <v>58618</v>
      </c>
      <c r="R185" s="6">
        <v>72</v>
      </c>
      <c r="S185" s="6">
        <v>58485</v>
      </c>
      <c r="T185" s="6">
        <v>0</v>
      </c>
      <c r="U185" s="6">
        <v>0</v>
      </c>
      <c r="V185" s="6">
        <v>0</v>
      </c>
      <c r="W185" s="6">
        <v>645</v>
      </c>
      <c r="X185" s="9">
        <v>23339.174123599438</v>
      </c>
      <c r="Y185" s="9">
        <v>75.17618192950043</v>
      </c>
      <c r="Z185" s="9">
        <v>-39405.825876400559</v>
      </c>
      <c r="AA185" s="132">
        <v>49945.8326245028</v>
      </c>
      <c r="AB185" s="132">
        <v>126538.20000000001</v>
      </c>
      <c r="AC185" s="11">
        <v>2.6883984697879821</v>
      </c>
      <c r="AD185" s="71"/>
      <c r="AE185" s="71">
        <v>21.299374464661145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306</v>
      </c>
      <c r="E186" s="6" t="s">
        <v>307</v>
      </c>
      <c r="F186" s="6">
        <v>1016066</v>
      </c>
      <c r="G186" s="8" t="s">
        <v>289</v>
      </c>
      <c r="H186" s="129">
        <v>1701.5309796143101</v>
      </c>
      <c r="I186" s="129">
        <v>1633.4697404297376</v>
      </c>
      <c r="J186" s="9">
        <v>0</v>
      </c>
      <c r="K186" s="9">
        <v>148</v>
      </c>
      <c r="L186" s="100">
        <v>142.07999999999998</v>
      </c>
      <c r="M186" s="10">
        <v>9.0506727085808064E-2</v>
      </c>
      <c r="N186" s="100">
        <v>1491.3897404297377</v>
      </c>
      <c r="O186" s="100">
        <v>0.96222608928602971</v>
      </c>
      <c r="P186" s="10">
        <v>1.0305559522809493</v>
      </c>
      <c r="Q186" s="6">
        <v>4307</v>
      </c>
      <c r="R186" s="6">
        <v>6</v>
      </c>
      <c r="S186" s="6">
        <v>4297</v>
      </c>
      <c r="T186" s="6">
        <v>0</v>
      </c>
      <c r="U186" s="6">
        <v>303</v>
      </c>
      <c r="V186" s="6">
        <v>0</v>
      </c>
      <c r="W186" s="6">
        <v>0</v>
      </c>
      <c r="X186" s="9">
        <v>1701.5309796143101</v>
      </c>
      <c r="Y186" s="9">
        <v>75.761183043061791</v>
      </c>
      <c r="Z186" s="9">
        <v>-2753.4690203856899</v>
      </c>
      <c r="AA186" s="132">
        <v>18648.779536572842</v>
      </c>
      <c r="AB186" s="132">
        <v>50416.000000000007</v>
      </c>
      <c r="AC186" s="11">
        <v>2.6182303192680187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/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306</v>
      </c>
      <c r="E187" s="6" t="s">
        <v>307</v>
      </c>
      <c r="F187" s="61">
        <v>1016065</v>
      </c>
      <c r="G187" s="70" t="s">
        <v>288</v>
      </c>
      <c r="H187" s="129">
        <v>1453.3230278508431</v>
      </c>
      <c r="I187" s="129">
        <v>1395.1901067368094</v>
      </c>
      <c r="J187" s="9">
        <v>0</v>
      </c>
      <c r="K187" s="9">
        <v>324</v>
      </c>
      <c r="L187" s="100">
        <v>311.03999999999996</v>
      </c>
      <c r="M187" s="10">
        <v>0.22293736064935774</v>
      </c>
      <c r="N187" s="100">
        <v>1084.1501067368094</v>
      </c>
      <c r="O187" s="100">
        <v>0</v>
      </c>
      <c r="P187" s="10">
        <v>0.71192764017889576</v>
      </c>
      <c r="Q187" s="6">
        <v>3830</v>
      </c>
      <c r="R187" s="6">
        <v>0</v>
      </c>
      <c r="S187" s="6">
        <v>3830</v>
      </c>
      <c r="T187" s="6">
        <v>0</v>
      </c>
      <c r="U187" s="6">
        <v>230</v>
      </c>
      <c r="V187" s="6">
        <v>0</v>
      </c>
      <c r="W187" s="6">
        <v>0</v>
      </c>
      <c r="X187" s="9">
        <v>1453.3230278508431</v>
      </c>
      <c r="Y187" s="9">
        <v>79.060193637688897</v>
      </c>
      <c r="Z187" s="9">
        <v>-2700.6769721491569</v>
      </c>
      <c r="AA187" s="132">
        <v>15913.887154966731</v>
      </c>
      <c r="AB187" s="132">
        <v>44457</v>
      </c>
      <c r="AC187" s="11">
        <v>2.8582771485723213</v>
      </c>
      <c r="AD187" s="71"/>
      <c r="AE187" s="71">
        <v>58.314976494291471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1</v>
      </c>
      <c r="C188" s="6" t="s">
        <v>2</v>
      </c>
      <c r="D188" s="6" t="s">
        <v>306</v>
      </c>
      <c r="E188" s="6" t="s">
        <v>401</v>
      </c>
      <c r="F188" s="6">
        <v>1075852</v>
      </c>
      <c r="G188" s="8" t="s">
        <v>687</v>
      </c>
      <c r="H188" s="129">
        <v>10861.380860113519</v>
      </c>
      <c r="I188" s="129">
        <v>977.52427741021665</v>
      </c>
      <c r="J188" s="9">
        <v>0</v>
      </c>
      <c r="K188" s="9">
        <v>2592</v>
      </c>
      <c r="L188" s="100">
        <v>233.28</v>
      </c>
      <c r="M188" s="10">
        <v>0.27399831000575886</v>
      </c>
      <c r="N188" s="100">
        <v>744.24427741021668</v>
      </c>
      <c r="O188" s="100">
        <v>0</v>
      </c>
      <c r="P188" s="10">
        <v>0.2910158611225403</v>
      </c>
      <c r="Q188" s="6">
        <v>30827</v>
      </c>
      <c r="R188" s="6">
        <v>384</v>
      </c>
      <c r="S188" s="6">
        <v>30443</v>
      </c>
      <c r="T188" s="6">
        <v>0</v>
      </c>
      <c r="U188" s="6">
        <v>0</v>
      </c>
      <c r="V188" s="6">
        <v>0</v>
      </c>
      <c r="W188" s="6">
        <v>0</v>
      </c>
      <c r="X188" s="9">
        <v>10861.380860113519</v>
      </c>
      <c r="Y188" s="9">
        <v>84.085993462755212</v>
      </c>
      <c r="Z188" s="9">
        <v>-22557.619139886483</v>
      </c>
      <c r="AA188" s="132">
        <v>4235.938535444272</v>
      </c>
      <c r="AB188" s="132">
        <v>11872.77</v>
      </c>
      <c r="AC188" s="11">
        <v>3.0768647587642666</v>
      </c>
      <c r="AD188" s="71"/>
      <c r="AE188" s="71">
        <v>8.3670715249662617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1032132</v>
      </c>
      <c r="G189" s="8" t="s">
        <v>96</v>
      </c>
      <c r="H189" s="129">
        <v>2672.7492789714947</v>
      </c>
      <c r="I189" s="129">
        <v>133.63746394857475</v>
      </c>
      <c r="J189" s="9">
        <v>0</v>
      </c>
      <c r="K189" s="9">
        <v>461</v>
      </c>
      <c r="L189" s="100">
        <v>23.05</v>
      </c>
      <c r="M189" s="10">
        <v>0.2263586804643386</v>
      </c>
      <c r="N189" s="100">
        <v>110.58746394857475</v>
      </c>
      <c r="O189" s="100">
        <v>0</v>
      </c>
      <c r="P189" s="10">
        <v>0.58399999999999996</v>
      </c>
      <c r="Q189" s="6">
        <v>8426</v>
      </c>
      <c r="R189" s="6">
        <v>144</v>
      </c>
      <c r="S189" s="6">
        <v>8265</v>
      </c>
      <c r="T189" s="6">
        <v>0</v>
      </c>
      <c r="U189" s="6">
        <v>0</v>
      </c>
      <c r="V189" s="6">
        <v>0</v>
      </c>
      <c r="W189" s="6">
        <v>0</v>
      </c>
      <c r="X189" s="9">
        <v>2672.7492789714947</v>
      </c>
      <c r="Y189" s="9">
        <v>92.769644332450838</v>
      </c>
      <c r="Z189" s="9">
        <v>-6214.2507210285057</v>
      </c>
      <c r="AA189" s="132">
        <v>11599.731870736287</v>
      </c>
      <c r="AB189" s="132">
        <v>35870.1</v>
      </c>
      <c r="AC189" s="11">
        <v>3.3250406500604583</v>
      </c>
      <c r="AD189" s="71"/>
      <c r="AE189" s="71">
        <v>16.66190502303137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1</v>
      </c>
      <c r="C190" s="6" t="s">
        <v>2</v>
      </c>
      <c r="D190" s="6" t="s">
        <v>396</v>
      </c>
      <c r="E190" s="6" t="s">
        <v>397</v>
      </c>
      <c r="F190" s="61">
        <v>1043304</v>
      </c>
      <c r="G190" s="70" t="s">
        <v>123</v>
      </c>
      <c r="H190" s="129">
        <v>561</v>
      </c>
      <c r="I190" s="129">
        <v>561</v>
      </c>
      <c r="J190" s="9">
        <v>0</v>
      </c>
      <c r="K190" s="9">
        <v>93</v>
      </c>
      <c r="L190" s="100">
        <v>93</v>
      </c>
      <c r="M190" s="10">
        <v>0.18360071301247771</v>
      </c>
      <c r="N190" s="100">
        <v>468</v>
      </c>
      <c r="O190" s="100">
        <v>0</v>
      </c>
      <c r="P190" s="10">
        <v>0</v>
      </c>
      <c r="Q190" s="6">
        <v>1803</v>
      </c>
      <c r="R190" s="6">
        <v>10</v>
      </c>
      <c r="S190" s="6">
        <v>1789</v>
      </c>
      <c r="T190" s="6">
        <v>0</v>
      </c>
      <c r="U190" s="6">
        <v>0</v>
      </c>
      <c r="V190" s="6">
        <v>0</v>
      </c>
      <c r="W190" s="6">
        <v>18</v>
      </c>
      <c r="X190" s="9">
        <v>561</v>
      </c>
      <c r="Y190" s="9">
        <v>95.668449197860966</v>
      </c>
      <c r="Z190" s="9">
        <v>-1335</v>
      </c>
      <c r="AA190" s="132">
        <v>19214.25</v>
      </c>
      <c r="AB190" s="132">
        <v>61889.75</v>
      </c>
      <c r="AC190" s="11">
        <v>3.3796791443850269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 t="s">
        <v>1</v>
      </c>
      <c r="BJ190" s="31"/>
    </row>
    <row r="191" spans="1:62" ht="12.75" customHeight="1" x14ac:dyDescent="0.35">
      <c r="A191" s="118"/>
      <c r="B191" s="30" t="s">
        <v>1</v>
      </c>
      <c r="C191" s="6" t="s">
        <v>24</v>
      </c>
      <c r="D191" s="6" t="s">
        <v>316</v>
      </c>
      <c r="E191" s="6" t="s">
        <v>317</v>
      </c>
      <c r="F191" s="6">
        <v>1034632</v>
      </c>
      <c r="G191" s="8" t="s">
        <v>57</v>
      </c>
      <c r="H191" s="129">
        <v>3488.8525298438499</v>
      </c>
      <c r="I191" s="129">
        <v>593.10493007345451</v>
      </c>
      <c r="J191" s="9">
        <v>0</v>
      </c>
      <c r="K191" s="9">
        <v>589</v>
      </c>
      <c r="L191" s="100">
        <v>100.13000000000001</v>
      </c>
      <c r="M191" s="10">
        <v>0.20751808619219683</v>
      </c>
      <c r="N191" s="100">
        <v>492.97493007345452</v>
      </c>
      <c r="O191" s="100">
        <v>1.1645835455032501</v>
      </c>
      <c r="P191" s="10">
        <v>1.0403078016680627</v>
      </c>
      <c r="Q191" s="6">
        <v>12466</v>
      </c>
      <c r="R191" s="6">
        <v>135</v>
      </c>
      <c r="S191" s="6">
        <v>12307</v>
      </c>
      <c r="T191" s="6">
        <v>0</v>
      </c>
      <c r="U191" s="6">
        <v>0</v>
      </c>
      <c r="V191" s="6">
        <v>0</v>
      </c>
      <c r="W191" s="6">
        <v>169</v>
      </c>
      <c r="X191" s="9">
        <v>3488.8525298438499</v>
      </c>
      <c r="Y191" s="9">
        <v>105.8256251422942</v>
      </c>
      <c r="Z191" s="9">
        <v>-9566.1474701561492</v>
      </c>
      <c r="AA191" s="132">
        <v>36667.840088658864</v>
      </c>
      <c r="AB191" s="132">
        <v>131122.76</v>
      </c>
      <c r="AC191" s="11">
        <v>3.7419179768496265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1069125</v>
      </c>
      <c r="G192" s="8" t="s">
        <v>557</v>
      </c>
      <c r="H192" s="129">
        <v>74.566382451788812</v>
      </c>
      <c r="I192" s="129">
        <v>59.653105961431052</v>
      </c>
      <c r="J192" s="9">
        <v>0</v>
      </c>
      <c r="K192" s="9">
        <v>16</v>
      </c>
      <c r="L192" s="100">
        <v>12.8</v>
      </c>
      <c r="M192" s="10">
        <v>0.21457390681846292</v>
      </c>
      <c r="N192" s="100">
        <v>46.853105961431055</v>
      </c>
      <c r="O192" s="100">
        <v>0</v>
      </c>
      <c r="P192" s="10">
        <v>0.19457436856875585</v>
      </c>
      <c r="Q192" s="6">
        <v>276</v>
      </c>
      <c r="R192" s="6">
        <v>0</v>
      </c>
      <c r="S192" s="6">
        <v>274</v>
      </c>
      <c r="T192" s="6">
        <v>0</v>
      </c>
      <c r="U192" s="6">
        <v>0</v>
      </c>
      <c r="V192" s="6">
        <v>0</v>
      </c>
      <c r="W192" s="6">
        <v>0</v>
      </c>
      <c r="X192" s="9">
        <v>74.566382451788812</v>
      </c>
      <c r="Y192" s="9">
        <v>110.23734462798531</v>
      </c>
      <c r="Z192" s="9">
        <v>-217.4336175482112</v>
      </c>
      <c r="AA192" s="132">
        <v>2702.2857000528265</v>
      </c>
      <c r="AB192" s="132">
        <v>9929.76</v>
      </c>
      <c r="AC192" s="11">
        <v>3.9159737994369483</v>
      </c>
      <c r="AD192" s="71"/>
      <c r="AE192" s="71">
        <v>23.728842851009016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 t="s">
        <v>1</v>
      </c>
      <c r="BJ192" s="31"/>
    </row>
    <row r="193" spans="1:62" ht="12.75" customHeight="1" x14ac:dyDescent="0.35">
      <c r="A193" s="118"/>
      <c r="B193" s="30" t="s">
        <v>21</v>
      </c>
      <c r="C193" s="6" t="s">
        <v>5</v>
      </c>
      <c r="D193" s="6" t="s">
        <v>308</v>
      </c>
      <c r="E193" s="6" t="s">
        <v>395</v>
      </c>
      <c r="F193" s="61">
        <v>1069936</v>
      </c>
      <c r="G193" s="70" t="s">
        <v>610</v>
      </c>
      <c r="H193" s="129">
        <v>221.069321854912</v>
      </c>
      <c r="I193" s="129">
        <v>42.003171152433282</v>
      </c>
      <c r="J193" s="9">
        <v>0</v>
      </c>
      <c r="K193" s="9">
        <v>68</v>
      </c>
      <c r="L193" s="100">
        <v>12.92</v>
      </c>
      <c r="M193" s="10">
        <v>0.30759582301803262</v>
      </c>
      <c r="N193" s="100">
        <v>29.08317115243328</v>
      </c>
      <c r="O193" s="100">
        <v>17.456332106178646</v>
      </c>
      <c r="P193" s="10">
        <v>1.4859477521752689</v>
      </c>
      <c r="Q193" s="6">
        <v>968</v>
      </c>
      <c r="R193" s="6">
        <v>0</v>
      </c>
      <c r="S193" s="6">
        <v>920</v>
      </c>
      <c r="T193" s="6">
        <v>0</v>
      </c>
      <c r="U193" s="6">
        <v>0</v>
      </c>
      <c r="V193" s="6">
        <v>0</v>
      </c>
      <c r="W193" s="6">
        <v>0</v>
      </c>
      <c r="X193" s="9">
        <v>221.06932185491203</v>
      </c>
      <c r="Y193" s="9">
        <v>124.84771640143676</v>
      </c>
      <c r="Z193" s="9">
        <v>-814.930678145088</v>
      </c>
      <c r="AA193" s="132">
        <v>1806.1363595546311</v>
      </c>
      <c r="AB193" s="132">
        <v>7516.4</v>
      </c>
      <c r="AC193" s="11">
        <v>4.6863128330394375</v>
      </c>
      <c r="AD193" s="71"/>
      <c r="AE193" s="71">
        <v>75.108571428571437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123">
        <v>1059902</v>
      </c>
      <c r="G194" s="124" t="s">
        <v>766</v>
      </c>
      <c r="H194" s="129">
        <v>1555</v>
      </c>
      <c r="I194" s="129">
        <v>77.75</v>
      </c>
      <c r="J194" s="9">
        <v>0</v>
      </c>
      <c r="K194" s="9">
        <v>96</v>
      </c>
      <c r="L194" s="100">
        <v>4.8000000000000007</v>
      </c>
      <c r="M194" s="10">
        <v>6.1736334405144692E-2</v>
      </c>
      <c r="N194" s="100">
        <v>72.95</v>
      </c>
      <c r="O194" s="100">
        <v>29.800443458980048</v>
      </c>
      <c r="P194" s="10">
        <v>1.7684391080617496</v>
      </c>
      <c r="Q194" s="6">
        <v>6408</v>
      </c>
      <c r="R194" s="6">
        <v>0</v>
      </c>
      <c r="S194" s="6">
        <v>6408</v>
      </c>
      <c r="T194" s="6">
        <v>0</v>
      </c>
      <c r="U194" s="6">
        <v>0</v>
      </c>
      <c r="V194" s="6">
        <v>0</v>
      </c>
      <c r="W194" s="6">
        <v>0</v>
      </c>
      <c r="X194" s="9">
        <v>1555</v>
      </c>
      <c r="Y194" s="9">
        <v>123.62700964630226</v>
      </c>
      <c r="Z194" s="9">
        <v>-4949</v>
      </c>
      <c r="AA194" s="132">
        <v>7775</v>
      </c>
      <c r="AB194" s="132">
        <v>32040</v>
      </c>
      <c r="AC194" s="11">
        <v>4.1826366559485528</v>
      </c>
      <c r="AD194" s="71"/>
      <c r="AE194" s="71" t="s">
        <v>574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31</v>
      </c>
      <c r="C195" s="6" t="s">
        <v>5</v>
      </c>
      <c r="D195" s="6" t="s">
        <v>396</v>
      </c>
      <c r="E195" s="6" t="s">
        <v>397</v>
      </c>
      <c r="F195" s="6">
        <v>1071794</v>
      </c>
      <c r="G195" s="8" t="s">
        <v>660</v>
      </c>
      <c r="H195" s="129">
        <v>200</v>
      </c>
      <c r="I195" s="129">
        <v>100</v>
      </c>
      <c r="J195" s="9">
        <v>0</v>
      </c>
      <c r="K195" s="9">
        <v>6</v>
      </c>
      <c r="L195" s="100">
        <v>3</v>
      </c>
      <c r="M195" s="10">
        <v>0.03</v>
      </c>
      <c r="N195" s="100">
        <v>97</v>
      </c>
      <c r="O195" s="100">
        <v>0.58570394806390269</v>
      </c>
      <c r="P195" s="10">
        <v>1.0200734441053423</v>
      </c>
      <c r="Q195" s="6">
        <v>867</v>
      </c>
      <c r="R195" s="6">
        <v>0</v>
      </c>
      <c r="S195" s="6">
        <v>867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130.05000000000001</v>
      </c>
      <c r="Z195" s="9">
        <v>-673</v>
      </c>
      <c r="AA195" s="132">
        <v>1358</v>
      </c>
      <c r="AB195" s="132">
        <v>5886.93</v>
      </c>
      <c r="AC195" s="11">
        <v>4.3650000000000002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/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308</v>
      </c>
      <c r="E196" s="6" t="s">
        <v>395</v>
      </c>
      <c r="F196" s="6">
        <v>1078355</v>
      </c>
      <c r="G196" s="8" t="s">
        <v>706</v>
      </c>
      <c r="H196" s="129">
        <v>889</v>
      </c>
      <c r="I196" s="129">
        <v>224.02799999999999</v>
      </c>
      <c r="J196" s="9">
        <v>0</v>
      </c>
      <c r="K196" s="9">
        <v>240</v>
      </c>
      <c r="L196" s="100">
        <v>60.480000000000004</v>
      </c>
      <c r="M196" s="10">
        <v>0.26996625421822273</v>
      </c>
      <c r="N196" s="100">
        <v>163.548</v>
      </c>
      <c r="O196" s="100">
        <v>0</v>
      </c>
      <c r="P196" s="10">
        <v>4.6263809104883022E-2</v>
      </c>
      <c r="Q196" s="6">
        <v>3933</v>
      </c>
      <c r="R196" s="6">
        <v>0</v>
      </c>
      <c r="S196" s="6">
        <v>3933</v>
      </c>
      <c r="T196" s="6">
        <v>0</v>
      </c>
      <c r="U196" s="6">
        <v>0</v>
      </c>
      <c r="V196" s="6">
        <v>0</v>
      </c>
      <c r="W196" s="6">
        <v>0</v>
      </c>
      <c r="X196" s="9">
        <v>889</v>
      </c>
      <c r="Y196" s="9">
        <v>132.72215973003375</v>
      </c>
      <c r="Z196" s="9">
        <v>-3284</v>
      </c>
      <c r="AA196" s="132">
        <v>8045.4500000000007</v>
      </c>
      <c r="AB196" s="132">
        <v>35593.65</v>
      </c>
      <c r="AC196" s="11">
        <v>4.6940382452193479</v>
      </c>
      <c r="AD196" s="71"/>
      <c r="AE196" s="71">
        <v>67.599515738498795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21</v>
      </c>
      <c r="C197" s="6" t="s">
        <v>5</v>
      </c>
      <c r="D197" s="6" t="s">
        <v>308</v>
      </c>
      <c r="E197" s="6" t="s">
        <v>395</v>
      </c>
      <c r="F197" s="6">
        <v>1069727</v>
      </c>
      <c r="G197" s="8" t="s">
        <v>570</v>
      </c>
      <c r="H197" s="129">
        <v>22.748535298438401</v>
      </c>
      <c r="I197" s="129">
        <v>18.198828238750721</v>
      </c>
      <c r="J197" s="9">
        <v>0</v>
      </c>
      <c r="K197" s="9">
        <v>0</v>
      </c>
      <c r="L197" s="100">
        <v>0</v>
      </c>
      <c r="M197" s="10">
        <v>0</v>
      </c>
      <c r="N197" s="100">
        <v>18.198828238750721</v>
      </c>
      <c r="O197" s="100">
        <v>0</v>
      </c>
      <c r="P197" s="10">
        <v>0.97194860813704498</v>
      </c>
      <c r="Q197" s="6">
        <v>110</v>
      </c>
      <c r="R197" s="6">
        <v>0</v>
      </c>
      <c r="S197" s="6">
        <v>105</v>
      </c>
      <c r="T197" s="6">
        <v>0</v>
      </c>
      <c r="U197" s="6">
        <v>0</v>
      </c>
      <c r="V197" s="6">
        <v>0</v>
      </c>
      <c r="W197" s="6">
        <v>0</v>
      </c>
      <c r="X197" s="9">
        <v>22.748535298438401</v>
      </c>
      <c r="Y197" s="9">
        <v>138.47045353360554</v>
      </c>
      <c r="Z197" s="9">
        <v>-87.251464701561602</v>
      </c>
      <c r="AA197" s="132">
        <v>767.5355809693117</v>
      </c>
      <c r="AB197" s="132">
        <v>3542.7000000000003</v>
      </c>
      <c r="AC197" s="11">
        <v>4.8354761551417802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/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310</v>
      </c>
      <c r="E198" s="6" t="s">
        <v>311</v>
      </c>
      <c r="F198" s="123">
        <v>1080400</v>
      </c>
      <c r="G198" s="124" t="s">
        <v>753</v>
      </c>
      <c r="H198" s="129">
        <v>4726.8</v>
      </c>
      <c r="I198" s="129">
        <v>0</v>
      </c>
      <c r="J198" s="9">
        <v>0</v>
      </c>
      <c r="K198" s="9">
        <v>486</v>
      </c>
      <c r="L198" s="100">
        <v>0</v>
      </c>
      <c r="M198" s="10">
        <v>0.10281797410510281</v>
      </c>
      <c r="N198" s="100">
        <v>0</v>
      </c>
      <c r="O198" s="100">
        <v>0</v>
      </c>
      <c r="P198" s="10">
        <v>0.38421932181157276</v>
      </c>
      <c r="Q198" s="6">
        <v>23102</v>
      </c>
      <c r="R198" s="6">
        <v>0</v>
      </c>
      <c r="S198" s="6">
        <v>23094</v>
      </c>
      <c r="T198" s="6">
        <v>0</v>
      </c>
      <c r="U198" s="6">
        <v>8</v>
      </c>
      <c r="V198" s="6">
        <v>0</v>
      </c>
      <c r="W198" s="6">
        <v>0</v>
      </c>
      <c r="X198" s="9">
        <v>4726.8</v>
      </c>
      <c r="Y198" s="9">
        <v>146.57273419649655</v>
      </c>
      <c r="Z198" s="9">
        <v>-18861.2</v>
      </c>
      <c r="AA198" s="132">
        <v>32567.651999999998</v>
      </c>
      <c r="AB198" s="132">
        <v>159172.78</v>
      </c>
      <c r="AC198" s="11">
        <v>4.9902682575949902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/>
      <c r="BJ198" s="31"/>
    </row>
    <row r="199" spans="1:62" ht="12.75" customHeight="1" x14ac:dyDescent="0.35">
      <c r="A199" s="118"/>
      <c r="B199" s="30" t="s">
        <v>15</v>
      </c>
      <c r="C199" s="6" t="s">
        <v>5</v>
      </c>
      <c r="D199" s="6" t="s">
        <v>308</v>
      </c>
      <c r="E199" s="6" t="s">
        <v>315</v>
      </c>
      <c r="F199" s="6">
        <v>1078734</v>
      </c>
      <c r="G199" s="8" t="s">
        <v>707</v>
      </c>
      <c r="H199" s="129">
        <v>528</v>
      </c>
      <c r="I199" s="129">
        <v>127.776</v>
      </c>
      <c r="J199" s="9">
        <v>0</v>
      </c>
      <c r="K199" s="9">
        <v>120</v>
      </c>
      <c r="L199" s="100">
        <v>29.04</v>
      </c>
      <c r="M199" s="10">
        <v>0.22727272727272727</v>
      </c>
      <c r="N199" s="100">
        <v>98.73599999999999</v>
      </c>
      <c r="O199" s="100">
        <v>0</v>
      </c>
      <c r="P199" s="10">
        <v>0.49662490592610509</v>
      </c>
      <c r="Q199" s="6">
        <v>2901</v>
      </c>
      <c r="R199" s="6">
        <v>0</v>
      </c>
      <c r="S199" s="6">
        <v>2901</v>
      </c>
      <c r="T199" s="6">
        <v>0</v>
      </c>
      <c r="U199" s="6">
        <v>0</v>
      </c>
      <c r="V199" s="6">
        <v>0</v>
      </c>
      <c r="W199" s="6">
        <v>0</v>
      </c>
      <c r="X199" s="9">
        <v>528</v>
      </c>
      <c r="Y199" s="9">
        <v>164.82954545454544</v>
      </c>
      <c r="Z199" s="9">
        <v>-2493</v>
      </c>
      <c r="AA199" s="132">
        <v>2244</v>
      </c>
      <c r="AB199" s="132">
        <v>12329.25</v>
      </c>
      <c r="AC199" s="11">
        <v>5.7215909090909092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29">
        <v>150</v>
      </c>
      <c r="I200" s="129">
        <v>75</v>
      </c>
      <c r="J200" s="9">
        <v>0</v>
      </c>
      <c r="K200" s="9">
        <v>5</v>
      </c>
      <c r="L200" s="100">
        <v>2.5</v>
      </c>
      <c r="M200" s="10">
        <v>3.3333333333333333E-2</v>
      </c>
      <c r="N200" s="100">
        <v>72.5</v>
      </c>
      <c r="O200" s="100">
        <v>0</v>
      </c>
      <c r="P200" s="10">
        <v>0.62690909090909086</v>
      </c>
      <c r="Q200" s="6">
        <v>1969</v>
      </c>
      <c r="R200" s="6">
        <v>0</v>
      </c>
      <c r="S200" s="6">
        <v>1969</v>
      </c>
      <c r="T200" s="6">
        <v>0</v>
      </c>
      <c r="U200" s="6">
        <v>0</v>
      </c>
      <c r="V200" s="6">
        <v>0</v>
      </c>
      <c r="W200" s="6">
        <v>0</v>
      </c>
      <c r="X200" s="9">
        <v>150</v>
      </c>
      <c r="Y200" s="9">
        <v>393.8</v>
      </c>
      <c r="Z200" s="9">
        <v>-1824</v>
      </c>
      <c r="AA200" s="132">
        <v>2272.5</v>
      </c>
      <c r="AB200" s="132">
        <v>29830.350000000002</v>
      </c>
      <c r="AC200" s="11">
        <v>13.16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29">
        <v>200</v>
      </c>
      <c r="I201" s="129">
        <v>100</v>
      </c>
      <c r="J201" s="9">
        <v>0</v>
      </c>
      <c r="K201" s="9">
        <v>0</v>
      </c>
      <c r="L201" s="100">
        <v>0</v>
      </c>
      <c r="M201" s="10">
        <v>0</v>
      </c>
      <c r="N201" s="100">
        <v>100</v>
      </c>
      <c r="O201" s="100">
        <v>99.524999999999991</v>
      </c>
      <c r="P201" s="10">
        <v>1.6259433962264151</v>
      </c>
      <c r="Q201" s="6">
        <v>3659</v>
      </c>
      <c r="R201" s="6">
        <v>0</v>
      </c>
      <c r="S201" s="6">
        <v>3659</v>
      </c>
      <c r="T201" s="6">
        <v>0</v>
      </c>
      <c r="U201" s="6">
        <v>0</v>
      </c>
      <c r="V201" s="6">
        <v>0</v>
      </c>
      <c r="W201" s="6">
        <v>0</v>
      </c>
      <c r="X201" s="9">
        <v>200</v>
      </c>
      <c r="Y201" s="9">
        <v>548.85</v>
      </c>
      <c r="Z201" s="9">
        <v>-3459</v>
      </c>
      <c r="AA201" s="132">
        <v>3697.9999999999995</v>
      </c>
      <c r="AB201" s="132">
        <v>67654.909999999989</v>
      </c>
      <c r="AC201" s="11">
        <v>18.295000000000002</v>
      </c>
      <c r="AD201" s="71"/>
      <c r="AE201" s="71">
        <v>31.022079772079774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126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29">
        <v>100</v>
      </c>
      <c r="I202" s="129">
        <v>100</v>
      </c>
      <c r="J202" s="9">
        <v>0</v>
      </c>
      <c r="K202" s="9">
        <v>1</v>
      </c>
      <c r="L202" s="100">
        <v>1</v>
      </c>
      <c r="M202" s="10">
        <v>0.01</v>
      </c>
      <c r="N202" s="100">
        <v>99</v>
      </c>
      <c r="O202" s="100">
        <v>15.349884210143133</v>
      </c>
      <c r="P202" s="10">
        <v>2.2175334869607006</v>
      </c>
      <c r="Q202" s="6">
        <v>2091</v>
      </c>
      <c r="R202" s="6">
        <v>0</v>
      </c>
      <c r="S202" s="6">
        <v>2091</v>
      </c>
      <c r="T202" s="6">
        <v>0</v>
      </c>
      <c r="U202" s="6">
        <v>0</v>
      </c>
      <c r="V202" s="6">
        <v>0</v>
      </c>
      <c r="W202" s="6">
        <v>0</v>
      </c>
      <c r="X202" s="9">
        <v>100</v>
      </c>
      <c r="Y202" s="9">
        <v>627.29999999999995</v>
      </c>
      <c r="Z202" s="9">
        <v>-1992</v>
      </c>
      <c r="AA202" s="132">
        <v>3584.0000000000005</v>
      </c>
      <c r="AB202" s="132">
        <v>74941.440000000002</v>
      </c>
      <c r="AC202" s="11">
        <v>20.92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 t="s">
        <v>1</v>
      </c>
      <c r="BJ202" s="31"/>
    </row>
    <row r="203" spans="1:62" ht="12.75" customHeight="1" x14ac:dyDescent="0.35">
      <c r="A203" s="118"/>
      <c r="B203" s="30" t="s">
        <v>1</v>
      </c>
      <c r="C203" s="6" t="s">
        <v>24</v>
      </c>
      <c r="D203" s="6" t="s">
        <v>316</v>
      </c>
      <c r="E203" s="6" t="s">
        <v>317</v>
      </c>
      <c r="F203" s="6">
        <v>1064331</v>
      </c>
      <c r="G203" s="8" t="s">
        <v>596</v>
      </c>
      <c r="H203" s="129">
        <v>92.994101193753608</v>
      </c>
      <c r="I203" s="129">
        <v>7.904498601469057</v>
      </c>
      <c r="J203" s="9">
        <v>0</v>
      </c>
      <c r="K203" s="9">
        <v>48</v>
      </c>
      <c r="L203" s="100">
        <v>4.08</v>
      </c>
      <c r="M203" s="10">
        <v>0.51616177137936736</v>
      </c>
      <c r="N203" s="100">
        <v>3.824498601469057</v>
      </c>
      <c r="O203" s="100">
        <v>0</v>
      </c>
      <c r="P203" s="10">
        <v>0.40288672732977721</v>
      </c>
      <c r="Q203" s="6">
        <v>4259</v>
      </c>
      <c r="R203" s="6">
        <v>0</v>
      </c>
      <c r="S203" s="6">
        <v>4228</v>
      </c>
      <c r="T203" s="6">
        <v>0</v>
      </c>
      <c r="U203" s="6">
        <v>0</v>
      </c>
      <c r="V203" s="6">
        <v>0</v>
      </c>
      <c r="W203" s="6">
        <v>0</v>
      </c>
      <c r="X203" s="9">
        <v>128.00000000000003</v>
      </c>
      <c r="Y203" s="9">
        <v>990.93749999999977</v>
      </c>
      <c r="Z203" s="9">
        <v>-4214.0058988062465</v>
      </c>
      <c r="AA203" s="132">
        <v>611.9011858548987</v>
      </c>
      <c r="AB203" s="132">
        <v>27820.240000000002</v>
      </c>
      <c r="AC203" s="11">
        <v>46.314765611061148</v>
      </c>
      <c r="AD203" s="71"/>
      <c r="AE203" s="71">
        <v>0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4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6</v>
      </c>
      <c r="L207" s="100">
        <v>0.56699999999999995</v>
      </c>
      <c r="M207" s="10">
        <v>0</v>
      </c>
      <c r="N207" s="100">
        <v>0.56699999999999995</v>
      </c>
      <c r="O207" s="100">
        <v>5.6575648128929608</v>
      </c>
      <c r="P207" s="10">
        <v>1.1918704743612358</v>
      </c>
      <c r="Q207" s="6">
        <v>2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371</v>
      </c>
      <c r="L208" s="100">
        <v>148.4</v>
      </c>
      <c r="M208" s="10">
        <v>0</v>
      </c>
      <c r="N208" s="100">
        <v>148.4</v>
      </c>
      <c r="O208" s="100">
        <v>37.798062379453938</v>
      </c>
      <c r="P208" s="10">
        <v>3.3380332673838486</v>
      </c>
      <c r="Q208" s="6">
        <v>450</v>
      </c>
      <c r="R208" s="6">
        <v>0</v>
      </c>
      <c r="S208" s="6">
        <v>426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6398.5199999999995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1</v>
      </c>
      <c r="L210" s="100">
        <v>0.38</v>
      </c>
      <c r="M210" s="10">
        <v>0</v>
      </c>
      <c r="N210" s="100">
        <v>0.38</v>
      </c>
      <c r="O210" s="100">
        <v>5.658147911203292</v>
      </c>
      <c r="P210" s="10">
        <v>1.1862578249780389</v>
      </c>
      <c r="Q210" s="6">
        <v>5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4</v>
      </c>
      <c r="L212" s="100">
        <v>1.1200000000000001</v>
      </c>
      <c r="M212" s="10">
        <v>0</v>
      </c>
      <c r="N212" s="100">
        <v>1.1200000000000001</v>
      </c>
      <c r="O212" s="100">
        <v>0</v>
      </c>
      <c r="P212" s="10">
        <v>0.95271350896849805</v>
      </c>
      <c r="Q212" s="6">
        <v>9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39</v>
      </c>
      <c r="L214" s="100">
        <v>8.8919999999999995</v>
      </c>
      <c r="M214" s="10">
        <v>0</v>
      </c>
      <c r="N214" s="100">
        <v>8.8919999999999995</v>
      </c>
      <c r="O214" s="100">
        <v>4.0919722712501176</v>
      </c>
      <c r="P214" s="10">
        <v>1.2047083623664914</v>
      </c>
      <c r="Q214" s="6">
        <v>117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41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355</v>
      </c>
      <c r="L216" s="100">
        <v>170.4</v>
      </c>
      <c r="M216" s="10">
        <v>0</v>
      </c>
      <c r="N216" s="100">
        <v>170.4</v>
      </c>
      <c r="O216" s="100">
        <v>0</v>
      </c>
      <c r="P216" s="10">
        <v>0.46500000000000002</v>
      </c>
      <c r="Q216" s="6">
        <v>762</v>
      </c>
      <c r="R216" s="6">
        <v>8</v>
      </c>
      <c r="S216" s="6">
        <v>745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9208.1999999999989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600</v>
      </c>
      <c r="L218" s="100">
        <v>216</v>
      </c>
      <c r="M218" s="10">
        <v>0</v>
      </c>
      <c r="N218" s="100">
        <v>216</v>
      </c>
      <c r="O218" s="100">
        <v>0</v>
      </c>
      <c r="P218" s="10">
        <v>0.75249919398657328</v>
      </c>
      <c r="Q218" s="6">
        <v>12935</v>
      </c>
      <c r="R218" s="6">
        <v>0</v>
      </c>
      <c r="S218" s="6">
        <v>12935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71401.2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5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1</v>
      </c>
      <c r="R232" s="6">
        <v>0</v>
      </c>
      <c r="S232" s="6">
        <v>1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1</v>
      </c>
      <c r="R235" s="6">
        <v>0</v>
      </c>
      <c r="S235" s="6">
        <v>1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3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212</v>
      </c>
      <c r="L237" s="100">
        <v>180.2</v>
      </c>
      <c r="M237" s="10">
        <v>0</v>
      </c>
      <c r="N237" s="100">
        <v>180.2</v>
      </c>
      <c r="O237" s="100">
        <v>0</v>
      </c>
      <c r="P237" s="10">
        <v>0</v>
      </c>
      <c r="Q237" s="6">
        <v>989</v>
      </c>
      <c r="R237" s="6">
        <v>0</v>
      </c>
      <c r="S237" s="6">
        <v>886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31</v>
      </c>
      <c r="L238" s="100">
        <v>5.1150000000000002</v>
      </c>
      <c r="M238" s="10">
        <v>0</v>
      </c>
      <c r="N238" s="100">
        <v>5.1150000000000002</v>
      </c>
      <c r="O238" s="100">
        <v>0</v>
      </c>
      <c r="P238" s="10">
        <v>0</v>
      </c>
      <c r="Q238" s="6">
        <v>64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24</v>
      </c>
      <c r="L240" s="100">
        <v>2.88</v>
      </c>
      <c r="M240" s="10">
        <v>0</v>
      </c>
      <c r="N240" s="100">
        <v>2.88</v>
      </c>
      <c r="O240" s="100">
        <v>0</v>
      </c>
      <c r="P240" s="10">
        <v>0</v>
      </c>
      <c r="Q240" s="6">
        <v>73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162</v>
      </c>
      <c r="L241" s="100">
        <v>34.83</v>
      </c>
      <c r="M241" s="10">
        <v>0</v>
      </c>
      <c r="N241" s="100">
        <v>34.83</v>
      </c>
      <c r="O241" s="100">
        <v>0</v>
      </c>
      <c r="P241" s="10">
        <v>0</v>
      </c>
      <c r="Q241" s="6">
        <v>8612</v>
      </c>
      <c r="R241" s="6">
        <v>0</v>
      </c>
      <c r="S241" s="6">
        <v>8473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39738.370000000003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4</v>
      </c>
      <c r="L243" s="100">
        <v>0.89600000000000002</v>
      </c>
      <c r="M243" s="10">
        <v>0</v>
      </c>
      <c r="N243" s="100">
        <v>0.89600000000000002</v>
      </c>
      <c r="O243" s="100">
        <v>0</v>
      </c>
      <c r="P243" s="10">
        <v>0</v>
      </c>
      <c r="Q243" s="6">
        <v>800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11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1657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7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3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-108</v>
      </c>
      <c r="L287" s="100">
        <v>-16.524000000000001</v>
      </c>
      <c r="M287" s="10">
        <v>0</v>
      </c>
      <c r="N287" s="100">
        <v>16.524000000000001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397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3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19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30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8</v>
      </c>
      <c r="L329" s="100">
        <v>1.44</v>
      </c>
      <c r="M329" s="10">
        <v>0</v>
      </c>
      <c r="N329" s="100">
        <v>1.44</v>
      </c>
      <c r="O329" s="100">
        <v>0</v>
      </c>
      <c r="P329" s="10">
        <v>0</v>
      </c>
      <c r="Q329" s="6">
        <v>1027</v>
      </c>
      <c r="R329" s="6">
        <v>18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50</v>
      </c>
      <c r="L359" s="100">
        <v>5.4</v>
      </c>
      <c r="M359" s="10">
        <v>0</v>
      </c>
      <c r="N359" s="100">
        <v>5.4</v>
      </c>
      <c r="O359" s="100">
        <v>0</v>
      </c>
      <c r="P359" s="10">
        <v>0</v>
      </c>
      <c r="Q359" s="6">
        <v>79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2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160</v>
      </c>
      <c r="R471" s="6">
        <v>0</v>
      </c>
      <c r="S471" s="6">
        <v>148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6</v>
      </c>
      <c r="R504" s="6">
        <v>0</v>
      </c>
      <c r="S504" s="6">
        <v>6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7</v>
      </c>
      <c r="L507" s="100">
        <v>5.95</v>
      </c>
      <c r="M507" s="10">
        <v>0</v>
      </c>
      <c r="N507" s="100">
        <v>5.95</v>
      </c>
      <c r="O507" s="100">
        <v>0</v>
      </c>
      <c r="P507" s="10">
        <v>0</v>
      </c>
      <c r="Q507" s="6">
        <v>32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41</v>
      </c>
      <c r="L526" s="100">
        <v>32.800000000000004</v>
      </c>
      <c r="M526" s="10">
        <v>0</v>
      </c>
      <c r="N526" s="100">
        <v>32.800000000000004</v>
      </c>
      <c r="O526" s="100">
        <v>0</v>
      </c>
      <c r="P526" s="10">
        <v>0</v>
      </c>
      <c r="Q526" s="6">
        <v>15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54</v>
      </c>
      <c r="L533" s="100">
        <v>24.3</v>
      </c>
      <c r="M533" s="10">
        <v>0</v>
      </c>
      <c r="N533" s="100">
        <v>24.3</v>
      </c>
      <c r="O533" s="100">
        <v>0</v>
      </c>
      <c r="P533" s="10">
        <v>0</v>
      </c>
      <c r="Q533" s="6">
        <v>438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35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88">
        <v>1082951</v>
      </c>
      <c r="G539" s="189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0</v>
      </c>
      <c r="S539" s="116">
        <v>28445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171807.8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88">
        <v>1083041</v>
      </c>
      <c r="G540" s="189" t="s">
        <v>784</v>
      </c>
      <c r="H540" s="176">
        <v>0</v>
      </c>
      <c r="I540" s="138">
        <v>0</v>
      </c>
      <c r="J540" s="104">
        <v>0</v>
      </c>
      <c r="K540" s="104">
        <v>1063</v>
      </c>
      <c r="L540" s="164">
        <v>1454.1840000000002</v>
      </c>
      <c r="M540" s="177">
        <v>0</v>
      </c>
      <c r="N540" s="164">
        <v>1454.1840000000002</v>
      </c>
      <c r="O540" s="164">
        <v>0</v>
      </c>
      <c r="P540" s="177">
        <v>0</v>
      </c>
      <c r="Q540" s="116">
        <v>416</v>
      </c>
      <c r="R540" s="116">
        <v>0</v>
      </c>
      <c r="S540" s="116">
        <v>416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11281.92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5</v>
      </c>
      <c r="L541" s="100">
        <v>1.1200000000000001</v>
      </c>
      <c r="M541" s="10">
        <v>0</v>
      </c>
      <c r="N541" s="100">
        <v>1.1200000000000001</v>
      </c>
      <c r="O541" s="164">
        <v>0</v>
      </c>
      <c r="P541" s="177">
        <v>0</v>
      </c>
      <c r="Q541" s="6">
        <v>8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88">
        <v>1083253</v>
      </c>
      <c r="G542" s="189" t="s">
        <v>780</v>
      </c>
      <c r="H542" s="176">
        <v>0</v>
      </c>
      <c r="I542" s="129">
        <v>0</v>
      </c>
      <c r="J542" s="9">
        <v>0</v>
      </c>
      <c r="K542" s="9">
        <v>2328</v>
      </c>
      <c r="L542" s="100">
        <v>619.24800000000005</v>
      </c>
      <c r="M542" s="10">
        <v>0</v>
      </c>
      <c r="N542" s="100">
        <v>619.24800000000005</v>
      </c>
      <c r="O542" s="164">
        <v>0</v>
      </c>
      <c r="P542" s="177">
        <v>0</v>
      </c>
      <c r="Q542" s="6">
        <v>5595</v>
      </c>
      <c r="R542" s="6">
        <v>72</v>
      </c>
      <c r="S542" s="6">
        <v>5523</v>
      </c>
      <c r="T542" s="6">
        <v>0</v>
      </c>
      <c r="U542" s="6">
        <v>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51880.780000000006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540</v>
      </c>
      <c r="L543" s="100">
        <v>34.56</v>
      </c>
      <c r="M543" s="10">
        <v>0</v>
      </c>
      <c r="N543" s="100">
        <v>34.56</v>
      </c>
      <c r="O543" s="164">
        <v>0</v>
      </c>
      <c r="P543" s="177">
        <v>0</v>
      </c>
      <c r="Q543" s="6">
        <v>222</v>
      </c>
      <c r="R543" s="6">
        <v>0</v>
      </c>
      <c r="S543" s="6">
        <v>222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490.62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205</v>
      </c>
      <c r="L544" s="100">
        <v>32.799999999999997</v>
      </c>
      <c r="M544" s="10">
        <v>0</v>
      </c>
      <c r="N544" s="100">
        <v>32.799999999999997</v>
      </c>
      <c r="O544" s="164">
        <v>0</v>
      </c>
      <c r="P544" s="177">
        <v>0</v>
      </c>
      <c r="Q544" s="6">
        <v>12574</v>
      </c>
      <c r="R544" s="6">
        <v>0</v>
      </c>
      <c r="S544" s="6">
        <v>12535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43245.75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835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172"/>
  </conditionalFormatting>
  <conditionalFormatting sqref="F18">
    <cfRule type="duplicateValues" dxfId="125" priority="400"/>
  </conditionalFormatting>
  <conditionalFormatting sqref="M18:O18">
    <cfRule type="expression" dxfId="97" priority="306" stopIfTrue="1">
      <formula>"g4&gt;1"</formula>
    </cfRule>
  </conditionalFormatting>
  <conditionalFormatting sqref="P18">
    <cfRule type="expression" dxfId="96" priority="305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F609D9FD-1A46-4AC1-B563-A741C31CD9E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0A451A67-8228-47B3-BC45-8A2F82FCB88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171F57D7-5AC0-4B3B-9A63-51920EA34A8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2026-04-13T15:44:50Z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