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502E87B7-CC61-423A-988A-974E8A7B8B2E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<sst xmlns="http://schemas.openxmlformats.org/spreadsheetml/2006/main" count="4549" uniqueCount="870">
  <si>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</si>
  <si>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</si>
  <si>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</si>
  <si>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</si>
  <si>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</si>
  <si>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</si>
  <si>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</si>
  <si>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</si>
  <si>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</si>
  <si>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</si>
  <si>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</si>
  <si>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</si>
  <si>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</si>
  <si>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</si>
  <si>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</si>
  <si>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</si>
  <si>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</si>
  <si>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</si>
  <si>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</si>
  <si>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</si>
  <si>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</si>
  <si>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</si>
  <si>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</si>
  <si>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</si>
  <si>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</si>
  <si>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</si>
  <si>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</si>
  <si>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</si>
  <si>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</si>
  <si>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</si>
  <si>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</si>
  <si>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</si>
  <si>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</si>
  <si>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</si>
  <si>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</si>
  <si>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</si>
  <si>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</si>
  <si>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</si>
  <si>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</si>
  <si>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</si>
  <si>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</si>
  <si>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</si>
  <si>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</si>
  <si>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</si>
  <si>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</si>
  <si>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</si>
  <si>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</si>
  <si>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</si>
  <si>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</si>
  <si>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</si>
  <si>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</si>
  <si>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</si>
  <si>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</si>
  <si>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</si>
  <si>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</si>
  <si>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</si>
  <si>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</si>
  <si>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</si>
  <si>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</si>
  <si>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</si>
  <si>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</si>
  <si>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</si>
  <si>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</si>
  <si>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</si>
  <si>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</si>
  <si>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</si>
  <si>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</si>
  <si>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</si>
  <si>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</si>
  <si>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</si>
  <si>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</si>
  <si>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</si>
  <si>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</si>
  <si>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</si>
  <si>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</si>
  <si>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</si>
  <si>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</si>
  <si>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</si>
  <si>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</si>
  <si>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</si>
  <si>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</si>
  <si>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</si>
  <si>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</si>
  <si>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</si>
  <si>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</si>
  <si>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</si>
  <si>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</si>
  <si>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</si>
  <si>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</si>
  <si>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</si>
  <si>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</si>
  <si>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</si>
  <si>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</si>
  <si>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</si>
  <si>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</si>
  <si>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</si>
  <si>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</si>
  <si>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</si>
  <si>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</si>
  <si>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</si>
  <si>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</si>
  <si>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</si>
  <si>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</si>
  <si>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</si>
  <si>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</si>
  <si>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</si>
  <si>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</si>
  <si>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</si>
  <si>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</si>
  <si>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</si>
  <si>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</si>
  <si>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</si>
  <si>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</si>
  <si>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</si>
  <si>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</si>
  <si>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</si>
  <si>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</si>
  <si>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</si>
  <si>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</si>
  <si>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</si>
  <si>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</si>
  <si>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</si>
  <si>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</si>
  <si>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</si>
  <si>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</si>
  <si>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</si>
  <si>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</si>
  <si>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</si>
  <si>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</si>
  <si>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</si>
  <si>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</si>
  <si>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</si>
  <si>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</si>
  <si>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</si>
  <si>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</si>
  <si>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</si>
  <si>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</si>
  <si>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</si>
  <si>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</si>
  <si>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</si>
  <si>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</si>
  <si>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</si>
  <si>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</si>
  <si>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</si>
  <si>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</si>
  <si>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</si>
  <si>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</si>
  <si>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</si>
  <si>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</si>
  <si>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</si>
  <si>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</si>
  <si>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</si>
  <si>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</si>
  <si>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</si>
  <si>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</si>
  <si>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</si>
  <si>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</si>
  <si>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</si>
  <si>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</si>
  <si>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</si>
  <si>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</si>
  <si>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</si>
  <si>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</si>
  <si>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</si>
  <si>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</si>
  <si>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</si>
  <si>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</si>
  <si>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</si>
  <si>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</si>
  <si>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</si>
  <si>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</si>
  <si>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</si>
  <si>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</si>
  <si>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</si>
  <si>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</si>
  <si>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</si>
  <si>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</si>
  <si>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</si>
  <si>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</si>
  <si>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</si>
  <si>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</si>
  <si>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</si>
  <si>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</si>
  <si>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</si>
  <si>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</si>
  <si>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</si>
  <si>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</si>
  <si>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</si>
  <si>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</si>
  <si>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</si>
  <si>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</si>
  <si>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</si>
  <si>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</si>
  <si>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</si>
  <si>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</si>
  <si>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</si>
  <si>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</si>
  <si>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</si>
  <si>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</si>
  <si>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</si>
  <si>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</si>
  <si>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</si>
  <si>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</si>
  <si>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</si>
  <si>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</si>
  <si>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</si>
  <si>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</si>
  <si>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</si>
  <si>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</si>
  <si>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</si>
  <si>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</si>
  <si>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</si>
  <si>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</si>
  <si>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</si>
  <si>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</si>
  <si>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</si>
  <si>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</si>
  <si>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</si>
  <si>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</si>
  <si>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</si>
  <si>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</si>
  <si>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</si>
  <si>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</si>
  <si>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</si>
  <si>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</si>
  <si>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</si>
  <si>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</si>
  <si>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</si>
  <si>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</si>
  <si>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</si>
  <si>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</si>
  <si>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</si>
  <si>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</si>
  <si>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</si>
  <si>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</si>
  <si>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</si>
  <si>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</si>
  <si>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</si>
  <si>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</si>
  <si>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</si>
  <si>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</si>
  <si>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</si>
  <si>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</si>
  <si>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</si>
  <si>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</si>
  <si>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</si>
  <si>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</si>
  <si>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</si>
  <si>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</si>
  <si>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</si>
  <si>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</si>
  <si>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</si>
  <si>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</si>
  <si>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</si>
  <si>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</si>
  <si>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</si>
  <si>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</si>
  <si>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</si>
  <si>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</si>
  <si>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</si>
  <si>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</si>
  <si>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</si>
  <si>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</si>
  <si>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</si>
  <si>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</si>
  <si>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</si>
  <si>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</si>
  <si>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</si>
  <si>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</si>
  <si>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</si>
  <si>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</si>
  <si>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</si>
  <si>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</si>
  <si>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</si>
  <si>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</si>
  <si>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</si>
  <si>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</si>
  <si>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</si>
  <si>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</si>
  <si>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</si>
  <si>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</si>
  <si>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</si>
  <si>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</si>
  <si>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</si>
  <si>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</si>
  <si>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</si>
  <si>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</si>
  <si>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</si>
  <si>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</si>
  <si>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</si>
  <si>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</si>
  <si>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</si>
  <si>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</si>
  <si>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</si>
  <si>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</si>
  <si>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</si>
  <si>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</si>
  <si>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</si>
  <si>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</si>
  <si>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</si>
  <si>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</si>
  <si>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</si>
  <si>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</si>
  <si>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</si>
  <si>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</si>
  <si>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</si>
  <si>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</si>
  <si>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</si>
  <si>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</si>
  <si>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</si>
  <si>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</si>
  <si>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</si>
  <si>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</si>
  <si>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</si>
  <si>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</si>
  <si>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</si>
  <si>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</si>
  <si>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</si>
  <si>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</si>
  <si>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</si>
  <si>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</si>
  <si>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</si>
  <si>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</si>
  <si>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</si>
  <si>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</si>
  <si>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</si>
  <si>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</si>
  <si>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</si>
  <si>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</si>
  <si>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</si>
  <si>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</si>
  <si>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</si>
  <si>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</si>
  <si>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</si>
  <si>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</si>
  <si>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</si>
  <si>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</si>
  <si>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</si>
  <si>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</si>
  <si>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</si>
  <si>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</si>
  <si>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</si>
  <si>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</si>
  <si>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</si>
  <si>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</si>
  <si>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</si>
  <si>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</si>
  <si>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</si>
  <si>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</si>
  <si>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</si>
  <si>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</si>
  <si>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</si>
  <si>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</si>
  <si>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</si>
  <si>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</si>
  <si>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</si>
  <si>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</si>
  <si>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</si>
  <si>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</si>
  <si>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</si>
  <si>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</si>
  <si>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</si>
  <si>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</si>
  <si>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</si>
  <si>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</si>
  <si>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</si>
  <si>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</si>
  <si>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</si>
  <si>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</si>
  <si>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</si>
  <si>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</si>
  <si>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</si>
  <si>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</si>
  <si>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</si>
  <si>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</si>
  <si>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</si>
  <si>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</si>
  <si>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</si>
  <si>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</si>
  <si>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</si>
  <si>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</si>
  <si>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</si>
  <si>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</si>
  <si>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</si>
  <si>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</si>
  <si>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</si>
  <si>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</si>
  <si>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</si>
  <si>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</si>
  <si>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</si>
  <si>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</si>
  <si>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</si>
  <si>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</si>
  <si>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</si>
  <si>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</si>
  <si>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</si>
  <si>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</si>
  <si>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</si>
  <si>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</si>
  <si>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</si>
  <si>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</si>
  <si>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</si>
  <si>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</si>
  <si>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</si>
  <si>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</si>
  <si>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</si>
  <si>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</si>
  <si>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</si>
  <si>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</si>
  <si>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</si>
  <si>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</si>
  <si>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</si>
  <si>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</si>
  <si>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</si>
  <si>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</si>
  <si>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</si>
  <si>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</si>
  <si>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</si>
  <si>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</si>
  <si>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</si>
  <si>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</si>
  <si>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</si>
  <si>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</si>
  <si>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</si>
  <si>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</si>
  <si>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</si>
  <si>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</si>
  <si>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</si>
  <si>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</si>
  <si>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</si>
  <si>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</si>
  <si>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</si>
  <si>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</si>
  <si>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</si>
  <si>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</si>
  <si>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</si>
  <si>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</si>
  <si>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</si>
  <si>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</si>
  <si>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</si>
  <si>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</si>
  <si>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</si>
  <si>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</si>
  <si>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</si>
  <si>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</si>
  <si>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</si>
  <si>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</si>
  <si>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</si>
  <si>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</si>
  <si>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</si>
  <si>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</si>
  <si>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</si>
  <si>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</si>
  <si>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</si>
  <si>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</si>
  <si>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</si>
  <si>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</si>
  <si>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</si>
  <si>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</si>
  <si>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</si>
  <si>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</si>
  <si>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</si>
  <si>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</si>
  <si>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</si>
  <si>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</si>
  <si>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</si>
  <si>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</si>
  <si>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</si>
  <si>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</si>
  <si>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</si>
  <si>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</si>
  <si>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</si>
  <si>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</si>
  <si>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</si>
  <si>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</si>
  <si>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</si>
  <si>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</si>
  <si>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</si>
  <si>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</si>
  <si>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</si>
  <si>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</si>
  <si>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</si>
  <si>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</si>
  <si>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</si>
  <si>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</si>
  <si>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</si>
  <si>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</si>
  <si>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</si>
  <si>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</si>
  <si>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</si>
  <si>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</si>
  <si>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</si>
  <si>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</si>
  <si>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</si>
  <si>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</si>
  <si>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</si>
  <si>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</si>
  <si>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</si>
  <si>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</si>
  <si>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</si>
  <si>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</si>
  <si>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</si>
  <si>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</si>
  <si>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</si>
  <si>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</si>
  <si>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</si>
  <si>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</si>
  <si>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</si>
  <si>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</si>
  <si>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</si>
  <si>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</si>
  <si>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</si>
  <si>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</si>
  <si>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</si>
  <si>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</si>
  <si>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</si>
  <si>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</si>
  <si>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</si>
  <si>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</si>
  <si>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</si>
  <si>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</si>
  <si>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</si>
  <si>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</si>
  <si>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</si>
  <si>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</si>
  <si>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</si>
  <si>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</si>
  <si>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</si>
  <si>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</si>
  <si>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</si>
  <si>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</si>
  <si>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</si>
  <si>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</si>
  <si>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</si>
  <si>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</si>
  <si>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</si>
  <si>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</si>
  <si>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</si>
  <si>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</si>
  <si>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</si>
  <si>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</si>
  <si>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</si>
  <si>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</si>
  <si>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</si>
  <si>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</si>
  <si>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</si>
  <si>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</si>
  <si>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</si>
  <si>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</si>
  <si>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</si>
  <si>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</si>
  <si>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</si>
  <si>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</si>
  <si>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</si>
  <si>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</si>
  <si>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</si>
  <si>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</si>
  <si>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</si>
  <si>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</si>
  <si>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</si>
  <si>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</si>
  <si>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</si>
  <si>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</si>
  <si>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</si>
  <si>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</si>
  <si>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</si>
  <si>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</si>
  <si>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</si>
  <si>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</si>
  <si>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</si>
  <si>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</si>
  <si>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</si>
  <si>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</si>
  <si>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</si>
  <si>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</si>
  <si>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</si>
  <si>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</si>
  <si>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</si>
  <si>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</si>
  <si>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</si>
  <si>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</si>
  <si>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</si>
  <si>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</si>
  <si>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</si>
  <si>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</si>
  <si>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</si>
  <si>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</si>
  <si>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</si>
  <si>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</si>
  <si>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</si>
  <si>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</si>
  <si>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</si>
  <si>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</si>
  <si>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</si>
  <si>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</si>
  <si>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</si>
  <si>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</si>
  <si>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</si>
  <si>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</si>
  <si>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</si>
  <si>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</si>
  <si>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</si>
  <si>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</si>
  <si>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</si>
  <si>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</si>
  <si>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</si>
  <si>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</si>
  <si>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</si>
  <si>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</si>
  <si>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</si>
  <si>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</si>
  <si>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</si>
  <si>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</si>
  <si>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</si>
  <si>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</si>
  <si>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</si>
  <si>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</si>
  <si>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</si>
  <si>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</si>
  <si>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</si>
  <si>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</si>
  <si>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</si>
  <si>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</si>
  <si>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</si>
  <si>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</si>
  <si>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</si>
  <si>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</si>
  <si>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</si>
  <si>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</si>
  <si>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</si>
  <si>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</si>
  <si>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</si>
  <si>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</si>
  <si>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</si>
  <si>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</si>
  <si>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</si>
  <si>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</si>
  <si>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</si>
  <si>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</si>
  <si>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</si>
  <si>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</si>
  <si>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</si>
  <si>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</si>
  <si>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</si>
  <si>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</si>
  <si>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</si>
  <si>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</si>
  <si>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</si>
  <si>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</si>
  <si>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</si>
  <si>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</si>
  <si>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</si>
  <si>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</si>
  <si>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</si>
  <si>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</si>
  <si>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</si>
  <si>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</si>
  <si>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</si>
  <si>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</si>
  <si>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</si>
  <si>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</si>
  <si>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</si>
  <si>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</si>
  <si>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</si>
  <si>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</si>
  <si>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</si>
  <si>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</si>
  <si>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</si>
  <si>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</si>
  <si>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</si>
  <si>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</si>
  <si>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</si>
  <si>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</si>
  <si>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</si>
  <si>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</si>
  <si>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</si>
  <si>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</si>
  <si>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</si>
  <si>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</si>
  <si>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</si>
  <si>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</si>
  <si>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</si>
  <si>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</si>
  <si>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</si>
  <si>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</si>
  <si>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</si>
  <si>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</si>
  <si>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</si>
  <si>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</si>
  <si>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</si>
  <si>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</si>
  <si>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</si>
  <si>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</si>
  <si>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</si>
  <si>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</si>
  <si>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</si>
  <si>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</si>
  <si>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</si>
  <si>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</si>
  <si>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</si>
  <si>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</si>
  <si>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</si>
  <si>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</si>
  <si>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</si>
  <si>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</si>
  <si>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</si>
  <si>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</si>
  <si>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</si>
  <si>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</si>
  <si>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</si>
  <si>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</si>
  <si>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</si>
  <si>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</si>
  <si>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</si>
  <si>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</si>
  <si>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</si>
  <si>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</si>
  <si>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</si>
  <si>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</si>
  <si>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</si>
  <si>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</si>
  <si>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</si>
  <si>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</si>
  <si>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</si>
  <si>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</si>
  <si>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</si>
  <si>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</si>
  <si>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</si>
  <si>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</si>
  <si>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</si>
  <si>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</si>
  <si>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</si>
  <si>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</si>
  <si>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</si>
  <si>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</si>
  <si>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</si>
  <si>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</si>
  <si>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</si>
  <si>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</si>
  <si>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</si>
  <si>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</si>
  <si>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</si>
  <si>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</si>
  <si>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</si>
  <si>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</si>
  <si>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</si>
  <si>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</si>
  <si>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</si>
  <si>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</si>
  <si>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</si>
  <si>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</si>
  <si>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</si>
  <si>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</si>
  <si>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</si>
  <si>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</si>
  <si>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</si>
  <si>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</si>
  <si>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</si>
  <si>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</si>
  <si>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</si>
  <si>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</si>
  <si>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</si>
  <si>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</si>
  <si>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</si>
  <si>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</si>
  <si>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</si>
  <si>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</si>
  <si>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</si>
  <si>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</si>
  <si>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</si>
  <si>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</si>
  <si>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</si>
  <si>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</si>
  <si>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</si>
  <si>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</si>
  <si>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</si>
  <si>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</si>
  <si>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</si>
  <si>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</si>
  <si>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</si>
  <si>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</si>
  <si>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</si>
  <si>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</si>
  <si>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</si>
  <si>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</si>
  <si>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</si>
  <si>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</si>
  <si>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</si>
  <si>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</si>
  <si>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</si>
  <si>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</si>
  <si>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</si>
  <si>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</si>
  <si>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</si>
  <si>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</si>
  <si>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</si>
  <si>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</si>
  <si>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</si>
  <si>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</si>
  <si>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</si>
  <si>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</si>
  <si>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</si>
  <si>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</si>
  <si>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</si>
  <si>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</si>
  <si>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</si>
  <si>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</si>
  <si>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</si>
  <si>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</si>
  <si>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</si>
  <si>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</si>
  <si>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</si>
  <si>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</si>
  <si>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</si>
  <si>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</si>
  <si>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</si>
  <si>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</si>
  <si>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</si>
  <si>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</si>
  <si>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</si>
  <si>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</si>
  <si>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</si>
  <si>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</si>
  <si>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</si>
  <si>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</si>
  <si>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</si>
  <si>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</si>
  <si>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</si>
  <si>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</si>
  <si>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</si>
  <si>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</si>
  <si>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</si>
  <si>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</si>
  <si>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</si>
  <si>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</si>
  <si>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</si>
  <si>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</si>
  <si>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</si>
  <si>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</si>
  <si>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</si>
  <si>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</si>
  <si>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</si>
  <si>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</si>
  <si>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</si>
  <si>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</si>
  <si>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</si>
  <si>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</si>
  <si>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</si>
  <si>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Existirá ingreso de 20,556 und que brinda cobertura de 61 dias e ingresará el 21.05</t>
  </si>
  <si>
    <t>Exisirá ingreso de 18616und que brinda una cobertura de 19 dias - ingreso estimado el 27.05</t>
  </si>
  <si>
    <t>Esta demanda se ha asignado para otro cliente para el mes de Junio</t>
  </si>
  <si>
    <t>Se coordinó con calidad para su liberación y ya se encuentra disponible en CEDI - Cobertura de 19 días</t>
  </si>
  <si>
    <t>Posible ingreso 15.06 al CEDI</t>
  </si>
  <si>
    <t>Posible ingreso 05.06 al CEDI - 33080 und - CME2-9605</t>
  </si>
  <si>
    <t>Posible ingreso entre 08.06 - 12.06  -  19416und  -  CHE33181</t>
  </si>
  <si>
    <t>Posible ingreso 04.06 al CEDI - 95520 und</t>
  </si>
  <si>
    <t>Posible ingreso 02.06 a CEDI - 1920und que brinda una cobertura de 2 días</t>
  </si>
  <si>
    <t>Posible ingreso 10.06 al CEDI - 40518 und -  CHE3-3183</t>
  </si>
  <si>
    <t>Existirá ingreso de 20032 und que brinda una cobertura de 32 días e ingresará entre el 01.06</t>
  </si>
  <si>
    <t>Existirá ingreso de 14363 und que brinda una cobertura de 22 días e ingresará entre el 01.06 - 0.06</t>
  </si>
  <si>
    <t>Existirá ingreso de 9,955 und que brinda una cobertura de 13 días e ingresará entre el 01.06 - 0.06</t>
  </si>
  <si>
    <t>En proceso de desontinuacion - Cambio de gramaje a 40g</t>
  </si>
  <si>
    <t xml:space="preserve">Fecha estimada de llegada 04.06 - 4000und </t>
  </si>
  <si>
    <t>En proceso de desontinuacion</t>
  </si>
  <si>
    <t>Se desbloquea 20624und de CEDI el 26.05</t>
  </si>
  <si>
    <t>En produccion 177und para semana 24</t>
  </si>
  <si>
    <t>Producto sin PVO</t>
  </si>
  <si>
    <t>En produccion 5000und para seman 23</t>
  </si>
  <si>
    <t>Pasab.GRANUTS kraks orie 8Plex12x40gPE</t>
  </si>
  <si>
    <t>Glina.MontblancAveSurt12Estx12un EF 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</si>
</sst>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4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0" fontId="6" fillId="13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2"/>
      <tableStyleElement type="headerRow" dxfId="171"/>
      <tableStyleElement type="totalRow" dxfId="170"/>
      <tableStyleElement type="firstRowStripe" dxfId="169"/>
      <tableStyleElement type="firstColumnStripe" dxfId="168"/>
      <tableStyleElement type="firstHeaderCell" dxfId="167"/>
      <tableStyleElement type="firstSubtotalRow" dxfId="166"/>
      <tableStyleElement type="secondSubtotalRow" dxfId="165"/>
      <tableStyleElement type="firstColumnSubheading" dxfId="164"/>
      <tableStyleElement type="firstRowSubheading" dxfId="163"/>
      <tableStyleElement type="secondRowSubheading" dxfId="162"/>
      <tableStyleElement type="pageFieldLabels" dxfId="161"/>
      <tableStyleElement type="pageFieldValues" dxfId="160"/>
    </tableStyle>
    <tableStyle name="PivotStyleMedium6 3" table="0" count="13" xr9:uid="{00000000-0011-0000-FFFF-FFFF01000000}">
      <tableStyleElement type="wholeTable" dxfId="159"/>
      <tableStyleElement type="headerRow" dxfId="158"/>
      <tableStyleElement type="totalRow" dxfId="157"/>
      <tableStyleElement type="firstRowStripe" dxfId="156"/>
      <tableStyleElement type="firstColumnStripe" dxfId="155"/>
      <tableStyleElement type="firstHeaderCell" dxfId="154"/>
      <tableStyleElement type="firstSubtotalRow" dxfId="153"/>
      <tableStyleElement type="secondSubtotalRow" dxfId="152"/>
      <tableStyleElement type="firstColumnSubheading" dxfId="151"/>
      <tableStyleElement type="firstRowSubheading" dxfId="150"/>
      <tableStyleElement type="secondRowSubheading" dxfId="149"/>
      <tableStyleElement type="pageFieldLabels" dxfId="148"/>
      <tableStyleElement type="pageFieldValues" dxfId="14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4" dataDxfId="142" headerRowBorderDxfId="143" tableBorderDxfId="141" totalsRowBorderDxfId="140">
  <autoFilter ref="B2:L222" xr:uid="{00000000-0009-0000-0100-000006000000}"/>
  <tableColumns count="11">
    <tableColumn id="1" xr3:uid="{00000000-0010-0000-0100-000001000000}" name="CÓDIGO" dataDxfId="139"/>
    <tableColumn id="2" xr3:uid="{00000000-0010-0000-0100-000002000000}" name="DESCRIPCIÓN" dataDxfId="138"/>
    <tableColumn id="11" xr3:uid="{00000000-0010-0000-0100-00000B000000}" name="ORIGEN" dataDxfId="137"/>
    <tableColumn id="10" xr3:uid="{00000000-0010-0000-0100-00000A000000}" name="CATEGORÍA" dataDxfId="136"/>
    <tableColumn id="3" xr3:uid="{00000000-0010-0000-0100-000003000000}" name="Tiempo de Vida" dataDxfId="135"/>
    <tableColumn id="4" xr3:uid="{00000000-0010-0000-0100-000004000000}" name="Tottus" dataDxfId="134">
      <calculatedColumnFormula>IF(F3&lt;=210,F3*0.6,IF(F3&lt;=365,120,IF(F3&lt;=3600,150)))</calculatedColumnFormula>
    </tableColumn>
    <tableColumn id="5" xr3:uid="{00000000-0010-0000-0100-000005000000}" name="Cencosud" dataDxfId="133"/>
    <tableColumn id="6" xr3:uid="{00000000-0010-0000-0100-000006000000}" name="Tambo" dataDxfId="132"/>
    <tableColumn id="7" xr3:uid="{00000000-0010-0000-0100-000007000000}" name="Oxxo" dataDxfId="131"/>
    <tableColumn id="8" xr3:uid="{00000000-0010-0000-0100-000008000000}" name="SPSA / MAKRO" dataDxfId="130">
      <calculatedColumnFormula>ROUNDDOWN(F3/3,0)-1</calculatedColumnFormula>
    </tableColumn>
    <tableColumn id="9" xr3:uid="{00000000-0010-0000-0100-000009000000}" name="Canal Tradicional / Otros" dataDxfId="12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6" dataDxfId="0" tableBorderDxfId="145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8" priority="2"/>
  </conditionalFormatting>
  <conditionalFormatting sqref="B3:B22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6" priority="2"/>
  </conditionalFormatting>
  <conditionalFormatting sqref="D2">
    <cfRule type="duplicateValues" dxfId="12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E13" sqref="E13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81" t="s">
        <v>341</v>
      </c>
      <c r="C2" s="182"/>
      <c r="D2" s="182"/>
      <c r="E2" s="182"/>
      <c r="F2" s="182"/>
      <c r="G2" s="185">
        <v>46174</v>
      </c>
    </row>
    <row r="3" spans="1:62" ht="13.5" customHeight="1" thickBot="1" x14ac:dyDescent="0.4">
      <c r="A3" s="108"/>
      <c r="B3" s="183"/>
      <c r="C3" s="184"/>
      <c r="D3" s="184"/>
      <c r="E3" s="184"/>
      <c r="F3" s="184"/>
      <c r="G3" s="186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87" t="s">
        <v>342</v>
      </c>
      <c r="R17" s="188"/>
      <c r="S17" s="189"/>
      <c r="T17" s="187" t="s">
        <v>497</v>
      </c>
      <c r="U17" s="188"/>
      <c r="V17" s="188"/>
      <c r="W17" s="188"/>
      <c r="X17" s="25"/>
      <c r="Y17" s="25"/>
      <c r="Z17" s="23"/>
      <c r="AA17" s="23"/>
      <c r="AB17" s="23"/>
      <c r="AC17" s="180" t="s">
        <v>331</v>
      </c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  <c r="AT17" s="180"/>
      <c r="AU17" s="180"/>
      <c r="AV17" s="180"/>
      <c r="AW17" s="180"/>
      <c r="AX17" s="180"/>
      <c r="AY17" s="180"/>
      <c r="AZ17" s="180"/>
      <c r="BA17" s="180"/>
      <c r="BB17" s="180"/>
      <c r="BC17" s="180"/>
      <c r="BD17" s="180"/>
      <c r="BE17" s="180"/>
      <c r="BF17" s="180"/>
      <c r="BG17" s="180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7927</v>
      </c>
      <c r="AA19" s="112">
        <v>69678.33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0" t="s">
        <v>1</v>
      </c>
      <c r="BJ19" s="191" t="s">
        <v>850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60">
        <v>1080732</v>
      </c>
      <c r="G20" s="165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2" t="s">
        <v>1</v>
      </c>
      <c r="BJ20" s="179" t="s">
        <v>852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60">
        <v>1080731</v>
      </c>
      <c r="G21" s="165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2" t="s">
        <v>1</v>
      </c>
      <c r="BJ21" s="178" t="s">
        <v>852</v>
      </c>
    </row>
    <row r="22" spans="1:62" ht="12.75" customHeight="1" x14ac:dyDescent="0.35">
      <c r="A22" s="108"/>
      <c r="B22" s="124" t="s">
        <v>1</v>
      </c>
      <c r="C22" s="5" t="s">
        <v>24</v>
      </c>
      <c r="D22" s="5" t="s">
        <v>316</v>
      </c>
      <c r="E22" s="5" t="s">
        <v>400</v>
      </c>
      <c r="F22" s="56">
        <v>1024998</v>
      </c>
      <c r="G22" s="65" t="s">
        <v>321</v>
      </c>
      <c r="H22" s="137">
        <v>18865.680496979105</v>
      </c>
      <c r="I22" s="137">
        <v>8017.9142112161189</v>
      </c>
      <c r="J22" s="123">
        <v>0</v>
      </c>
      <c r="K22" s="123">
        <v>0</v>
      </c>
      <c r="L22" s="128">
        <v>0</v>
      </c>
      <c r="M22" s="121">
        <v>0</v>
      </c>
      <c r="N22" s="128">
        <v>8017.9142112161189</v>
      </c>
      <c r="O22" s="128">
        <v>0</v>
      </c>
      <c r="P22" s="121">
        <v>0.54468628120032114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18865.680496979108</v>
      </c>
      <c r="Y22" s="123">
        <v>0</v>
      </c>
      <c r="Z22" s="123">
        <v>18865.680496979105</v>
      </c>
      <c r="AA22" s="112">
        <v>174130.23</v>
      </c>
      <c r="AB22" s="112">
        <v>0</v>
      </c>
      <c r="AC22" s="8">
        <v>0</v>
      </c>
      <c r="AD22" s="66"/>
      <c r="AE22" s="66">
        <v>9.9603550295857985</v>
      </c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0" t="s">
        <v>1</v>
      </c>
      <c r="BJ22" s="178" t="s">
        <v>853</v>
      </c>
    </row>
    <row r="23" spans="1:62" ht="12.75" customHeight="1" x14ac:dyDescent="0.35">
      <c r="A23" s="108"/>
      <c r="B23" s="124" t="s">
        <v>1</v>
      </c>
      <c r="C23" s="5" t="s">
        <v>2</v>
      </c>
      <c r="D23" s="5" t="s">
        <v>310</v>
      </c>
      <c r="E23" s="5" t="s">
        <v>311</v>
      </c>
      <c r="F23" s="5">
        <v>1078887</v>
      </c>
      <c r="G23" s="7" t="s">
        <v>721</v>
      </c>
      <c r="H23" s="137">
        <v>12801.994543399411</v>
      </c>
      <c r="I23" s="137">
        <v>1280.1994543399412</v>
      </c>
      <c r="J23" s="123">
        <v>0</v>
      </c>
      <c r="K23" s="123">
        <v>0</v>
      </c>
      <c r="L23" s="128">
        <v>0</v>
      </c>
      <c r="M23" s="121">
        <v>0</v>
      </c>
      <c r="N23" s="128">
        <v>1280.1994543399412</v>
      </c>
      <c r="O23" s="128">
        <v>0</v>
      </c>
      <c r="P23" s="121">
        <v>0.27841121495327104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1289</v>
      </c>
      <c r="X23" s="123">
        <v>12801.994543399411</v>
      </c>
      <c r="Y23" s="123">
        <v>0</v>
      </c>
      <c r="Z23" s="123">
        <v>12801.994543399411</v>
      </c>
      <c r="AA23" s="112">
        <v>27908.35</v>
      </c>
      <c r="AB23" s="112">
        <v>2810.02</v>
      </c>
      <c r="AC23" s="8">
        <v>0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0" t="s">
        <v>1</v>
      </c>
      <c r="BJ23" s="178" t="s">
        <v>854</v>
      </c>
    </row>
    <row r="24" spans="1:62" ht="12.75" customHeight="1" x14ac:dyDescent="0.35">
      <c r="A24" s="108"/>
      <c r="B24" s="124" t="s">
        <v>1</v>
      </c>
      <c r="C24" s="5" t="s">
        <v>24</v>
      </c>
      <c r="D24" s="5" t="s">
        <v>316</v>
      </c>
      <c r="E24" s="5" t="s">
        <v>400</v>
      </c>
      <c r="F24" s="5">
        <v>1024997</v>
      </c>
      <c r="G24" s="7" t="s">
        <v>62</v>
      </c>
      <c r="H24" s="137">
        <v>67432.715143916517</v>
      </c>
      <c r="I24" s="137">
        <v>14295.735610510301</v>
      </c>
      <c r="J24" s="123">
        <v>0</v>
      </c>
      <c r="K24" s="123">
        <v>0</v>
      </c>
      <c r="L24" s="128">
        <v>0</v>
      </c>
      <c r="M24" s="121">
        <v>0</v>
      </c>
      <c r="N24" s="128">
        <v>14295.735610510301</v>
      </c>
      <c r="O24" s="128">
        <v>0</v>
      </c>
      <c r="P24" s="121">
        <v>0.5803072783776595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3</v>
      </c>
      <c r="X24" s="123">
        <v>67432.715143916517</v>
      </c>
      <c r="Y24" s="123">
        <v>0</v>
      </c>
      <c r="Z24" s="123">
        <v>67432.715143916517</v>
      </c>
      <c r="AA24" s="112">
        <v>341883.87</v>
      </c>
      <c r="AB24" s="112">
        <v>15.21</v>
      </c>
      <c r="AC24" s="8">
        <v>0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2" t="s">
        <v>1</v>
      </c>
      <c r="BJ24" s="178" t="s">
        <v>855</v>
      </c>
    </row>
    <row r="25" spans="1:62" ht="12.75" customHeight="1" x14ac:dyDescent="0.35">
      <c r="A25" s="108"/>
      <c r="B25" s="124" t="s">
        <v>1</v>
      </c>
      <c r="C25" s="5" t="s">
        <v>2</v>
      </c>
      <c r="D25" s="125" t="s">
        <v>306</v>
      </c>
      <c r="E25" s="5" t="s">
        <v>401</v>
      </c>
      <c r="F25" s="5">
        <v>1075854</v>
      </c>
      <c r="G25" s="7" t="s">
        <v>689</v>
      </c>
      <c r="H25" s="137">
        <v>18441.558602648878</v>
      </c>
      <c r="I25" s="137">
        <v>6638.9610969535961</v>
      </c>
      <c r="J25" s="123">
        <v>0</v>
      </c>
      <c r="K25" s="123">
        <v>0</v>
      </c>
      <c r="L25" s="128">
        <v>0</v>
      </c>
      <c r="M25" s="121">
        <v>0</v>
      </c>
      <c r="N25" s="128">
        <v>6638.9610969535961</v>
      </c>
      <c r="O25" s="128">
        <v>16.668295504832308</v>
      </c>
      <c r="P25" s="121">
        <v>1.590882632953496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18441.558602648878</v>
      </c>
      <c r="Y25" s="123">
        <v>0</v>
      </c>
      <c r="Z25" s="123">
        <v>18441.558602648878</v>
      </c>
      <c r="AA25" s="112">
        <v>83355.839999999997</v>
      </c>
      <c r="AB25" s="112">
        <v>0</v>
      </c>
      <c r="AC25" s="8">
        <v>0</v>
      </c>
      <c r="AD25" s="67"/>
      <c r="AE25" s="66">
        <v>31.309116809116805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0" t="s">
        <v>1</v>
      </c>
      <c r="BJ25" s="193" t="s">
        <v>856</v>
      </c>
    </row>
    <row r="26" spans="1:62" ht="12.75" customHeight="1" x14ac:dyDescent="0.35">
      <c r="A26" s="108"/>
      <c r="B26" s="124" t="s">
        <v>1</v>
      </c>
      <c r="C26" s="5" t="s">
        <v>50</v>
      </c>
      <c r="D26" s="5" t="s">
        <v>320</v>
      </c>
      <c r="E26" s="5" t="s">
        <v>402</v>
      </c>
      <c r="F26" s="5">
        <v>1060796</v>
      </c>
      <c r="G26" s="7" t="s">
        <v>433</v>
      </c>
      <c r="H26" s="137">
        <v>23178.127809797661</v>
      </c>
      <c r="I26" s="137">
        <v>4172.063005763579</v>
      </c>
      <c r="J26" s="123">
        <v>0</v>
      </c>
      <c r="K26" s="123">
        <v>0</v>
      </c>
      <c r="L26" s="128">
        <v>0</v>
      </c>
      <c r="M26" s="121">
        <v>0</v>
      </c>
      <c r="N26" s="128">
        <v>4172.063005763579</v>
      </c>
      <c r="O26" s="128">
        <v>0</v>
      </c>
      <c r="P26" s="121">
        <v>0.5295441740119573</v>
      </c>
      <c r="Q26" s="5">
        <v>0</v>
      </c>
      <c r="R26" s="5">
        <v>0</v>
      </c>
      <c r="S26" s="5">
        <v>0</v>
      </c>
      <c r="T26" s="5">
        <v>0</v>
      </c>
      <c r="U26" s="5">
        <v>32</v>
      </c>
      <c r="V26" s="5">
        <v>0</v>
      </c>
      <c r="W26" s="5">
        <v>0</v>
      </c>
      <c r="X26" s="123">
        <v>23178.127809797661</v>
      </c>
      <c r="Y26" s="123">
        <v>0</v>
      </c>
      <c r="Z26" s="123">
        <v>23178.127809797661</v>
      </c>
      <c r="AA26" s="112">
        <v>158538.39000000001</v>
      </c>
      <c r="AB26" s="112">
        <v>218.88</v>
      </c>
      <c r="AC26" s="8">
        <v>0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90" t="s">
        <v>1</v>
      </c>
      <c r="BJ26" s="191" t="s">
        <v>849</v>
      </c>
    </row>
    <row r="27" spans="1:62" ht="12.75" customHeight="1" x14ac:dyDescent="0.35">
      <c r="A27" s="108"/>
      <c r="B27" s="124" t="s">
        <v>15</v>
      </c>
      <c r="C27" s="5" t="s">
        <v>5</v>
      </c>
      <c r="D27" s="5" t="s">
        <v>308</v>
      </c>
      <c r="E27" s="5" t="s">
        <v>315</v>
      </c>
      <c r="F27" s="5">
        <v>1074340</v>
      </c>
      <c r="G27" s="7" t="s">
        <v>650</v>
      </c>
      <c r="H27" s="137">
        <v>23848.832368765939</v>
      </c>
      <c r="I27" s="137">
        <v>5723.7197685038254</v>
      </c>
      <c r="J27" s="123">
        <v>0</v>
      </c>
      <c r="K27" s="123">
        <v>0</v>
      </c>
      <c r="L27" s="128">
        <v>0</v>
      </c>
      <c r="M27" s="121">
        <v>0</v>
      </c>
      <c r="N27" s="128">
        <v>5723.7197685038254</v>
      </c>
      <c r="O27" s="128">
        <v>0</v>
      </c>
      <c r="P27" s="121">
        <v>0.63128576508402157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120</v>
      </c>
      <c r="X27" s="123">
        <v>23848.832368765939</v>
      </c>
      <c r="Y27" s="123">
        <v>0</v>
      </c>
      <c r="Z27" s="123">
        <v>23848.832368765939</v>
      </c>
      <c r="AA27" s="112">
        <v>116143.81</v>
      </c>
      <c r="AB27" s="112">
        <v>584.4</v>
      </c>
      <c r="AC27" s="8">
        <v>0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2"/>
      <c r="BJ27" s="193" t="s">
        <v>860</v>
      </c>
    </row>
    <row r="28" spans="1:62" ht="12.75" customHeight="1" x14ac:dyDescent="0.35">
      <c r="A28" s="108"/>
      <c r="B28" s="124" t="s">
        <v>1</v>
      </c>
      <c r="C28" s="5" t="s">
        <v>50</v>
      </c>
      <c r="D28" s="5" t="s">
        <v>316</v>
      </c>
      <c r="E28" s="5" t="s">
        <v>408</v>
      </c>
      <c r="F28" s="5">
        <v>1060670</v>
      </c>
      <c r="G28" s="7" t="s">
        <v>518</v>
      </c>
      <c r="H28" s="137">
        <v>6000</v>
      </c>
      <c r="I28" s="137">
        <v>1500</v>
      </c>
      <c r="J28" s="123">
        <v>0</v>
      </c>
      <c r="K28" s="123">
        <v>0</v>
      </c>
      <c r="L28" s="128">
        <v>0</v>
      </c>
      <c r="M28" s="121">
        <v>0</v>
      </c>
      <c r="N28" s="128">
        <v>1500</v>
      </c>
      <c r="O28" s="128">
        <v>20.830000000000005</v>
      </c>
      <c r="P28" s="121">
        <v>1.6773983739837399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6000</v>
      </c>
      <c r="Y28" s="123">
        <v>0</v>
      </c>
      <c r="Z28" s="123">
        <v>6000</v>
      </c>
      <c r="AA28" s="112">
        <v>118320</v>
      </c>
      <c r="AB28" s="112">
        <v>0</v>
      </c>
      <c r="AC28" s="8">
        <v>0</v>
      </c>
      <c r="AD28" s="66"/>
      <c r="AE28" s="66">
        <v>14.586349534643228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0" t="s">
        <v>1</v>
      </c>
      <c r="BJ28" s="178" t="s">
        <v>862</v>
      </c>
    </row>
    <row r="29" spans="1:62" ht="12.75" customHeight="1" x14ac:dyDescent="0.35">
      <c r="A29" s="108"/>
      <c r="B29" s="124" t="s">
        <v>15</v>
      </c>
      <c r="C29" s="5" t="s">
        <v>5</v>
      </c>
      <c r="D29" s="5" t="s">
        <v>308</v>
      </c>
      <c r="E29" s="5" t="s">
        <v>315</v>
      </c>
      <c r="F29" s="5">
        <v>1074225</v>
      </c>
      <c r="G29" s="7" t="s">
        <v>632</v>
      </c>
      <c r="H29" s="137">
        <v>449.08106674991006</v>
      </c>
      <c r="I29" s="137">
        <v>336.81080006243258</v>
      </c>
      <c r="J29" s="123">
        <v>0</v>
      </c>
      <c r="K29" s="123">
        <v>0</v>
      </c>
      <c r="L29" s="128">
        <v>0</v>
      </c>
      <c r="M29" s="121">
        <v>0</v>
      </c>
      <c r="N29" s="128">
        <v>336.81080006243258</v>
      </c>
      <c r="O29" s="128">
        <v>59.657963564961122</v>
      </c>
      <c r="P29" s="121">
        <v>3.0437712425136221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449.08106674991006</v>
      </c>
      <c r="Y29" s="123">
        <v>0</v>
      </c>
      <c r="Z29" s="123">
        <v>449.08106674991006</v>
      </c>
      <c r="AA29" s="112">
        <v>3875.57</v>
      </c>
      <c r="AB29" s="112">
        <v>0</v>
      </c>
      <c r="AC29" s="8">
        <v>0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0" t="s">
        <v>1</v>
      </c>
      <c r="BJ29" s="191" t="s">
        <v>865</v>
      </c>
    </row>
    <row r="30" spans="1:62" ht="12.75" customHeight="1" x14ac:dyDescent="0.35">
      <c r="A30" s="108"/>
      <c r="B30" s="124" t="s">
        <v>1</v>
      </c>
      <c r="C30" s="5" t="s">
        <v>50</v>
      </c>
      <c r="D30" s="5" t="s">
        <v>320</v>
      </c>
      <c r="E30" s="5" t="s">
        <v>402</v>
      </c>
      <c r="F30" s="153">
        <v>1060791</v>
      </c>
      <c r="G30" s="154" t="s">
        <v>428</v>
      </c>
      <c r="H30" s="137">
        <v>3783.1938976669812</v>
      </c>
      <c r="I30" s="137">
        <v>680.97490158005655</v>
      </c>
      <c r="J30" s="123">
        <v>0</v>
      </c>
      <c r="K30" s="123">
        <v>0</v>
      </c>
      <c r="L30" s="128">
        <v>0</v>
      </c>
      <c r="M30" s="121">
        <v>0</v>
      </c>
      <c r="N30" s="128">
        <v>680.97490158005655</v>
      </c>
      <c r="O30" s="128">
        <v>13.03393664936338</v>
      </c>
      <c r="P30" s="121">
        <v>1.377304120315731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400</v>
      </c>
      <c r="X30" s="123">
        <v>3783.1938976669808</v>
      </c>
      <c r="Y30" s="123">
        <v>0</v>
      </c>
      <c r="Z30" s="123">
        <v>3783.1938976669812</v>
      </c>
      <c r="AA30" s="112">
        <v>25952.71</v>
      </c>
      <c r="AB30" s="112">
        <v>2744</v>
      </c>
      <c r="AC30" s="8">
        <v>0</v>
      </c>
      <c r="AD30" s="66"/>
      <c r="AE30" s="66">
        <v>5.2400270453008789E-2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0" t="s">
        <v>1</v>
      </c>
      <c r="BJ30" s="191" t="s">
        <v>811</v>
      </c>
    </row>
    <row r="31" spans="1:62" ht="12.75" customHeight="1" x14ac:dyDescent="0.35">
      <c r="A31" s="108"/>
      <c r="B31" s="124" t="s">
        <v>22</v>
      </c>
      <c r="C31" s="5" t="s">
        <v>5</v>
      </c>
      <c r="D31" s="5" t="s">
        <v>396</v>
      </c>
      <c r="E31" s="5" t="s">
        <v>397</v>
      </c>
      <c r="F31" s="5">
        <v>1051099</v>
      </c>
      <c r="G31" s="7" t="s">
        <v>168</v>
      </c>
      <c r="H31" s="137">
        <v>436.45933845187824</v>
      </c>
      <c r="I31" s="137">
        <v>10911.483461296955</v>
      </c>
      <c r="J31" s="123">
        <v>0</v>
      </c>
      <c r="K31" s="123">
        <v>0</v>
      </c>
      <c r="L31" s="128">
        <v>0</v>
      </c>
      <c r="M31" s="121">
        <v>0</v>
      </c>
      <c r="N31" s="128">
        <v>10911.483461296955</v>
      </c>
      <c r="O31" s="128">
        <v>19.435371036515132</v>
      </c>
      <c r="P31" s="121">
        <v>1.5721053276226058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323</v>
      </c>
      <c r="W31" s="5">
        <v>0</v>
      </c>
      <c r="X31" s="123">
        <v>436.45933845187824</v>
      </c>
      <c r="Y31" s="123">
        <v>0</v>
      </c>
      <c r="Z31" s="123">
        <v>436.45933845187824</v>
      </c>
      <c r="AA31" s="112">
        <v>191252.12</v>
      </c>
      <c r="AB31" s="112">
        <v>141535.37</v>
      </c>
      <c r="AC31" s="8">
        <v>0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2" t="s">
        <v>1</v>
      </c>
      <c r="BJ31" s="191"/>
    </row>
    <row r="32" spans="1:62" ht="12.75" customHeight="1" x14ac:dyDescent="0.35">
      <c r="A32" s="108"/>
      <c r="B32" s="124">
        <v>0</v>
      </c>
      <c r="C32" s="5" t="s">
        <v>2</v>
      </c>
      <c r="D32" s="5" t="s">
        <v>310</v>
      </c>
      <c r="E32" s="5" t="s">
        <v>311</v>
      </c>
      <c r="F32" s="194">
        <v>1080421</v>
      </c>
      <c r="G32" s="195" t="s">
        <v>868</v>
      </c>
      <c r="H32" s="137">
        <v>3827.4580062363011</v>
      </c>
      <c r="I32" s="137">
        <v>2296.4748037417808</v>
      </c>
      <c r="J32" s="123">
        <v>0</v>
      </c>
      <c r="K32" s="123">
        <v>0</v>
      </c>
      <c r="L32" s="128">
        <v>0</v>
      </c>
      <c r="M32" s="121">
        <v>0</v>
      </c>
      <c r="N32" s="128">
        <v>2296.4748037417808</v>
      </c>
      <c r="O32" s="128">
        <v>0</v>
      </c>
      <c r="P32" s="121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3">
        <v>3827.4580062363011</v>
      </c>
      <c r="Y32" s="123">
        <v>0</v>
      </c>
      <c r="Z32" s="123">
        <v>3827.4580062363011</v>
      </c>
      <c r="AA32" s="112">
        <v>24380.91</v>
      </c>
      <c r="AB32" s="112">
        <v>0</v>
      </c>
      <c r="AC32" s="8">
        <v>0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2"/>
      <c r="BJ32" s="191"/>
    </row>
    <row r="33" spans="1:62" ht="12.75" customHeight="1" x14ac:dyDescent="0.35">
      <c r="A33" s="108"/>
      <c r="B33" s="124">
        <v>0</v>
      </c>
      <c r="C33" s="5" t="s">
        <v>2</v>
      </c>
      <c r="D33" s="5" t="s">
        <v>308</v>
      </c>
      <c r="E33" s="5" t="s">
        <v>395</v>
      </c>
      <c r="F33" s="194">
        <v>1080733</v>
      </c>
      <c r="G33" s="195" t="s">
        <v>869</v>
      </c>
      <c r="H33" s="137">
        <v>1134</v>
      </c>
      <c r="I33" s="137">
        <v>107.163</v>
      </c>
      <c r="J33" s="123">
        <v>0</v>
      </c>
      <c r="K33" s="123">
        <v>0</v>
      </c>
      <c r="L33" s="128">
        <v>0</v>
      </c>
      <c r="M33" s="121">
        <v>0</v>
      </c>
      <c r="N33" s="128">
        <v>107.163</v>
      </c>
      <c r="O33" s="128">
        <v>0</v>
      </c>
      <c r="P33" s="121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123">
        <v>1134</v>
      </c>
      <c r="Y33" s="123">
        <v>0</v>
      </c>
      <c r="Z33" s="123">
        <v>1134</v>
      </c>
      <c r="AA33" s="112">
        <v>9219.42</v>
      </c>
      <c r="AB33" s="112">
        <v>0</v>
      </c>
      <c r="AC33" s="8">
        <v>0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0" t="s">
        <v>1</v>
      </c>
      <c r="BJ33" s="179"/>
    </row>
    <row r="34" spans="1:62" ht="12.75" customHeight="1" x14ac:dyDescent="0.35">
      <c r="A34" s="108"/>
      <c r="B34" s="124" t="s">
        <v>15</v>
      </c>
      <c r="C34" s="5" t="s">
        <v>5</v>
      </c>
      <c r="D34" s="5" t="s">
        <v>308</v>
      </c>
      <c r="E34" s="5" t="s">
        <v>315</v>
      </c>
      <c r="F34" s="126">
        <v>1074229</v>
      </c>
      <c r="G34" s="127" t="s">
        <v>760</v>
      </c>
      <c r="H34" s="137">
        <v>5.0000000000000002E-5</v>
      </c>
      <c r="I34" s="137">
        <v>2.4000000000000001E-5</v>
      </c>
      <c r="J34" s="123">
        <v>0</v>
      </c>
      <c r="K34" s="123">
        <v>0</v>
      </c>
      <c r="L34" s="128">
        <v>0</v>
      </c>
      <c r="M34" s="121">
        <v>0</v>
      </c>
      <c r="N34" s="128">
        <v>2.4000000000000001E-5</v>
      </c>
      <c r="O34" s="128">
        <v>0</v>
      </c>
      <c r="P34" s="121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1062</v>
      </c>
      <c r="X34" s="123">
        <v>5.0000000000000002E-5</v>
      </c>
      <c r="Y34" s="123">
        <v>0</v>
      </c>
      <c r="Z34" s="123">
        <v>5.0000000000000002E-5</v>
      </c>
      <c r="AA34" s="112">
        <v>0</v>
      </c>
      <c r="AB34" s="112">
        <v>7529.58</v>
      </c>
      <c r="AC34" s="8">
        <v>0</v>
      </c>
      <c r="AD34" s="66"/>
      <c r="AE34" s="66">
        <v>33.010210690745616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0" t="s">
        <v>1</v>
      </c>
      <c r="BJ34" s="191" t="s">
        <v>844</v>
      </c>
    </row>
    <row r="35" spans="1:62" ht="12.75" customHeight="1" x14ac:dyDescent="0.35">
      <c r="A35" s="108"/>
      <c r="B35" s="124" t="s">
        <v>1</v>
      </c>
      <c r="C35" s="5" t="s">
        <v>50</v>
      </c>
      <c r="D35" s="5" t="s">
        <v>316</v>
      </c>
      <c r="E35" s="5" t="s">
        <v>408</v>
      </c>
      <c r="F35" s="126">
        <v>1060289</v>
      </c>
      <c r="G35" s="127" t="s">
        <v>259</v>
      </c>
      <c r="H35" s="137">
        <v>4.0000000000000002E-4</v>
      </c>
      <c r="I35" s="137">
        <v>4.8000000000000001E-5</v>
      </c>
      <c r="J35" s="123">
        <v>0</v>
      </c>
      <c r="K35" s="123">
        <v>0</v>
      </c>
      <c r="L35" s="128">
        <v>0</v>
      </c>
      <c r="M35" s="121">
        <v>0</v>
      </c>
      <c r="N35" s="128">
        <v>4.8000000000000001E-5</v>
      </c>
      <c r="O35" s="128">
        <v>0</v>
      </c>
      <c r="P35" s="121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123">
        <v>4.0000000000000002E-4</v>
      </c>
      <c r="Y35" s="123">
        <v>0</v>
      </c>
      <c r="Z35" s="123">
        <v>4.0000000000000002E-4</v>
      </c>
      <c r="AA35" s="112">
        <v>0</v>
      </c>
      <c r="AB35" s="112">
        <v>0</v>
      </c>
      <c r="AC35" s="8">
        <v>0</v>
      </c>
      <c r="AD35" s="66"/>
      <c r="AE35" s="66">
        <v>45.093708609271523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0" t="s">
        <v>1</v>
      </c>
      <c r="BJ35" s="191" t="s">
        <v>844</v>
      </c>
    </row>
    <row r="36" spans="1:62" ht="12.75" customHeight="1" x14ac:dyDescent="0.35">
      <c r="A36" s="108"/>
      <c r="B36" s="124" t="s">
        <v>31</v>
      </c>
      <c r="C36" s="5" t="s">
        <v>5</v>
      </c>
      <c r="D36" s="5" t="s">
        <v>306</v>
      </c>
      <c r="E36" s="5" t="s">
        <v>307</v>
      </c>
      <c r="F36" s="5">
        <v>1071167</v>
      </c>
      <c r="G36" s="7" t="s">
        <v>599</v>
      </c>
      <c r="H36" s="137">
        <v>1E-4</v>
      </c>
      <c r="I36" s="137">
        <v>4.0000000000000003E-5</v>
      </c>
      <c r="J36" s="123">
        <v>0</v>
      </c>
      <c r="K36" s="123">
        <v>0</v>
      </c>
      <c r="L36" s="128">
        <v>0</v>
      </c>
      <c r="M36" s="121">
        <v>0</v>
      </c>
      <c r="N36" s="128">
        <v>4.0000000000000003E-5</v>
      </c>
      <c r="O36" s="128">
        <v>0</v>
      </c>
      <c r="P36" s="121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123">
        <v>1E-4</v>
      </c>
      <c r="Y36" s="123">
        <v>0</v>
      </c>
      <c r="Z36" s="123">
        <v>1E-4</v>
      </c>
      <c r="AA36" s="112">
        <v>0</v>
      </c>
      <c r="AB36" s="112">
        <v>0</v>
      </c>
      <c r="AC36" s="8">
        <v>0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2" t="s">
        <v>1</v>
      </c>
      <c r="BJ36" s="193"/>
    </row>
    <row r="37" spans="1:62" ht="12.75" customHeight="1" x14ac:dyDescent="0.35">
      <c r="A37" s="108"/>
      <c r="B37" s="124" t="s">
        <v>31</v>
      </c>
      <c r="C37" s="5" t="s">
        <v>5</v>
      </c>
      <c r="D37" s="5" t="s">
        <v>306</v>
      </c>
      <c r="E37" s="5" t="s">
        <v>307</v>
      </c>
      <c r="F37" s="5">
        <v>1056628</v>
      </c>
      <c r="G37" s="7" t="s">
        <v>222</v>
      </c>
      <c r="H37" s="137">
        <v>3.6000000000000002E-4</v>
      </c>
      <c r="I37" s="137">
        <v>1.8000000000000001E-4</v>
      </c>
      <c r="J37" s="123">
        <v>0</v>
      </c>
      <c r="K37" s="123">
        <v>0</v>
      </c>
      <c r="L37" s="128">
        <v>0</v>
      </c>
      <c r="M37" s="121">
        <v>0</v>
      </c>
      <c r="N37" s="128">
        <v>1.8000000000000001E-4</v>
      </c>
      <c r="O37" s="128">
        <v>0</v>
      </c>
      <c r="P37" s="121">
        <v>0</v>
      </c>
      <c r="Q37" s="5">
        <v>0</v>
      </c>
      <c r="R37" s="5">
        <v>0</v>
      </c>
      <c r="S37" s="5">
        <v>0</v>
      </c>
      <c r="T37" s="5">
        <v>0</v>
      </c>
      <c r="U37" s="5">
        <v>4</v>
      </c>
      <c r="V37" s="5">
        <v>0</v>
      </c>
      <c r="W37" s="5">
        <v>0</v>
      </c>
      <c r="X37" s="123">
        <v>3.6000000000000002E-4</v>
      </c>
      <c r="Y37" s="123">
        <v>0</v>
      </c>
      <c r="Z37" s="123">
        <v>3.6000000000000002E-4</v>
      </c>
      <c r="AA37" s="112">
        <v>0</v>
      </c>
      <c r="AB37" s="112">
        <v>46.72</v>
      </c>
      <c r="AC37" s="8">
        <v>0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2"/>
      <c r="BJ37" s="191"/>
    </row>
    <row r="38" spans="1:62" ht="12.75" customHeight="1" x14ac:dyDescent="0.35">
      <c r="A38" s="108"/>
      <c r="B38" s="124" t="s">
        <v>148</v>
      </c>
      <c r="C38" s="5" t="s">
        <v>5</v>
      </c>
      <c r="D38" s="5" t="s">
        <v>318</v>
      </c>
      <c r="E38" s="5" t="s">
        <v>307</v>
      </c>
      <c r="F38" s="196">
        <v>1079366</v>
      </c>
      <c r="G38" s="197" t="s">
        <v>719</v>
      </c>
      <c r="H38" s="137">
        <v>10814</v>
      </c>
      <c r="I38" s="137">
        <v>9191.9</v>
      </c>
      <c r="J38" s="123">
        <v>0</v>
      </c>
      <c r="K38" s="123">
        <v>0</v>
      </c>
      <c r="L38" s="128">
        <v>0</v>
      </c>
      <c r="M38" s="121">
        <v>0</v>
      </c>
      <c r="N38" s="128">
        <v>9191.9</v>
      </c>
      <c r="O38" s="128">
        <v>0</v>
      </c>
      <c r="P38" s="121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123">
        <v>10814</v>
      </c>
      <c r="Y38" s="123">
        <v>0</v>
      </c>
      <c r="Z38" s="123">
        <v>10814</v>
      </c>
      <c r="AA38" s="112">
        <v>95920.18</v>
      </c>
      <c r="AB38" s="112">
        <v>0</v>
      </c>
      <c r="AC38" s="8">
        <v>0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0" t="s">
        <v>1</v>
      </c>
      <c r="BJ38" s="191"/>
    </row>
    <row r="39" spans="1:62" ht="12.75" customHeight="1" x14ac:dyDescent="0.35">
      <c r="A39" s="108"/>
      <c r="B39" s="124" t="s">
        <v>148</v>
      </c>
      <c r="C39" s="5" t="s">
        <v>5</v>
      </c>
      <c r="D39" s="5" t="s">
        <v>318</v>
      </c>
      <c r="E39" s="5" t="s">
        <v>307</v>
      </c>
      <c r="F39" s="196">
        <v>1079367</v>
      </c>
      <c r="G39" s="197" t="s">
        <v>722</v>
      </c>
      <c r="H39" s="137">
        <v>6000</v>
      </c>
      <c r="I39" s="137">
        <v>3000</v>
      </c>
      <c r="J39" s="123">
        <v>0</v>
      </c>
      <c r="K39" s="123">
        <v>0</v>
      </c>
      <c r="L39" s="128">
        <v>0</v>
      </c>
      <c r="M39" s="121">
        <v>0</v>
      </c>
      <c r="N39" s="128">
        <v>3000</v>
      </c>
      <c r="O39" s="128">
        <v>0</v>
      </c>
      <c r="P39" s="121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123">
        <v>6000</v>
      </c>
      <c r="Y39" s="123">
        <v>0</v>
      </c>
      <c r="Z39" s="123">
        <v>6000</v>
      </c>
      <c r="AA39" s="112">
        <v>33540</v>
      </c>
      <c r="AB39" s="112">
        <v>0</v>
      </c>
      <c r="AC39" s="8">
        <v>0</v>
      </c>
      <c r="AD39" s="67"/>
      <c r="AE39" s="66">
        <v>14.083862448727313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0" t="s">
        <v>1</v>
      </c>
      <c r="BJ39" s="191"/>
    </row>
    <row r="40" spans="1:62" ht="12.75" customHeight="1" x14ac:dyDescent="0.35">
      <c r="A40" s="108"/>
      <c r="B40" s="124" t="s">
        <v>148</v>
      </c>
      <c r="C40" s="5" t="s">
        <v>5</v>
      </c>
      <c r="D40" s="5" t="s">
        <v>318</v>
      </c>
      <c r="E40" s="5" t="s">
        <v>307</v>
      </c>
      <c r="F40" s="130">
        <v>1072128</v>
      </c>
      <c r="G40" s="131" t="s">
        <v>738</v>
      </c>
      <c r="H40" s="137">
        <v>2577</v>
      </c>
      <c r="I40" s="137">
        <v>1288.5</v>
      </c>
      <c r="J40" s="123">
        <v>0</v>
      </c>
      <c r="K40" s="123">
        <v>0</v>
      </c>
      <c r="L40" s="128">
        <v>0</v>
      </c>
      <c r="M40" s="121">
        <v>0</v>
      </c>
      <c r="N40" s="128">
        <v>1288.5</v>
      </c>
      <c r="O40" s="128">
        <v>0</v>
      </c>
      <c r="P40" s="121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123">
        <v>2577</v>
      </c>
      <c r="Y40" s="123">
        <v>0</v>
      </c>
      <c r="Z40" s="123">
        <v>2577</v>
      </c>
      <c r="AA40" s="112">
        <v>16312.41</v>
      </c>
      <c r="AB40" s="112">
        <v>0</v>
      </c>
      <c r="AC40" s="8">
        <v>0</v>
      </c>
      <c r="AD40" s="67"/>
      <c r="AE40" s="66">
        <v>9.1331444759206786</v>
      </c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0" t="s">
        <v>1</v>
      </c>
      <c r="BJ40" s="193"/>
    </row>
    <row r="41" spans="1:62" ht="12.75" customHeight="1" x14ac:dyDescent="0.35">
      <c r="A41" s="108"/>
      <c r="B41" s="124" t="s">
        <v>148</v>
      </c>
      <c r="C41" s="5" t="s">
        <v>5</v>
      </c>
      <c r="D41" s="5" t="s">
        <v>318</v>
      </c>
      <c r="E41" s="5" t="s">
        <v>307</v>
      </c>
      <c r="F41" s="130">
        <v>1072126</v>
      </c>
      <c r="G41" s="197" t="s">
        <v>761</v>
      </c>
      <c r="H41" s="137">
        <v>19200</v>
      </c>
      <c r="I41" s="137">
        <v>15360</v>
      </c>
      <c r="J41" s="123">
        <v>0</v>
      </c>
      <c r="K41" s="123">
        <v>0</v>
      </c>
      <c r="L41" s="128">
        <v>0</v>
      </c>
      <c r="M41" s="121">
        <v>0</v>
      </c>
      <c r="N41" s="128">
        <v>15360</v>
      </c>
      <c r="O41" s="128">
        <v>0</v>
      </c>
      <c r="P41" s="121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123">
        <v>19200</v>
      </c>
      <c r="Y41" s="123">
        <v>0</v>
      </c>
      <c r="Z41" s="123">
        <v>19200</v>
      </c>
      <c r="AA41" s="112">
        <v>146688</v>
      </c>
      <c r="AB41" s="112">
        <v>0</v>
      </c>
      <c r="AC41" s="8">
        <v>0</v>
      </c>
      <c r="AD41" s="67"/>
      <c r="AE41" s="66" t="s">
        <v>574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92" t="s">
        <v>1</v>
      </c>
      <c r="BJ41" s="191"/>
    </row>
    <row r="42" spans="1:62" ht="12.75" customHeight="1" x14ac:dyDescent="0.35">
      <c r="A42" s="108"/>
      <c r="B42" s="124" t="s">
        <v>148</v>
      </c>
      <c r="C42" s="5" t="s">
        <v>5</v>
      </c>
      <c r="D42" s="5" t="s">
        <v>318</v>
      </c>
      <c r="E42" s="5" t="s">
        <v>319</v>
      </c>
      <c r="F42" s="130">
        <v>1054530</v>
      </c>
      <c r="G42" s="131" t="s">
        <v>361</v>
      </c>
      <c r="H42" s="137">
        <v>1000</v>
      </c>
      <c r="I42" s="137">
        <v>500</v>
      </c>
      <c r="J42" s="123">
        <v>0</v>
      </c>
      <c r="K42" s="123">
        <v>0</v>
      </c>
      <c r="L42" s="128">
        <v>0</v>
      </c>
      <c r="M42" s="121">
        <v>0</v>
      </c>
      <c r="N42" s="128">
        <v>500</v>
      </c>
      <c r="O42" s="128">
        <v>0</v>
      </c>
      <c r="P42" s="121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123">
        <v>1000</v>
      </c>
      <c r="Y42" s="123">
        <v>0</v>
      </c>
      <c r="Z42" s="123">
        <v>1000</v>
      </c>
      <c r="AA42" s="112">
        <v>8450</v>
      </c>
      <c r="AB42" s="112">
        <v>0</v>
      </c>
      <c r="AC42" s="8">
        <v>0</v>
      </c>
      <c r="AD42" s="66"/>
      <c r="AE42" s="66" t="s">
        <v>574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2" t="s">
        <v>1</v>
      </c>
      <c r="BJ42" s="191"/>
    </row>
    <row r="43" spans="1:62" ht="12.5" customHeight="1" x14ac:dyDescent="0.35">
      <c r="A43" s="108"/>
      <c r="B43" s="124" t="s">
        <v>31</v>
      </c>
      <c r="C43" s="5" t="s">
        <v>5</v>
      </c>
      <c r="D43" s="5" t="s">
        <v>306</v>
      </c>
      <c r="E43" s="5" t="s">
        <v>307</v>
      </c>
      <c r="F43" s="5">
        <v>1083416</v>
      </c>
      <c r="G43" s="165" t="s">
        <v>802</v>
      </c>
      <c r="H43" s="137">
        <v>48750</v>
      </c>
      <c r="I43" s="137">
        <v>4387.5</v>
      </c>
      <c r="J43" s="123">
        <v>0</v>
      </c>
      <c r="K43" s="123">
        <v>0</v>
      </c>
      <c r="L43" s="128">
        <v>0</v>
      </c>
      <c r="M43" s="121">
        <v>0</v>
      </c>
      <c r="N43" s="128">
        <v>4387.5</v>
      </c>
      <c r="O43" s="128">
        <v>0</v>
      </c>
      <c r="P43" s="121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123">
        <v>48750</v>
      </c>
      <c r="Y43" s="123">
        <v>0</v>
      </c>
      <c r="Z43" s="123">
        <v>48750</v>
      </c>
      <c r="AA43" s="112">
        <v>235462.5</v>
      </c>
      <c r="AB43" s="112">
        <v>0</v>
      </c>
      <c r="AC43" s="8">
        <v>0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2" t="s">
        <v>1</v>
      </c>
      <c r="BJ43" s="191"/>
    </row>
    <row r="44" spans="1:62" ht="12.5" customHeight="1" x14ac:dyDescent="0.35">
      <c r="A44" s="108"/>
      <c r="B44" s="124" t="s">
        <v>31</v>
      </c>
      <c r="C44" s="5" t="s">
        <v>5</v>
      </c>
      <c r="D44" s="5" t="s">
        <v>306</v>
      </c>
      <c r="E44" s="5" t="s">
        <v>307</v>
      </c>
      <c r="F44" s="140">
        <v>1076008</v>
      </c>
      <c r="G44" s="141" t="s">
        <v>654</v>
      </c>
      <c r="H44" s="137">
        <v>52952.872758335223</v>
      </c>
      <c r="I44" s="137">
        <v>26476.436379167611</v>
      </c>
      <c r="J44" s="123">
        <v>0</v>
      </c>
      <c r="K44" s="123">
        <v>0</v>
      </c>
      <c r="L44" s="128">
        <v>0</v>
      </c>
      <c r="M44" s="121">
        <v>0</v>
      </c>
      <c r="N44" s="128">
        <v>26476.436379167611</v>
      </c>
      <c r="O44" s="128">
        <v>0</v>
      </c>
      <c r="P44" s="121">
        <v>0.80386889454529697</v>
      </c>
      <c r="Q44" s="5">
        <v>1</v>
      </c>
      <c r="R44" s="5">
        <v>0</v>
      </c>
      <c r="S44" s="5">
        <v>1</v>
      </c>
      <c r="T44" s="5">
        <v>1152</v>
      </c>
      <c r="U44" s="5">
        <v>0</v>
      </c>
      <c r="V44" s="5">
        <v>0</v>
      </c>
      <c r="W44" s="5">
        <v>840</v>
      </c>
      <c r="X44" s="123">
        <v>52952.872758335223</v>
      </c>
      <c r="Y44" s="123">
        <v>5.6654150072108693E-4</v>
      </c>
      <c r="Z44" s="123">
        <v>51799.872758335223</v>
      </c>
      <c r="AA44" s="112">
        <v>621137.19999999995</v>
      </c>
      <c r="AB44" s="112">
        <v>23377.89</v>
      </c>
      <c r="AC44" s="8">
        <v>2.1774078344380388E-2</v>
      </c>
      <c r="AD44" s="66"/>
      <c r="AE44" s="66">
        <v>20.181318524705016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0" t="s">
        <v>1</v>
      </c>
      <c r="BJ44" s="191" t="s">
        <v>824</v>
      </c>
    </row>
    <row r="45" spans="1:62" ht="12.75" customHeight="1" x14ac:dyDescent="0.35">
      <c r="A45" s="108"/>
      <c r="B45" s="124" t="s">
        <v>1</v>
      </c>
      <c r="C45" s="5" t="s">
        <v>17</v>
      </c>
      <c r="D45" s="5" t="s">
        <v>312</v>
      </c>
      <c r="E45" s="5" t="s">
        <v>398</v>
      </c>
      <c r="F45" s="5">
        <v>1067656</v>
      </c>
      <c r="G45" s="7" t="s">
        <v>536</v>
      </c>
      <c r="H45" s="137">
        <v>11681.275890825566</v>
      </c>
      <c r="I45" s="137">
        <v>1401.7531068990679</v>
      </c>
      <c r="J45" s="123">
        <v>0</v>
      </c>
      <c r="K45" s="123">
        <v>0</v>
      </c>
      <c r="L45" s="128">
        <v>0</v>
      </c>
      <c r="M45" s="121">
        <v>9.0401083740294055E-2</v>
      </c>
      <c r="N45" s="128">
        <v>1401.7531068990679</v>
      </c>
      <c r="O45" s="128">
        <v>11.318169822380685</v>
      </c>
      <c r="P45" s="121">
        <v>1.3162334346063773</v>
      </c>
      <c r="Q45" s="5">
        <v>1088</v>
      </c>
      <c r="R45" s="5">
        <v>1056</v>
      </c>
      <c r="S45" s="5">
        <v>32</v>
      </c>
      <c r="T45" s="5">
        <v>0</v>
      </c>
      <c r="U45" s="5">
        <v>0</v>
      </c>
      <c r="V45" s="5">
        <v>0</v>
      </c>
      <c r="W45" s="5">
        <v>0</v>
      </c>
      <c r="X45" s="123">
        <v>27455.999999999996</v>
      </c>
      <c r="Y45" s="123">
        <v>3.4965034965034975E-2</v>
      </c>
      <c r="Z45" s="123">
        <v>10593.275890825566</v>
      </c>
      <c r="AA45" s="112">
        <v>14601.59</v>
      </c>
      <c r="AB45" s="112">
        <v>40</v>
      </c>
      <c r="AC45" s="8">
        <v>9.3140510520302922E-2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0" t="s">
        <v>1</v>
      </c>
      <c r="BJ45" s="193" t="s">
        <v>805</v>
      </c>
    </row>
    <row r="46" spans="1:62" ht="12.75" customHeight="1" x14ac:dyDescent="0.35">
      <c r="A46" s="108"/>
      <c r="B46" s="124" t="s">
        <v>1</v>
      </c>
      <c r="C46" s="5" t="s">
        <v>2</v>
      </c>
      <c r="D46" s="5" t="s">
        <v>310</v>
      </c>
      <c r="E46" s="5" t="s">
        <v>311</v>
      </c>
      <c r="F46" s="5">
        <v>1068805</v>
      </c>
      <c r="G46" s="7" t="s">
        <v>564</v>
      </c>
      <c r="H46" s="137">
        <v>123938.42821625095</v>
      </c>
      <c r="I46" s="137">
        <v>22308.917078925169</v>
      </c>
      <c r="J46" s="123">
        <v>0</v>
      </c>
      <c r="K46" s="123">
        <v>0</v>
      </c>
      <c r="L46" s="128">
        <v>0</v>
      </c>
      <c r="M46" s="121">
        <v>0</v>
      </c>
      <c r="N46" s="128">
        <v>22308.917078925169</v>
      </c>
      <c r="O46" s="128">
        <v>10.398116735395815</v>
      </c>
      <c r="P46" s="121">
        <v>1.4125833411266406</v>
      </c>
      <c r="Q46" s="5">
        <v>1162</v>
      </c>
      <c r="R46" s="5">
        <v>0</v>
      </c>
      <c r="S46" s="5">
        <v>1162</v>
      </c>
      <c r="T46" s="5">
        <v>0</v>
      </c>
      <c r="U46" s="5">
        <v>0</v>
      </c>
      <c r="V46" s="5">
        <v>0</v>
      </c>
      <c r="W46" s="5">
        <v>5990</v>
      </c>
      <c r="X46" s="123">
        <v>123938.42821625093</v>
      </c>
      <c r="Y46" s="123">
        <v>0.28126869528452775</v>
      </c>
      <c r="Z46" s="123">
        <v>122776.42821625095</v>
      </c>
      <c r="AA46" s="112">
        <v>234243.63</v>
      </c>
      <c r="AB46" s="112">
        <v>13517.28</v>
      </c>
      <c r="AC46" s="8">
        <v>9.3756231761509268E-3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92"/>
      <c r="BJ46" s="179" t="s">
        <v>857</v>
      </c>
    </row>
    <row r="47" spans="1:62" ht="12.5" customHeight="1" x14ac:dyDescent="0.35">
      <c r="A47" s="108"/>
      <c r="B47" s="124" t="s">
        <v>1</v>
      </c>
      <c r="C47" s="5" t="s">
        <v>24</v>
      </c>
      <c r="D47" s="5" t="s">
        <v>316</v>
      </c>
      <c r="E47" s="5" t="s">
        <v>317</v>
      </c>
      <c r="F47" s="5">
        <v>1070721</v>
      </c>
      <c r="G47" s="7" t="s">
        <v>683</v>
      </c>
      <c r="H47" s="137">
        <v>5319.7964694214661</v>
      </c>
      <c r="I47" s="137">
        <v>574.53801869751828</v>
      </c>
      <c r="J47" s="123">
        <v>0</v>
      </c>
      <c r="K47" s="123">
        <v>0</v>
      </c>
      <c r="L47" s="128">
        <v>0</v>
      </c>
      <c r="M47" s="121">
        <v>0</v>
      </c>
      <c r="N47" s="128">
        <v>574.53801869751828</v>
      </c>
      <c r="O47" s="128">
        <v>2.1321465615390336</v>
      </c>
      <c r="P47" s="121">
        <v>1.1274771338998641</v>
      </c>
      <c r="Q47" s="5">
        <v>84</v>
      </c>
      <c r="R47" s="5">
        <v>0</v>
      </c>
      <c r="S47" s="5">
        <v>84</v>
      </c>
      <c r="T47" s="5">
        <v>0</v>
      </c>
      <c r="U47" s="5">
        <v>0</v>
      </c>
      <c r="V47" s="5">
        <v>0</v>
      </c>
      <c r="W47" s="5">
        <v>1436</v>
      </c>
      <c r="X47" s="123">
        <v>5319.7964694214661</v>
      </c>
      <c r="Y47" s="123">
        <v>0.47370233325374811</v>
      </c>
      <c r="Z47" s="123">
        <v>5235.7964694214661</v>
      </c>
      <c r="AA47" s="112">
        <v>28141.72</v>
      </c>
      <c r="AB47" s="112">
        <v>8040.8</v>
      </c>
      <c r="AC47" s="8">
        <v>1.5790077775124978E-2</v>
      </c>
      <c r="AD47" s="66"/>
      <c r="AE47" s="66">
        <v>3.0745629682483053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2" t="s">
        <v>1</v>
      </c>
      <c r="BJ47" s="191" t="s">
        <v>858</v>
      </c>
    </row>
    <row r="48" spans="1:62" ht="12.5" customHeight="1" x14ac:dyDescent="0.35">
      <c r="A48" s="108"/>
      <c r="B48" s="124" t="s">
        <v>148</v>
      </c>
      <c r="C48" s="5" t="s">
        <v>5</v>
      </c>
      <c r="D48" s="5" t="s">
        <v>318</v>
      </c>
      <c r="E48" s="5" t="s">
        <v>319</v>
      </c>
      <c r="F48" s="140">
        <v>1091732</v>
      </c>
      <c r="G48" s="141" t="s">
        <v>803</v>
      </c>
      <c r="H48" s="137">
        <v>20032</v>
      </c>
      <c r="I48" s="137">
        <v>15024</v>
      </c>
      <c r="J48" s="123">
        <v>0</v>
      </c>
      <c r="K48" s="123">
        <v>0</v>
      </c>
      <c r="L48" s="128">
        <v>0</v>
      </c>
      <c r="M48" s="121">
        <v>0.40015974440894569</v>
      </c>
      <c r="N48" s="128">
        <v>15024</v>
      </c>
      <c r="O48" s="128">
        <v>24.015575079872207</v>
      </c>
      <c r="P48" s="121">
        <v>2.0072864321608042</v>
      </c>
      <c r="Q48" s="5">
        <v>11946</v>
      </c>
      <c r="R48" s="5">
        <v>8016</v>
      </c>
      <c r="S48" s="5">
        <v>3930</v>
      </c>
      <c r="T48" s="5">
        <v>6</v>
      </c>
      <c r="U48" s="5">
        <v>0</v>
      </c>
      <c r="V48" s="5">
        <v>0</v>
      </c>
      <c r="W48" s="5">
        <v>0</v>
      </c>
      <c r="X48" s="123">
        <v>208416</v>
      </c>
      <c r="Y48" s="123">
        <v>0.56569553201289735</v>
      </c>
      <c r="Z48" s="123">
        <v>8080</v>
      </c>
      <c r="AA48" s="112">
        <v>117587.84</v>
      </c>
      <c r="AB48" s="112">
        <v>23104.32</v>
      </c>
      <c r="AC48" s="8">
        <v>0.59664536741214058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0" t="s">
        <v>1</v>
      </c>
      <c r="BJ48" s="198"/>
    </row>
    <row r="49" spans="1:62" ht="12.75" customHeight="1" x14ac:dyDescent="0.35">
      <c r="A49" s="108"/>
      <c r="B49" s="124" t="s">
        <v>31</v>
      </c>
      <c r="C49" s="5" t="s">
        <v>5</v>
      </c>
      <c r="D49" s="5" t="s">
        <v>306</v>
      </c>
      <c r="E49" s="5" t="s">
        <v>307</v>
      </c>
      <c r="F49" s="5">
        <v>1071168</v>
      </c>
      <c r="G49" s="139" t="s">
        <v>594</v>
      </c>
      <c r="H49" s="137">
        <v>298480.57126531808</v>
      </c>
      <c r="I49" s="137">
        <v>11939.222850612723</v>
      </c>
      <c r="J49" s="123">
        <v>0</v>
      </c>
      <c r="K49" s="123">
        <v>0</v>
      </c>
      <c r="L49" s="128">
        <v>0</v>
      </c>
      <c r="M49" s="121">
        <v>0</v>
      </c>
      <c r="N49" s="128">
        <v>11939.222850612723</v>
      </c>
      <c r="O49" s="128">
        <v>3.8919327150291401</v>
      </c>
      <c r="P49" s="121">
        <v>1.1420389771448571</v>
      </c>
      <c r="Q49" s="5">
        <v>5915</v>
      </c>
      <c r="R49" s="5">
        <v>0</v>
      </c>
      <c r="S49" s="5">
        <v>5915</v>
      </c>
      <c r="T49" s="5">
        <v>0</v>
      </c>
      <c r="U49" s="5">
        <v>0</v>
      </c>
      <c r="V49" s="5">
        <v>0</v>
      </c>
      <c r="W49" s="5">
        <v>13200</v>
      </c>
      <c r="X49" s="123">
        <v>298480.57126531808</v>
      </c>
      <c r="Y49" s="123">
        <v>0.59451105727838305</v>
      </c>
      <c r="Z49" s="123">
        <v>292565.57126531808</v>
      </c>
      <c r="AA49" s="112">
        <v>256693.29</v>
      </c>
      <c r="AB49" s="112">
        <v>16438.900000000001</v>
      </c>
      <c r="AC49" s="8">
        <v>1.9817035242612802E-2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2" t="s">
        <v>1</v>
      </c>
      <c r="BJ49" s="191"/>
    </row>
    <row r="50" spans="1:62" ht="12.75" customHeight="1" x14ac:dyDescent="0.35">
      <c r="A50" s="108"/>
      <c r="B50" s="124" t="s">
        <v>148</v>
      </c>
      <c r="C50" s="5" t="s">
        <v>5</v>
      </c>
      <c r="D50" s="5" t="s">
        <v>318</v>
      </c>
      <c r="E50" s="5" t="s">
        <v>307</v>
      </c>
      <c r="F50" s="130">
        <v>1079365</v>
      </c>
      <c r="G50" s="131" t="s">
        <v>718</v>
      </c>
      <c r="H50" s="137">
        <v>54799</v>
      </c>
      <c r="I50" s="137">
        <v>46579.15</v>
      </c>
      <c r="J50" s="123">
        <v>0</v>
      </c>
      <c r="K50" s="123">
        <v>0</v>
      </c>
      <c r="L50" s="128">
        <v>0</v>
      </c>
      <c r="M50" s="121">
        <v>0</v>
      </c>
      <c r="N50" s="128">
        <v>46579.15</v>
      </c>
      <c r="O50" s="128">
        <v>0</v>
      </c>
      <c r="P50" s="121">
        <v>0</v>
      </c>
      <c r="Q50" s="5">
        <v>1194</v>
      </c>
      <c r="R50" s="5">
        <v>0</v>
      </c>
      <c r="S50" s="5">
        <v>1194</v>
      </c>
      <c r="T50" s="5">
        <v>0</v>
      </c>
      <c r="U50" s="5">
        <v>0</v>
      </c>
      <c r="V50" s="5">
        <v>0</v>
      </c>
      <c r="W50" s="5">
        <v>0</v>
      </c>
      <c r="X50" s="123">
        <v>54799</v>
      </c>
      <c r="Y50" s="123">
        <v>0.65366156316721113</v>
      </c>
      <c r="Z50" s="123">
        <v>53605</v>
      </c>
      <c r="AA50" s="112">
        <v>414828.43</v>
      </c>
      <c r="AB50" s="112">
        <v>9038.58</v>
      </c>
      <c r="AC50" s="8">
        <v>2.1788718772240423E-2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2"/>
      <c r="BJ50" s="191"/>
    </row>
    <row r="51" spans="1:62" ht="12.5" customHeight="1" x14ac:dyDescent="0.35">
      <c r="A51" s="108"/>
      <c r="B51" s="124">
        <v>0</v>
      </c>
      <c r="C51" s="5" t="s">
        <v>5</v>
      </c>
      <c r="D51" s="5" t="s">
        <v>318</v>
      </c>
      <c r="E51" s="5" t="s">
        <v>319</v>
      </c>
      <c r="F51" s="130">
        <v>1079428</v>
      </c>
      <c r="G51" s="131" t="s">
        <v>734</v>
      </c>
      <c r="H51" s="137">
        <v>27831</v>
      </c>
      <c r="I51" s="137">
        <v>22264.800000000003</v>
      </c>
      <c r="J51" s="123">
        <v>0</v>
      </c>
      <c r="K51" s="123">
        <v>0</v>
      </c>
      <c r="L51" s="128">
        <v>0</v>
      </c>
      <c r="M51" s="121">
        <v>0.34386116201358197</v>
      </c>
      <c r="N51" s="128">
        <v>22264.800000000003</v>
      </c>
      <c r="O51" s="128">
        <v>5.9480435485609595</v>
      </c>
      <c r="P51" s="121">
        <v>1.2652374543357048</v>
      </c>
      <c r="Q51" s="5">
        <v>32009</v>
      </c>
      <c r="R51" s="5">
        <v>9570</v>
      </c>
      <c r="S51" s="5">
        <v>22439</v>
      </c>
      <c r="T51" s="5">
        <v>0</v>
      </c>
      <c r="U51" s="5">
        <v>0</v>
      </c>
      <c r="V51" s="5">
        <v>0</v>
      </c>
      <c r="W51" s="5">
        <v>0</v>
      </c>
      <c r="X51" s="123">
        <v>248820</v>
      </c>
      <c r="Y51" s="123">
        <v>2.7054497226911018</v>
      </c>
      <c r="Z51" s="123">
        <v>-4178</v>
      </c>
      <c r="AA51" s="112">
        <v>216525.18</v>
      </c>
      <c r="AB51" s="112">
        <v>174575.42</v>
      </c>
      <c r="AC51" s="8">
        <v>1.1501203693722828</v>
      </c>
      <c r="AD51" s="66"/>
      <c r="AE51" s="66">
        <v>339.04983660130716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0" t="s">
        <v>1</v>
      </c>
      <c r="BJ51" s="191"/>
    </row>
    <row r="52" spans="1:62" ht="12.5" customHeight="1" x14ac:dyDescent="0.35">
      <c r="A52" s="108"/>
      <c r="B52" s="124" t="s">
        <v>1</v>
      </c>
      <c r="C52" s="5" t="s">
        <v>2</v>
      </c>
      <c r="D52" s="5" t="s">
        <v>396</v>
      </c>
      <c r="E52" s="5" t="s">
        <v>397</v>
      </c>
      <c r="F52" s="56">
        <v>1043304</v>
      </c>
      <c r="G52" s="65" t="s">
        <v>123</v>
      </c>
      <c r="H52" s="137">
        <v>524.50240944557868</v>
      </c>
      <c r="I52" s="137">
        <v>524.50240944557868</v>
      </c>
      <c r="J52" s="123">
        <v>0</v>
      </c>
      <c r="K52" s="123">
        <v>0</v>
      </c>
      <c r="L52" s="128">
        <v>0</v>
      </c>
      <c r="M52" s="121">
        <v>3.8131378693075689E-3</v>
      </c>
      <c r="N52" s="128">
        <v>524.50240944557868</v>
      </c>
      <c r="O52" s="128">
        <v>42.954998097749751</v>
      </c>
      <c r="P52" s="121">
        <v>2.249584026622296</v>
      </c>
      <c r="Q52" s="5">
        <v>70</v>
      </c>
      <c r="R52" s="5">
        <v>2</v>
      </c>
      <c r="S52" s="5">
        <v>68</v>
      </c>
      <c r="T52" s="5">
        <v>0</v>
      </c>
      <c r="U52" s="5">
        <v>0</v>
      </c>
      <c r="V52" s="5">
        <v>0</v>
      </c>
      <c r="W52" s="5">
        <v>18</v>
      </c>
      <c r="X52" s="123">
        <v>524.50240944557868</v>
      </c>
      <c r="Y52" s="123">
        <v>3.8894006266937202</v>
      </c>
      <c r="Z52" s="123">
        <v>454.50240944557868</v>
      </c>
      <c r="AA52" s="112">
        <v>17964.21</v>
      </c>
      <c r="AB52" s="112">
        <v>2945.5</v>
      </c>
      <c r="AC52" s="8">
        <v>0.13345982542576496</v>
      </c>
      <c r="AD52" s="66"/>
      <c r="AE52" s="66">
        <v>532.11500000000001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0" t="s">
        <v>1</v>
      </c>
      <c r="BJ52" s="191" t="s">
        <v>830</v>
      </c>
    </row>
    <row r="53" spans="1:62" ht="12.75" customHeight="1" x14ac:dyDescent="0.35">
      <c r="A53" s="108"/>
      <c r="B53" s="124" t="s">
        <v>4</v>
      </c>
      <c r="C53" s="5" t="s">
        <v>5</v>
      </c>
      <c r="D53" s="5" t="s">
        <v>308</v>
      </c>
      <c r="E53" s="5" t="s">
        <v>314</v>
      </c>
      <c r="F53" s="5">
        <v>1075503</v>
      </c>
      <c r="G53" s="7" t="s">
        <v>643</v>
      </c>
      <c r="H53" s="137">
        <v>373713.73376947973</v>
      </c>
      <c r="I53" s="137">
        <v>74742.746753895946</v>
      </c>
      <c r="J53" s="123">
        <v>0</v>
      </c>
      <c r="K53" s="123">
        <v>0</v>
      </c>
      <c r="L53" s="128">
        <v>0</v>
      </c>
      <c r="M53" s="121">
        <v>0</v>
      </c>
      <c r="N53" s="128">
        <v>74742.746753895946</v>
      </c>
      <c r="O53" s="128">
        <v>11.312562579270301</v>
      </c>
      <c r="P53" s="121">
        <v>1.6950084581506488</v>
      </c>
      <c r="Q53" s="5">
        <v>50646</v>
      </c>
      <c r="R53" s="5">
        <v>0</v>
      </c>
      <c r="S53" s="5">
        <v>50646</v>
      </c>
      <c r="T53" s="5">
        <v>4530</v>
      </c>
      <c r="U53" s="5">
        <v>0</v>
      </c>
      <c r="V53" s="5">
        <v>0</v>
      </c>
      <c r="W53" s="5">
        <v>1</v>
      </c>
      <c r="X53" s="123">
        <v>373713.73376947973</v>
      </c>
      <c r="Y53" s="123">
        <v>4.0656252706442126</v>
      </c>
      <c r="Z53" s="123">
        <v>318537.73376947973</v>
      </c>
      <c r="AA53" s="112">
        <v>867015.86</v>
      </c>
      <c r="AB53" s="112">
        <v>128010.64</v>
      </c>
      <c r="AC53" s="8">
        <v>0.14764241989039284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2" t="s">
        <v>1</v>
      </c>
      <c r="BJ53" s="191" t="s">
        <v>836</v>
      </c>
    </row>
    <row r="54" spans="1:62" ht="12.75" customHeight="1" x14ac:dyDescent="0.35">
      <c r="A54" s="108"/>
      <c r="B54" s="124" t="s">
        <v>15</v>
      </c>
      <c r="C54" s="5" t="s">
        <v>5</v>
      </c>
      <c r="D54" s="5" t="s">
        <v>308</v>
      </c>
      <c r="E54" s="5" t="s">
        <v>315</v>
      </c>
      <c r="F54" s="5">
        <v>1073436</v>
      </c>
      <c r="G54" s="7" t="s">
        <v>635</v>
      </c>
      <c r="H54" s="137">
        <v>46757.409767455152</v>
      </c>
      <c r="I54" s="137">
        <v>10473.659787909954</v>
      </c>
      <c r="J54" s="123">
        <v>0</v>
      </c>
      <c r="K54" s="123">
        <v>0</v>
      </c>
      <c r="L54" s="128">
        <v>0</v>
      </c>
      <c r="M54" s="121">
        <v>0</v>
      </c>
      <c r="N54" s="128">
        <v>10473.659787909954</v>
      </c>
      <c r="O54" s="128">
        <v>8.3652123890526546</v>
      </c>
      <c r="P54" s="121">
        <v>1.790261923606097</v>
      </c>
      <c r="Q54" s="5">
        <v>6602</v>
      </c>
      <c r="R54" s="5">
        <v>0</v>
      </c>
      <c r="S54" s="5">
        <v>6602</v>
      </c>
      <c r="T54" s="5">
        <v>0</v>
      </c>
      <c r="U54" s="5">
        <v>0</v>
      </c>
      <c r="V54" s="5">
        <v>0</v>
      </c>
      <c r="W54" s="5">
        <v>0</v>
      </c>
      <c r="X54" s="123">
        <v>46757.409767455152</v>
      </c>
      <c r="Y54" s="123">
        <v>4.2359061587251761</v>
      </c>
      <c r="Z54" s="123">
        <v>40155.409767455152</v>
      </c>
      <c r="AA54" s="112">
        <v>207602.9</v>
      </c>
      <c r="AB54" s="112">
        <v>29312.880000000001</v>
      </c>
      <c r="AC54" s="8">
        <v>0.14119687195750585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0"/>
      <c r="BJ54" s="179" t="s">
        <v>863</v>
      </c>
    </row>
    <row r="55" spans="1:62" ht="12.75" customHeight="1" x14ac:dyDescent="0.35">
      <c r="A55" s="108"/>
      <c r="B55" s="124" t="s">
        <v>21</v>
      </c>
      <c r="C55" s="5" t="s">
        <v>5</v>
      </c>
      <c r="D55" s="5" t="s">
        <v>396</v>
      </c>
      <c r="E55" s="5" t="s">
        <v>307</v>
      </c>
      <c r="F55" s="5">
        <v>1082268</v>
      </c>
      <c r="G55" s="7" t="s">
        <v>773</v>
      </c>
      <c r="H55" s="137">
        <v>7630.2383551165058</v>
      </c>
      <c r="I55" s="137">
        <v>1526.0476710233013</v>
      </c>
      <c r="J55" s="123">
        <v>0</v>
      </c>
      <c r="K55" s="123">
        <v>0</v>
      </c>
      <c r="L55" s="128">
        <v>0</v>
      </c>
      <c r="M55" s="121">
        <v>0</v>
      </c>
      <c r="N55" s="128">
        <v>1526.0476710233013</v>
      </c>
      <c r="O55" s="128">
        <v>8.0548211614981113</v>
      </c>
      <c r="P55" s="121">
        <v>1.2910326031795254</v>
      </c>
      <c r="Q55" s="5">
        <v>1116</v>
      </c>
      <c r="R55" s="5">
        <v>0</v>
      </c>
      <c r="S55" s="5">
        <v>1116</v>
      </c>
      <c r="T55" s="5">
        <v>0</v>
      </c>
      <c r="U55" s="5">
        <v>0</v>
      </c>
      <c r="V55" s="5">
        <v>0</v>
      </c>
      <c r="W55" s="5">
        <v>0</v>
      </c>
      <c r="X55" s="123">
        <v>7630.2383551165058</v>
      </c>
      <c r="Y55" s="123">
        <v>4.3878052613585483</v>
      </c>
      <c r="Z55" s="123">
        <v>6514.2383551165058</v>
      </c>
      <c r="AA55" s="112">
        <v>18388.87</v>
      </c>
      <c r="AB55" s="112">
        <v>2689.56</v>
      </c>
      <c r="AC55" s="8">
        <v>0.14626017537861824</v>
      </c>
      <c r="AD55" s="66"/>
      <c r="AE55" s="66">
        <v>70.03012048192771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0" t="s">
        <v>1</v>
      </c>
      <c r="BJ55" s="191" t="s">
        <v>817</v>
      </c>
    </row>
    <row r="56" spans="1:62" ht="12.5" customHeight="1" x14ac:dyDescent="0.35">
      <c r="A56" s="108"/>
      <c r="B56" s="124" t="s">
        <v>4</v>
      </c>
      <c r="C56" s="5" t="s">
        <v>5</v>
      </c>
      <c r="D56" s="5" t="s">
        <v>308</v>
      </c>
      <c r="E56" s="5" t="s">
        <v>314</v>
      </c>
      <c r="F56" s="5">
        <v>1075137</v>
      </c>
      <c r="G56" s="7" t="s">
        <v>652</v>
      </c>
      <c r="H56" s="137">
        <v>11410.433404415342</v>
      </c>
      <c r="I56" s="137">
        <v>1643.1024102358092</v>
      </c>
      <c r="J56" s="123">
        <v>0</v>
      </c>
      <c r="K56" s="123">
        <v>0</v>
      </c>
      <c r="L56" s="128">
        <v>0</v>
      </c>
      <c r="M56" s="121">
        <v>0</v>
      </c>
      <c r="N56" s="128">
        <v>1643.1024102358092</v>
      </c>
      <c r="O56" s="128">
        <v>3.8251513787360722</v>
      </c>
      <c r="P56" s="121">
        <v>1.1395828628422906</v>
      </c>
      <c r="Q56" s="5">
        <v>1823</v>
      </c>
      <c r="R56" s="5">
        <v>0</v>
      </c>
      <c r="S56" s="5">
        <v>1823</v>
      </c>
      <c r="T56" s="5">
        <v>0</v>
      </c>
      <c r="U56" s="5">
        <v>0</v>
      </c>
      <c r="V56" s="5">
        <v>0</v>
      </c>
      <c r="W56" s="5">
        <v>600</v>
      </c>
      <c r="X56" s="123">
        <v>11410.433404415342</v>
      </c>
      <c r="Y56" s="123">
        <v>4.7929818317713808</v>
      </c>
      <c r="Z56" s="123">
        <v>9587.433404415342</v>
      </c>
      <c r="AA56" s="112">
        <v>29438.92</v>
      </c>
      <c r="AB56" s="112">
        <v>6251.34</v>
      </c>
      <c r="AC56" s="8">
        <v>0.15976606105904601</v>
      </c>
      <c r="AD56" s="66"/>
      <c r="AE56" s="66">
        <v>163.25564506978327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90" t="s">
        <v>1</v>
      </c>
      <c r="BJ56" s="191"/>
    </row>
    <row r="57" spans="1:62" ht="14" customHeight="1" x14ac:dyDescent="0.35">
      <c r="A57" s="108"/>
      <c r="B57" s="124" t="s">
        <v>31</v>
      </c>
      <c r="C57" s="5" t="s">
        <v>5</v>
      </c>
      <c r="D57" s="5" t="s">
        <v>306</v>
      </c>
      <c r="E57" s="5" t="s">
        <v>307</v>
      </c>
      <c r="F57" s="5">
        <v>1076592</v>
      </c>
      <c r="G57" s="3" t="s">
        <v>676</v>
      </c>
      <c r="H57" s="137">
        <v>17754.954006185992</v>
      </c>
      <c r="I57" s="137">
        <v>5326.4862018557969</v>
      </c>
      <c r="J57" s="123">
        <v>0</v>
      </c>
      <c r="K57" s="123">
        <v>0</v>
      </c>
      <c r="L57" s="128">
        <v>0</v>
      </c>
      <c r="M57" s="121">
        <v>3.9425616070653489E-4</v>
      </c>
      <c r="N57" s="128">
        <v>5326.4862018557969</v>
      </c>
      <c r="O57" s="128">
        <v>0</v>
      </c>
      <c r="P57" s="121">
        <v>0.4526632229929049</v>
      </c>
      <c r="Q57" s="5">
        <v>3278</v>
      </c>
      <c r="R57" s="5">
        <v>7</v>
      </c>
      <c r="S57" s="5">
        <v>3171</v>
      </c>
      <c r="T57" s="5">
        <v>0</v>
      </c>
      <c r="U57" s="5">
        <v>0</v>
      </c>
      <c r="V57" s="5">
        <v>0</v>
      </c>
      <c r="W57" s="5">
        <v>0</v>
      </c>
      <c r="X57" s="123">
        <v>17754.954006185992</v>
      </c>
      <c r="Y57" s="123">
        <v>5.3579412240018094</v>
      </c>
      <c r="Z57" s="123">
        <v>14476.954006185992</v>
      </c>
      <c r="AA57" s="112">
        <v>104754.23</v>
      </c>
      <c r="AB57" s="112">
        <v>18708.900000000001</v>
      </c>
      <c r="AC57" s="8">
        <v>0.18462452782800309</v>
      </c>
      <c r="AD57" s="66"/>
      <c r="AE57" s="66">
        <v>10.813953488372093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0" t="s">
        <v>1</v>
      </c>
      <c r="BJ57" s="191"/>
    </row>
    <row r="58" spans="1:62" ht="12.75" customHeight="1" x14ac:dyDescent="0.35">
      <c r="A58" s="108"/>
      <c r="B58" s="124" t="s">
        <v>1</v>
      </c>
      <c r="C58" s="5" t="s">
        <v>17</v>
      </c>
      <c r="D58" s="5" t="s">
        <v>312</v>
      </c>
      <c r="E58" s="5" t="s">
        <v>398</v>
      </c>
      <c r="F58" s="5">
        <v>1058451</v>
      </c>
      <c r="G58" s="7" t="s">
        <v>268</v>
      </c>
      <c r="H58" s="137">
        <v>808792.25875774119</v>
      </c>
      <c r="I58" s="137">
        <v>194918.93436061562</v>
      </c>
      <c r="J58" s="123">
        <v>0</v>
      </c>
      <c r="K58" s="123">
        <v>0</v>
      </c>
      <c r="L58" s="128">
        <v>0</v>
      </c>
      <c r="M58" s="121">
        <v>0</v>
      </c>
      <c r="N58" s="128">
        <v>194918.93436061562</v>
      </c>
      <c r="O58" s="128">
        <v>0.4839776577328091</v>
      </c>
      <c r="P58" s="121">
        <v>1.01811711666205</v>
      </c>
      <c r="Q58" s="5">
        <v>149181</v>
      </c>
      <c r="R58" s="5">
        <v>0</v>
      </c>
      <c r="S58" s="5">
        <v>149181</v>
      </c>
      <c r="T58" s="5">
        <v>0</v>
      </c>
      <c r="U58" s="5">
        <v>0</v>
      </c>
      <c r="V58" s="5">
        <v>0</v>
      </c>
      <c r="W58" s="5">
        <v>2256</v>
      </c>
      <c r="X58" s="123">
        <v>808792.25875774119</v>
      </c>
      <c r="Y58" s="123">
        <v>5.533472843661988</v>
      </c>
      <c r="Z58" s="123">
        <v>659611.25875774119</v>
      </c>
      <c r="AA58" s="112">
        <v>2094771.95</v>
      </c>
      <c r="AB58" s="112">
        <v>392221.83</v>
      </c>
      <c r="AC58" s="8">
        <v>0.18444909478873295</v>
      </c>
      <c r="AD58" s="66"/>
      <c r="AE58" s="66">
        <v>24.623909411546315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0" t="s">
        <v>1</v>
      </c>
      <c r="BJ58" s="191" t="s">
        <v>859</v>
      </c>
    </row>
    <row r="59" spans="1:62" ht="12.5" customHeight="1" x14ac:dyDescent="0.35">
      <c r="A59" s="108"/>
      <c r="B59" s="124" t="s">
        <v>4</v>
      </c>
      <c r="C59" s="5" t="s">
        <v>5</v>
      </c>
      <c r="D59" s="5" t="s">
        <v>308</v>
      </c>
      <c r="E59" s="5" t="s">
        <v>315</v>
      </c>
      <c r="F59" s="5">
        <v>1071156</v>
      </c>
      <c r="G59" s="7" t="s">
        <v>616</v>
      </c>
      <c r="H59" s="137">
        <v>20083.283708001763</v>
      </c>
      <c r="I59" s="137">
        <v>3614.9910674403172</v>
      </c>
      <c r="J59" s="123">
        <v>0</v>
      </c>
      <c r="K59" s="123">
        <v>0</v>
      </c>
      <c r="L59" s="128">
        <v>0</v>
      </c>
      <c r="M59" s="121">
        <v>0</v>
      </c>
      <c r="N59" s="128">
        <v>3614.9910674403172</v>
      </c>
      <c r="O59" s="128">
        <v>8.9410762729108093</v>
      </c>
      <c r="P59" s="121">
        <v>1.2878844859425451</v>
      </c>
      <c r="Q59" s="5">
        <v>3848</v>
      </c>
      <c r="R59" s="5">
        <v>0</v>
      </c>
      <c r="S59" s="5">
        <v>3848</v>
      </c>
      <c r="T59" s="5">
        <v>0</v>
      </c>
      <c r="U59" s="5">
        <v>18</v>
      </c>
      <c r="V59" s="5">
        <v>0</v>
      </c>
      <c r="W59" s="5">
        <v>1440</v>
      </c>
      <c r="X59" s="123">
        <v>20083.283708001763</v>
      </c>
      <c r="Y59" s="123">
        <v>5.748063995829793</v>
      </c>
      <c r="Z59" s="123">
        <v>16235.283708001763</v>
      </c>
      <c r="AA59" s="112">
        <v>77320.639999999999</v>
      </c>
      <c r="AB59" s="112">
        <v>20428.099999999999</v>
      </c>
      <c r="AC59" s="8">
        <v>0.1916021331943264</v>
      </c>
      <c r="AD59" s="66"/>
      <c r="AE59" s="66">
        <v>14.604715532689871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0" t="s">
        <v>1</v>
      </c>
      <c r="BJ59" s="191"/>
    </row>
    <row r="60" spans="1:62" ht="12.75" customHeight="1" x14ac:dyDescent="0.3">
      <c r="A60" s="108"/>
      <c r="B60" s="124" t="s">
        <v>27</v>
      </c>
      <c r="C60" s="5" t="s">
        <v>5</v>
      </c>
      <c r="D60" s="5" t="s">
        <v>312</v>
      </c>
      <c r="E60" s="5" t="s">
        <v>313</v>
      </c>
      <c r="F60" s="133">
        <v>1083381</v>
      </c>
      <c r="G60" s="199" t="s">
        <v>790</v>
      </c>
      <c r="H60" s="137">
        <v>69247.93379195442</v>
      </c>
      <c r="I60" s="137">
        <v>15788.528904565608</v>
      </c>
      <c r="J60" s="123">
        <v>0</v>
      </c>
      <c r="K60" s="123">
        <v>0</v>
      </c>
      <c r="L60" s="128">
        <v>0</v>
      </c>
      <c r="M60" s="121">
        <v>0</v>
      </c>
      <c r="N60" s="128">
        <v>15788.528904565608</v>
      </c>
      <c r="O60" s="128">
        <v>0</v>
      </c>
      <c r="P60" s="121">
        <v>0</v>
      </c>
      <c r="Q60" s="5">
        <v>13968</v>
      </c>
      <c r="R60" s="5">
        <v>0</v>
      </c>
      <c r="S60" s="5">
        <v>13968</v>
      </c>
      <c r="T60" s="5">
        <v>0</v>
      </c>
      <c r="U60" s="5">
        <v>0</v>
      </c>
      <c r="V60" s="5">
        <v>0</v>
      </c>
      <c r="W60" s="5">
        <v>0</v>
      </c>
      <c r="X60" s="123">
        <v>69247.93379195442</v>
      </c>
      <c r="Y60" s="123">
        <v>6.0512996858353372</v>
      </c>
      <c r="Z60" s="123">
        <v>55279.93379195442</v>
      </c>
      <c r="AA60" s="112">
        <v>246522.64</v>
      </c>
      <c r="AB60" s="112">
        <v>49726.080000000002</v>
      </c>
      <c r="AC60" s="8">
        <v>0.20170998952784458</v>
      </c>
      <c r="AD60" s="66"/>
      <c r="AE60" s="66">
        <v>109.37333145988478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0" t="s">
        <v>1</v>
      </c>
      <c r="BJ60" s="191"/>
    </row>
    <row r="61" spans="1:62" ht="12.75" customHeight="1" x14ac:dyDescent="0.35">
      <c r="A61" s="108"/>
      <c r="B61" s="124">
        <v>0</v>
      </c>
      <c r="C61" s="5" t="s">
        <v>2</v>
      </c>
      <c r="D61" s="5" t="s">
        <v>310</v>
      </c>
      <c r="E61" s="5" t="s">
        <v>311</v>
      </c>
      <c r="F61" s="160">
        <v>1080745</v>
      </c>
      <c r="G61" s="200" t="s">
        <v>788</v>
      </c>
      <c r="H61" s="137">
        <v>1987.685316032901</v>
      </c>
      <c r="I61" s="137">
        <v>954.0889516957925</v>
      </c>
      <c r="J61" s="123">
        <v>0</v>
      </c>
      <c r="K61" s="123">
        <v>0</v>
      </c>
      <c r="L61" s="128">
        <v>0</v>
      </c>
      <c r="M61" s="121">
        <v>4.0247819589303542E-3</v>
      </c>
      <c r="N61" s="128">
        <v>954.0889516957925</v>
      </c>
      <c r="O61" s="128">
        <v>16.990788028374006</v>
      </c>
      <c r="P61" s="121">
        <v>1.5040823785071997</v>
      </c>
      <c r="Q61" s="5">
        <v>526</v>
      </c>
      <c r="R61" s="5">
        <v>8</v>
      </c>
      <c r="S61" s="5">
        <v>518</v>
      </c>
      <c r="T61" s="5">
        <v>0</v>
      </c>
      <c r="U61" s="5">
        <v>0</v>
      </c>
      <c r="V61" s="5">
        <v>0</v>
      </c>
      <c r="W61" s="5">
        <v>0</v>
      </c>
      <c r="X61" s="123">
        <v>1987.685316032901</v>
      </c>
      <c r="Y61" s="123">
        <v>7.8181389552222136</v>
      </c>
      <c r="Z61" s="123">
        <v>1461.685316032901</v>
      </c>
      <c r="AA61" s="112">
        <v>45498.12</v>
      </c>
      <c r="AB61" s="112">
        <v>11857.02</v>
      </c>
      <c r="AC61" s="8">
        <v>0.26462941379967075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2"/>
      <c r="BJ61" s="191"/>
    </row>
    <row r="62" spans="1:62" ht="12.75" customHeight="1" x14ac:dyDescent="0.35">
      <c r="A62" s="108"/>
      <c r="B62" s="124" t="s">
        <v>21</v>
      </c>
      <c r="C62" s="5" t="s">
        <v>5</v>
      </c>
      <c r="D62" s="5" t="s">
        <v>396</v>
      </c>
      <c r="E62" s="5" t="s">
        <v>307</v>
      </c>
      <c r="F62" s="5">
        <v>1063072</v>
      </c>
      <c r="G62" s="7" t="s">
        <v>448</v>
      </c>
      <c r="H62" s="137">
        <v>27917.601659528449</v>
      </c>
      <c r="I62" s="137">
        <v>13958.800829764225</v>
      </c>
      <c r="J62" s="123">
        <v>0</v>
      </c>
      <c r="K62" s="123">
        <v>0</v>
      </c>
      <c r="L62" s="128">
        <v>0</v>
      </c>
      <c r="M62" s="121">
        <v>0</v>
      </c>
      <c r="N62" s="128">
        <v>13958.800829764225</v>
      </c>
      <c r="O62" s="128">
        <v>12.326479672882805</v>
      </c>
      <c r="P62" s="121">
        <v>1.4613043091486624</v>
      </c>
      <c r="Q62" s="5">
        <v>7374</v>
      </c>
      <c r="R62" s="5">
        <v>0</v>
      </c>
      <c r="S62" s="5">
        <v>7372</v>
      </c>
      <c r="T62" s="5">
        <v>0</v>
      </c>
      <c r="U62" s="5">
        <v>0</v>
      </c>
      <c r="V62" s="5">
        <v>0</v>
      </c>
      <c r="W62" s="5">
        <v>800</v>
      </c>
      <c r="X62" s="123">
        <v>27917.601659528449</v>
      </c>
      <c r="Y62" s="123">
        <v>7.9218839317637713</v>
      </c>
      <c r="Z62" s="123">
        <v>20543.601659528449</v>
      </c>
      <c r="AA62" s="112">
        <v>159688.68</v>
      </c>
      <c r="AB62" s="112">
        <v>46743.839999999997</v>
      </c>
      <c r="AC62" s="8">
        <v>0.26413443711713713</v>
      </c>
      <c r="AD62" s="66"/>
      <c r="AE62" s="66">
        <v>10.101209577882004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0" t="s">
        <v>1</v>
      </c>
      <c r="BJ62" s="191"/>
    </row>
    <row r="63" spans="1:62" ht="12.75" customHeight="1" x14ac:dyDescent="0.35">
      <c r="A63" s="108"/>
      <c r="B63" s="124" t="s">
        <v>1</v>
      </c>
      <c r="C63" s="5" t="s">
        <v>2</v>
      </c>
      <c r="D63" s="5" t="s">
        <v>306</v>
      </c>
      <c r="E63" s="5" t="s">
        <v>401</v>
      </c>
      <c r="F63" s="5">
        <v>1077615</v>
      </c>
      <c r="G63" s="7" t="s">
        <v>725</v>
      </c>
      <c r="H63" s="137">
        <v>2400</v>
      </c>
      <c r="I63" s="137">
        <v>1320</v>
      </c>
      <c r="J63" s="123">
        <v>0</v>
      </c>
      <c r="K63" s="123">
        <v>0</v>
      </c>
      <c r="L63" s="128">
        <v>0</v>
      </c>
      <c r="M63" s="121">
        <v>0</v>
      </c>
      <c r="N63" s="128">
        <v>1320</v>
      </c>
      <c r="O63" s="128">
        <v>60.929680693679884</v>
      </c>
      <c r="P63" s="121">
        <v>3.4798082570301467</v>
      </c>
      <c r="Q63" s="5">
        <v>636</v>
      </c>
      <c r="R63" s="5">
        <v>0</v>
      </c>
      <c r="S63" s="5">
        <v>636</v>
      </c>
      <c r="T63" s="5">
        <v>0</v>
      </c>
      <c r="U63" s="5">
        <v>0</v>
      </c>
      <c r="V63" s="5">
        <v>0</v>
      </c>
      <c r="W63" s="5">
        <v>12</v>
      </c>
      <c r="X63" s="123">
        <v>2400</v>
      </c>
      <c r="Y63" s="123">
        <v>7.95</v>
      </c>
      <c r="Z63" s="123">
        <v>1764</v>
      </c>
      <c r="AA63" s="112">
        <v>15264</v>
      </c>
      <c r="AB63" s="112">
        <v>4121.28</v>
      </c>
      <c r="AC63" s="8">
        <v>0.26500000000000001</v>
      </c>
      <c r="AD63" s="66"/>
      <c r="AE63" s="66">
        <v>25.413523318326849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0" t="s">
        <v>1</v>
      </c>
      <c r="BJ63" s="191"/>
    </row>
    <row r="64" spans="1:62" ht="12" customHeight="1" x14ac:dyDescent="0.35">
      <c r="A64" s="108"/>
      <c r="B64" s="124" t="s">
        <v>1</v>
      </c>
      <c r="C64" s="5" t="s">
        <v>2</v>
      </c>
      <c r="D64" s="5" t="s">
        <v>310</v>
      </c>
      <c r="E64" s="5" t="s">
        <v>311</v>
      </c>
      <c r="F64" s="5">
        <v>1078888</v>
      </c>
      <c r="G64" s="7" t="s">
        <v>717</v>
      </c>
      <c r="H64" s="137">
        <v>17163.989086798822</v>
      </c>
      <c r="I64" s="137">
        <v>1716.3989086798822</v>
      </c>
      <c r="J64" s="123">
        <v>0</v>
      </c>
      <c r="K64" s="123">
        <v>0</v>
      </c>
      <c r="L64" s="128">
        <v>0</v>
      </c>
      <c r="M64" s="121">
        <v>0</v>
      </c>
      <c r="N64" s="128">
        <v>1716.3989086798822</v>
      </c>
      <c r="O64" s="128">
        <v>12.710332015288413</v>
      </c>
      <c r="P64" s="121">
        <v>1.5883495145631068</v>
      </c>
      <c r="Q64" s="5">
        <v>4775</v>
      </c>
      <c r="R64" s="5">
        <v>0</v>
      </c>
      <c r="S64" s="5">
        <v>4775</v>
      </c>
      <c r="T64" s="5">
        <v>0</v>
      </c>
      <c r="U64" s="5">
        <v>0</v>
      </c>
      <c r="V64" s="5">
        <v>0</v>
      </c>
      <c r="W64" s="5">
        <v>19579</v>
      </c>
      <c r="X64" s="123">
        <v>17163.989086798822</v>
      </c>
      <c r="Y64" s="123">
        <v>8.3459619599837982</v>
      </c>
      <c r="Z64" s="123">
        <v>12388.989086798822</v>
      </c>
      <c r="AA64" s="112">
        <v>24201.22</v>
      </c>
      <c r="AB64" s="112">
        <v>34339.14</v>
      </c>
      <c r="AC64" s="8">
        <v>0.27819873199945988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2"/>
      <c r="BJ64" s="191" t="s">
        <v>823</v>
      </c>
    </row>
    <row r="65" spans="1:62" ht="12.75" customHeight="1" x14ac:dyDescent="0.35">
      <c r="A65" s="108"/>
      <c r="B65" s="124" t="s">
        <v>27</v>
      </c>
      <c r="C65" s="5" t="s">
        <v>5</v>
      </c>
      <c r="D65" s="5" t="s">
        <v>312</v>
      </c>
      <c r="E65" s="5" t="s">
        <v>313</v>
      </c>
      <c r="F65" s="153">
        <v>1072351</v>
      </c>
      <c r="G65" s="154" t="s">
        <v>595</v>
      </c>
      <c r="H65" s="137">
        <v>242048.71770115569</v>
      </c>
      <c r="I65" s="137">
        <v>55187.107635863496</v>
      </c>
      <c r="J65" s="123">
        <v>0</v>
      </c>
      <c r="K65" s="123">
        <v>0</v>
      </c>
      <c r="L65" s="128">
        <v>0</v>
      </c>
      <c r="M65" s="121">
        <v>9.915359283014871E-4</v>
      </c>
      <c r="N65" s="128">
        <v>55187.107635863496</v>
      </c>
      <c r="O65" s="128">
        <v>8.8387615473539753</v>
      </c>
      <c r="P65" s="121">
        <v>1.2574712647927682</v>
      </c>
      <c r="Q65" s="5">
        <v>68068</v>
      </c>
      <c r="R65" s="5">
        <v>240</v>
      </c>
      <c r="S65" s="5">
        <v>67828</v>
      </c>
      <c r="T65" s="5">
        <v>18894</v>
      </c>
      <c r="U65" s="5">
        <v>30</v>
      </c>
      <c r="V65" s="5">
        <v>0</v>
      </c>
      <c r="W65" s="5">
        <v>7500</v>
      </c>
      <c r="X65" s="123">
        <v>242048.71770115569</v>
      </c>
      <c r="Y65" s="123">
        <v>8.4067373681041584</v>
      </c>
      <c r="Z65" s="123">
        <v>155086.71770115569</v>
      </c>
      <c r="AA65" s="112">
        <v>464733.54</v>
      </c>
      <c r="AB65" s="112">
        <v>180963.84</v>
      </c>
      <c r="AC65" s="8">
        <v>0.35927478082064135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0" t="s">
        <v>1</v>
      </c>
      <c r="BJ65" s="191" t="s">
        <v>815</v>
      </c>
    </row>
    <row r="66" spans="1:62" ht="12.75" customHeight="1" x14ac:dyDescent="0.35">
      <c r="A66" s="108"/>
      <c r="B66" s="124" t="s">
        <v>8</v>
      </c>
      <c r="C66" s="5" t="s">
        <v>5</v>
      </c>
      <c r="D66" s="5" t="s">
        <v>308</v>
      </c>
      <c r="E66" s="5" t="s">
        <v>309</v>
      </c>
      <c r="F66" s="5">
        <v>1079778</v>
      </c>
      <c r="G66" s="7" t="s">
        <v>749</v>
      </c>
      <c r="H66" s="137">
        <v>4162.1574312121056</v>
      </c>
      <c r="I66" s="137">
        <v>1198.7013401890863</v>
      </c>
      <c r="J66" s="123">
        <v>0</v>
      </c>
      <c r="K66" s="123">
        <v>0</v>
      </c>
      <c r="L66" s="128">
        <v>0</v>
      </c>
      <c r="M66" s="121">
        <v>0</v>
      </c>
      <c r="N66" s="128">
        <v>1198.7013401890863</v>
      </c>
      <c r="O66" s="128">
        <v>15.588540253697886</v>
      </c>
      <c r="P66" s="121">
        <v>1.5910285687913348</v>
      </c>
      <c r="Q66" s="5">
        <v>1185</v>
      </c>
      <c r="R66" s="5">
        <v>0</v>
      </c>
      <c r="S66" s="5">
        <v>1185</v>
      </c>
      <c r="T66" s="5">
        <v>0</v>
      </c>
      <c r="U66" s="5">
        <v>0</v>
      </c>
      <c r="V66" s="5">
        <v>0</v>
      </c>
      <c r="W66" s="5">
        <v>270</v>
      </c>
      <c r="X66" s="123">
        <v>4162.1574312121056</v>
      </c>
      <c r="Y66" s="123">
        <v>8.5412434746965147</v>
      </c>
      <c r="Z66" s="123">
        <v>2977.1574312121056</v>
      </c>
      <c r="AA66" s="112">
        <v>44909.68</v>
      </c>
      <c r="AB66" s="112">
        <v>15699.45</v>
      </c>
      <c r="AC66" s="8">
        <v>0.28470811582321709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2" t="s">
        <v>1</v>
      </c>
      <c r="BJ66" s="191" t="s">
        <v>810</v>
      </c>
    </row>
    <row r="67" spans="1:62" ht="12.5" customHeight="1" x14ac:dyDescent="0.35">
      <c r="A67" s="108"/>
      <c r="B67" s="124" t="s">
        <v>22</v>
      </c>
      <c r="C67" s="5" t="s">
        <v>5</v>
      </c>
      <c r="D67" s="5" t="s">
        <v>396</v>
      </c>
      <c r="E67" s="5" t="s">
        <v>397</v>
      </c>
      <c r="F67" s="5">
        <v>1051097</v>
      </c>
      <c r="G67" s="7" t="s">
        <v>187</v>
      </c>
      <c r="H67" s="137">
        <v>2576.6985128836882</v>
      </c>
      <c r="I67" s="137">
        <v>2576.6985128836882</v>
      </c>
      <c r="J67" s="123">
        <v>0</v>
      </c>
      <c r="K67" s="123">
        <v>0</v>
      </c>
      <c r="L67" s="128">
        <v>0</v>
      </c>
      <c r="M67" s="121">
        <v>0</v>
      </c>
      <c r="N67" s="128">
        <v>2576.6985128836882</v>
      </c>
      <c r="O67" s="128">
        <v>20.873248692805362</v>
      </c>
      <c r="P67" s="121">
        <v>1.870631455946278</v>
      </c>
      <c r="Q67" s="5">
        <v>739</v>
      </c>
      <c r="R67" s="5">
        <v>0</v>
      </c>
      <c r="S67" s="5">
        <v>739</v>
      </c>
      <c r="T67" s="5">
        <v>552</v>
      </c>
      <c r="U67" s="5">
        <v>0</v>
      </c>
      <c r="V67" s="5">
        <v>1170</v>
      </c>
      <c r="W67" s="5">
        <v>0</v>
      </c>
      <c r="X67" s="123">
        <v>2576.6985128836882</v>
      </c>
      <c r="Y67" s="123">
        <v>8.6040333741601192</v>
      </c>
      <c r="Z67" s="123">
        <v>1285.6985128836882</v>
      </c>
      <c r="AA67" s="112">
        <v>52461.58</v>
      </c>
      <c r="AB67" s="112">
        <v>50105.96</v>
      </c>
      <c r="AC67" s="8">
        <v>0.50102873640237777</v>
      </c>
      <c r="AD67" s="66"/>
      <c r="AE67" s="66">
        <v>0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0" t="s">
        <v>1</v>
      </c>
      <c r="BJ67" s="191"/>
    </row>
    <row r="68" spans="1:62" ht="12.75" customHeight="1" x14ac:dyDescent="0.35">
      <c r="A68" s="108"/>
      <c r="B68" s="124" t="s">
        <v>31</v>
      </c>
      <c r="C68" s="5" t="s">
        <v>5</v>
      </c>
      <c r="D68" s="5" t="s">
        <v>306</v>
      </c>
      <c r="E68" s="5" t="s">
        <v>307</v>
      </c>
      <c r="F68" s="140">
        <v>1076007</v>
      </c>
      <c r="G68" s="141" t="s">
        <v>653</v>
      </c>
      <c r="H68" s="137">
        <v>3855.2577786854572</v>
      </c>
      <c r="I68" s="137">
        <v>1156.577333605637</v>
      </c>
      <c r="J68" s="123">
        <v>0</v>
      </c>
      <c r="K68" s="123">
        <v>0</v>
      </c>
      <c r="L68" s="128">
        <v>0</v>
      </c>
      <c r="M68" s="121">
        <v>0</v>
      </c>
      <c r="N68" s="128">
        <v>1156.577333605637</v>
      </c>
      <c r="O68" s="128">
        <v>0</v>
      </c>
      <c r="P68" s="121">
        <v>0.194146677317835</v>
      </c>
      <c r="Q68" s="5">
        <v>1380</v>
      </c>
      <c r="R68" s="5">
        <v>0</v>
      </c>
      <c r="S68" s="5">
        <v>1380</v>
      </c>
      <c r="T68" s="5">
        <v>0</v>
      </c>
      <c r="U68" s="5">
        <v>0</v>
      </c>
      <c r="V68" s="5">
        <v>0</v>
      </c>
      <c r="W68" s="5">
        <v>0</v>
      </c>
      <c r="X68" s="123">
        <v>3855.2577786854572</v>
      </c>
      <c r="Y68" s="123">
        <v>10.738581536334083</v>
      </c>
      <c r="Z68" s="123">
        <v>2475.2577786854572</v>
      </c>
      <c r="AA68" s="112">
        <v>28567.46</v>
      </c>
      <c r="AB68" s="112">
        <v>10225.799999999999</v>
      </c>
      <c r="AC68" s="8">
        <v>0.35795271787780281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2" t="s">
        <v>1</v>
      </c>
      <c r="BJ68" s="191"/>
    </row>
    <row r="69" spans="1:62" ht="12.75" customHeight="1" x14ac:dyDescent="0.35">
      <c r="A69" s="108"/>
      <c r="B69" s="124" t="s">
        <v>15</v>
      </c>
      <c r="C69" s="5" t="s">
        <v>5</v>
      </c>
      <c r="D69" s="5" t="s">
        <v>308</v>
      </c>
      <c r="E69" s="5" t="s">
        <v>315</v>
      </c>
      <c r="F69" s="5">
        <v>1073438</v>
      </c>
      <c r="G69" s="7" t="s">
        <v>634</v>
      </c>
      <c r="H69" s="137">
        <v>47531.459242589015</v>
      </c>
      <c r="I69" s="137">
        <v>18252.080349154181</v>
      </c>
      <c r="J69" s="123">
        <v>0</v>
      </c>
      <c r="K69" s="123">
        <v>0</v>
      </c>
      <c r="L69" s="128">
        <v>0</v>
      </c>
      <c r="M69" s="121">
        <v>0</v>
      </c>
      <c r="N69" s="128">
        <v>18252.080349154181</v>
      </c>
      <c r="O69" s="128">
        <v>9.9017366146238697</v>
      </c>
      <c r="P69" s="121">
        <v>1.3426488716177221</v>
      </c>
      <c r="Q69" s="5">
        <v>17181</v>
      </c>
      <c r="R69" s="5">
        <v>0</v>
      </c>
      <c r="S69" s="5">
        <v>17181</v>
      </c>
      <c r="T69" s="5">
        <v>0</v>
      </c>
      <c r="U69" s="5">
        <v>0</v>
      </c>
      <c r="V69" s="5">
        <v>0</v>
      </c>
      <c r="W69" s="5">
        <v>2160</v>
      </c>
      <c r="X69" s="123">
        <v>47531.459242589015</v>
      </c>
      <c r="Y69" s="123">
        <v>10.843975931169515</v>
      </c>
      <c r="Z69" s="123">
        <v>30350.459242589015</v>
      </c>
      <c r="AA69" s="112">
        <v>296596.31</v>
      </c>
      <c r="AB69" s="112">
        <v>120687.84</v>
      </c>
      <c r="AC69" s="8">
        <v>0.36146586437231709</v>
      </c>
      <c r="AD69" s="66"/>
      <c r="AE69" s="66" t="s">
        <v>574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0" t="s">
        <v>1</v>
      </c>
      <c r="BJ69" s="191"/>
    </row>
    <row r="70" spans="1:62" ht="12.75" customHeight="1" x14ac:dyDescent="0.35">
      <c r="A70" s="108"/>
      <c r="B70" s="124" t="s">
        <v>148</v>
      </c>
      <c r="C70" s="5" t="s">
        <v>5</v>
      </c>
      <c r="D70" s="5" t="s">
        <v>318</v>
      </c>
      <c r="E70" s="5" t="s">
        <v>319</v>
      </c>
      <c r="F70" s="130">
        <v>1065299</v>
      </c>
      <c r="G70" s="131" t="s">
        <v>506</v>
      </c>
      <c r="H70" s="137">
        <v>160066</v>
      </c>
      <c r="I70" s="137">
        <v>128052.8</v>
      </c>
      <c r="J70" s="123">
        <v>0</v>
      </c>
      <c r="K70" s="123">
        <v>0</v>
      </c>
      <c r="L70" s="128">
        <v>0</v>
      </c>
      <c r="M70" s="121">
        <v>7.7555508352804461E-2</v>
      </c>
      <c r="N70" s="128">
        <v>128052.8</v>
      </c>
      <c r="O70" s="128">
        <v>2.1461772019042167</v>
      </c>
      <c r="P70" s="121">
        <v>1.0972360208890588</v>
      </c>
      <c r="Q70" s="5">
        <v>143196</v>
      </c>
      <c r="R70" s="5">
        <v>12414</v>
      </c>
      <c r="S70" s="5">
        <v>130782</v>
      </c>
      <c r="T70" s="5">
        <v>0</v>
      </c>
      <c r="U70" s="5">
        <v>0</v>
      </c>
      <c r="V70" s="5">
        <v>0</v>
      </c>
      <c r="W70" s="5">
        <v>0</v>
      </c>
      <c r="X70" s="123">
        <v>322763.99999999994</v>
      </c>
      <c r="Y70" s="123">
        <v>12.155816633825335</v>
      </c>
      <c r="Z70" s="123">
        <v>16870</v>
      </c>
      <c r="AA70" s="112">
        <v>1171683.1200000001</v>
      </c>
      <c r="AB70" s="112">
        <v>957324.24</v>
      </c>
      <c r="AC70" s="8">
        <v>0.89460597503529793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0" t="s">
        <v>1</v>
      </c>
      <c r="BJ70" s="191"/>
    </row>
    <row r="71" spans="1:62" ht="12.75" customHeight="1" x14ac:dyDescent="0.35">
      <c r="A71" s="108"/>
      <c r="B71" s="124" t="s">
        <v>1</v>
      </c>
      <c r="C71" s="5" t="s">
        <v>5</v>
      </c>
      <c r="D71" s="5" t="s">
        <v>308</v>
      </c>
      <c r="E71" s="5" t="s">
        <v>307</v>
      </c>
      <c r="F71" s="140">
        <v>1082266</v>
      </c>
      <c r="G71" s="141" t="s">
        <v>756</v>
      </c>
      <c r="H71" s="137">
        <v>79709.222798461589</v>
      </c>
      <c r="I71" s="137">
        <v>0</v>
      </c>
      <c r="J71" s="123">
        <v>0</v>
      </c>
      <c r="K71" s="123">
        <v>0</v>
      </c>
      <c r="L71" s="128">
        <v>0</v>
      </c>
      <c r="M71" s="121">
        <v>3.2116735179726387E-3</v>
      </c>
      <c r="N71" s="128">
        <v>0</v>
      </c>
      <c r="O71" s="128">
        <v>9.0754010461372232</v>
      </c>
      <c r="P71" s="121">
        <v>1.3210333948922695</v>
      </c>
      <c r="Q71" s="5">
        <v>33489</v>
      </c>
      <c r="R71" s="5">
        <v>256</v>
      </c>
      <c r="S71" s="5">
        <v>33233</v>
      </c>
      <c r="T71" s="5">
        <v>0</v>
      </c>
      <c r="U71" s="5">
        <v>0</v>
      </c>
      <c r="V71" s="5">
        <v>0</v>
      </c>
      <c r="W71" s="5">
        <v>560</v>
      </c>
      <c r="X71" s="123">
        <v>79709.222798461589</v>
      </c>
      <c r="Y71" s="123">
        <v>12.507837424545084</v>
      </c>
      <c r="Z71" s="123">
        <v>46220.222798461589</v>
      </c>
      <c r="AA71" s="112">
        <v>598616.26</v>
      </c>
      <c r="AB71" s="112">
        <v>253785.43</v>
      </c>
      <c r="AC71" s="8">
        <v>0.42013958766947535</v>
      </c>
      <c r="AD71" s="66"/>
      <c r="AE71" s="66">
        <v>3.8736178813458575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0" t="s">
        <v>1</v>
      </c>
      <c r="BJ71" s="191" t="s">
        <v>867</v>
      </c>
    </row>
    <row r="72" spans="1:62" ht="12.75" customHeight="1" x14ac:dyDescent="0.35">
      <c r="A72" s="108"/>
      <c r="B72" s="124" t="s">
        <v>9</v>
      </c>
      <c r="C72" s="5" t="s">
        <v>5</v>
      </c>
      <c r="D72" s="5" t="s">
        <v>308</v>
      </c>
      <c r="E72" s="5" t="s">
        <v>397</v>
      </c>
      <c r="F72" s="56">
        <v>1074164</v>
      </c>
      <c r="G72" s="65" t="s">
        <v>700</v>
      </c>
      <c r="H72" s="137">
        <v>7102.4251967770851</v>
      </c>
      <c r="I72" s="137">
        <v>7102.4251967770851</v>
      </c>
      <c r="J72" s="123">
        <v>0</v>
      </c>
      <c r="K72" s="123">
        <v>0</v>
      </c>
      <c r="L72" s="128">
        <v>0</v>
      </c>
      <c r="M72" s="121">
        <v>0</v>
      </c>
      <c r="N72" s="128">
        <v>7102.4251967770851</v>
      </c>
      <c r="O72" s="128">
        <v>10.61381464851042</v>
      </c>
      <c r="P72" s="121">
        <v>1.4204664660985902</v>
      </c>
      <c r="Q72" s="5">
        <v>3151</v>
      </c>
      <c r="R72" s="5">
        <v>0</v>
      </c>
      <c r="S72" s="5">
        <v>3097</v>
      </c>
      <c r="T72" s="5">
        <v>0</v>
      </c>
      <c r="U72" s="5">
        <v>0</v>
      </c>
      <c r="V72" s="5">
        <v>1710</v>
      </c>
      <c r="W72" s="5">
        <v>21</v>
      </c>
      <c r="X72" s="123">
        <v>7102.4251967770851</v>
      </c>
      <c r="Y72" s="123">
        <v>13.081447171335277</v>
      </c>
      <c r="Z72" s="123">
        <v>3951.4251967770851</v>
      </c>
      <c r="AA72" s="112">
        <v>76848.240000000005</v>
      </c>
      <c r="AB72" s="112">
        <v>52238.96</v>
      </c>
      <c r="AC72" s="8">
        <v>0.44365127582474928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2" t="s">
        <v>1</v>
      </c>
      <c r="BJ72" s="191" t="s">
        <v>834</v>
      </c>
    </row>
    <row r="73" spans="1:62" ht="12.75" customHeight="1" x14ac:dyDescent="0.35">
      <c r="A73" s="108"/>
      <c r="B73" s="124" t="s">
        <v>31</v>
      </c>
      <c r="C73" s="5" t="s">
        <v>5</v>
      </c>
      <c r="D73" s="5" t="s">
        <v>306</v>
      </c>
      <c r="E73" s="5" t="s">
        <v>307</v>
      </c>
      <c r="F73" s="5">
        <v>1071166</v>
      </c>
      <c r="G73" s="7" t="s">
        <v>605</v>
      </c>
      <c r="H73" s="137">
        <v>37691.027991713461</v>
      </c>
      <c r="I73" s="137">
        <v>5276.7439188398848</v>
      </c>
      <c r="J73" s="123">
        <v>0</v>
      </c>
      <c r="K73" s="123">
        <v>0</v>
      </c>
      <c r="L73" s="128">
        <v>0</v>
      </c>
      <c r="M73" s="121">
        <v>0</v>
      </c>
      <c r="N73" s="128">
        <v>5276.7439188398848</v>
      </c>
      <c r="O73" s="128">
        <v>2.4722111451196702</v>
      </c>
      <c r="P73" s="121">
        <v>1.0846231061642879</v>
      </c>
      <c r="Q73" s="5">
        <v>16968</v>
      </c>
      <c r="R73" s="5">
        <v>0</v>
      </c>
      <c r="S73" s="5">
        <v>16968</v>
      </c>
      <c r="T73" s="5">
        <v>0</v>
      </c>
      <c r="U73" s="5">
        <v>0</v>
      </c>
      <c r="V73" s="5">
        <v>0</v>
      </c>
      <c r="W73" s="5">
        <v>0</v>
      </c>
      <c r="X73" s="123">
        <v>37691.027991713461</v>
      </c>
      <c r="Y73" s="123">
        <v>13.505601389060407</v>
      </c>
      <c r="Z73" s="123">
        <v>20723.027991713461</v>
      </c>
      <c r="AA73" s="112">
        <v>102896.51</v>
      </c>
      <c r="AB73" s="112">
        <v>46322.64</v>
      </c>
      <c r="AC73" s="8">
        <v>0.45018671296868018</v>
      </c>
      <c r="AD73" s="66"/>
      <c r="AE73" s="66" t="s">
        <v>574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0" t="s">
        <v>1</v>
      </c>
      <c r="BJ73" s="191" t="s">
        <v>833</v>
      </c>
    </row>
    <row r="74" spans="1:62" ht="12.75" customHeight="1" x14ac:dyDescent="0.35">
      <c r="A74" s="108"/>
      <c r="B74" s="124" t="s">
        <v>31</v>
      </c>
      <c r="C74" s="5" t="s">
        <v>5</v>
      </c>
      <c r="D74" s="5" t="s">
        <v>306</v>
      </c>
      <c r="E74" s="5" t="s">
        <v>307</v>
      </c>
      <c r="F74" s="5">
        <v>1077101</v>
      </c>
      <c r="G74" s="7" t="s">
        <v>677</v>
      </c>
      <c r="H74" s="137">
        <v>80381.719504411085</v>
      </c>
      <c r="I74" s="137">
        <v>3215.2687801764437</v>
      </c>
      <c r="J74" s="123">
        <v>0</v>
      </c>
      <c r="K74" s="123">
        <v>0</v>
      </c>
      <c r="L74" s="128">
        <v>0</v>
      </c>
      <c r="M74" s="121">
        <v>0</v>
      </c>
      <c r="N74" s="128">
        <v>3215.2687801764437</v>
      </c>
      <c r="O74" s="128">
        <v>15.111227104688007</v>
      </c>
      <c r="P74" s="121">
        <v>1.5350638519218807</v>
      </c>
      <c r="Q74" s="5">
        <v>36360</v>
      </c>
      <c r="R74" s="5">
        <v>0</v>
      </c>
      <c r="S74" s="5">
        <v>36360</v>
      </c>
      <c r="T74" s="5">
        <v>42810</v>
      </c>
      <c r="U74" s="5">
        <v>0</v>
      </c>
      <c r="V74" s="5">
        <v>0</v>
      </c>
      <c r="W74" s="5">
        <v>0</v>
      </c>
      <c r="X74" s="123">
        <v>80381.71950441107</v>
      </c>
      <c r="Y74" s="123">
        <v>13.570249637918492</v>
      </c>
      <c r="Z74" s="123">
        <v>1211.7195044110849</v>
      </c>
      <c r="AA74" s="112">
        <v>71539.73</v>
      </c>
      <c r="AB74" s="112">
        <v>70461.3</v>
      </c>
      <c r="AC74" s="8">
        <v>0.98492543439127855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0"/>
      <c r="BJ74" s="191" t="s">
        <v>816</v>
      </c>
    </row>
    <row r="75" spans="1:62" ht="12.75" customHeight="1" x14ac:dyDescent="0.35">
      <c r="B75" s="124" t="s">
        <v>27</v>
      </c>
      <c r="C75" s="5" t="s">
        <v>5</v>
      </c>
      <c r="D75" s="5" t="s">
        <v>308</v>
      </c>
      <c r="E75" s="5" t="s">
        <v>315</v>
      </c>
      <c r="F75" s="5">
        <v>1078707</v>
      </c>
      <c r="G75" s="7" t="s">
        <v>695</v>
      </c>
      <c r="H75" s="137">
        <v>4992.8978345674841</v>
      </c>
      <c r="I75" s="137">
        <v>3265.3551838071348</v>
      </c>
      <c r="J75" s="123">
        <v>0</v>
      </c>
      <c r="K75" s="123">
        <v>0</v>
      </c>
      <c r="L75" s="128">
        <v>0</v>
      </c>
      <c r="M75" s="121">
        <v>0</v>
      </c>
      <c r="N75" s="128">
        <v>3265.3551838071348</v>
      </c>
      <c r="O75" s="128">
        <v>6.1303022089366586</v>
      </c>
      <c r="P75" s="121">
        <v>1.2276497664010924</v>
      </c>
      <c r="Q75" s="5">
        <v>2438</v>
      </c>
      <c r="R75" s="5">
        <v>0</v>
      </c>
      <c r="S75" s="5">
        <v>2437</v>
      </c>
      <c r="T75" s="5">
        <v>0</v>
      </c>
      <c r="U75" s="5">
        <v>8</v>
      </c>
      <c r="V75" s="5">
        <v>0</v>
      </c>
      <c r="W75" s="5">
        <v>0</v>
      </c>
      <c r="X75" s="123">
        <v>4992.8978345674841</v>
      </c>
      <c r="Y75" s="123">
        <v>14.642799116343875</v>
      </c>
      <c r="Z75" s="123">
        <v>2554.8978345674841</v>
      </c>
      <c r="AA75" s="112">
        <v>59665.13</v>
      </c>
      <c r="AB75" s="112">
        <v>29217.75</v>
      </c>
      <c r="AC75" s="8">
        <v>0.48829358836884651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0"/>
      <c r="BJ75" s="191" t="s">
        <v>851</v>
      </c>
    </row>
    <row r="76" spans="1:62" ht="12.75" customHeight="1" x14ac:dyDescent="0.35">
      <c r="A76" s="108"/>
      <c r="B76" s="124" t="s">
        <v>31</v>
      </c>
      <c r="C76" s="5" t="s">
        <v>5</v>
      </c>
      <c r="D76" s="5" t="s">
        <v>306</v>
      </c>
      <c r="E76" s="5" t="s">
        <v>307</v>
      </c>
      <c r="F76" s="140">
        <v>1076009</v>
      </c>
      <c r="G76" s="141" t="s">
        <v>655</v>
      </c>
      <c r="H76" s="137">
        <v>55168.598886032974</v>
      </c>
      <c r="I76" s="137">
        <v>22067.439554413191</v>
      </c>
      <c r="J76" s="123">
        <v>0</v>
      </c>
      <c r="K76" s="123">
        <v>0</v>
      </c>
      <c r="L76" s="128">
        <v>0</v>
      </c>
      <c r="M76" s="121">
        <v>0</v>
      </c>
      <c r="N76" s="128">
        <v>22067.439554413191</v>
      </c>
      <c r="O76" s="128">
        <v>1.300481593461946</v>
      </c>
      <c r="P76" s="121">
        <v>1.0466990046445714</v>
      </c>
      <c r="Q76" s="5">
        <v>27208</v>
      </c>
      <c r="R76" s="5">
        <v>0</v>
      </c>
      <c r="S76" s="5">
        <v>27208</v>
      </c>
      <c r="T76" s="5">
        <v>1496</v>
      </c>
      <c r="U76" s="5">
        <v>0</v>
      </c>
      <c r="V76" s="5">
        <v>0</v>
      </c>
      <c r="W76" s="5">
        <v>2000</v>
      </c>
      <c r="X76" s="123">
        <v>55168.598886032974</v>
      </c>
      <c r="Y76" s="123">
        <v>14.795373028888855</v>
      </c>
      <c r="Z76" s="123">
        <v>26464.598886032974</v>
      </c>
      <c r="AA76" s="112">
        <v>493758.96</v>
      </c>
      <c r="AB76" s="112">
        <v>274800.8</v>
      </c>
      <c r="AC76" s="8">
        <v>0.52029597596445365</v>
      </c>
      <c r="AD76" s="66"/>
      <c r="AE76" s="66">
        <v>21.67148988350705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0" t="s">
        <v>1</v>
      </c>
      <c r="BJ76" s="191"/>
    </row>
    <row r="77" spans="1:62" ht="12.75" customHeight="1" x14ac:dyDescent="0.35">
      <c r="A77" s="108"/>
      <c r="B77" s="124" t="s">
        <v>21</v>
      </c>
      <c r="C77" s="5" t="s">
        <v>5</v>
      </c>
      <c r="D77" s="5" t="s">
        <v>306</v>
      </c>
      <c r="E77" s="5" t="s">
        <v>307</v>
      </c>
      <c r="F77" s="5">
        <v>1016066</v>
      </c>
      <c r="G77" s="7" t="s">
        <v>289</v>
      </c>
      <c r="H77" s="137">
        <v>1888.5309796143101</v>
      </c>
      <c r="I77" s="137">
        <v>1812.9897404297376</v>
      </c>
      <c r="J77" s="123">
        <v>0</v>
      </c>
      <c r="K77" s="123">
        <v>0</v>
      </c>
      <c r="L77" s="128">
        <v>0</v>
      </c>
      <c r="M77" s="121">
        <v>0</v>
      </c>
      <c r="N77" s="128">
        <v>1812.9897404297376</v>
      </c>
      <c r="O77" s="128">
        <v>11.158975330060295</v>
      </c>
      <c r="P77" s="121">
        <v>1.3804263389788436</v>
      </c>
      <c r="Q77" s="5">
        <v>955</v>
      </c>
      <c r="R77" s="5">
        <v>0</v>
      </c>
      <c r="S77" s="5">
        <v>955</v>
      </c>
      <c r="T77" s="5">
        <v>0</v>
      </c>
      <c r="U77" s="5">
        <v>0</v>
      </c>
      <c r="V77" s="5">
        <v>0</v>
      </c>
      <c r="W77" s="5">
        <v>0</v>
      </c>
      <c r="X77" s="123">
        <v>1888.5309796143101</v>
      </c>
      <c r="Y77" s="123">
        <v>15.170521590199762</v>
      </c>
      <c r="Z77" s="123">
        <v>933.53097961431013</v>
      </c>
      <c r="AA77" s="112">
        <v>20698.3</v>
      </c>
      <c r="AB77" s="112">
        <v>10466.799999999999</v>
      </c>
      <c r="AC77" s="8">
        <v>0.50568405300665875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0" t="s">
        <v>1</v>
      </c>
      <c r="BJ77" s="191" t="s">
        <v>814</v>
      </c>
    </row>
    <row r="78" spans="1:62" ht="12.5" customHeight="1" x14ac:dyDescent="0.35">
      <c r="A78" s="108"/>
      <c r="B78" s="124" t="s">
        <v>1</v>
      </c>
      <c r="C78" s="5" t="s">
        <v>24</v>
      </c>
      <c r="D78" s="5" t="s">
        <v>316</v>
      </c>
      <c r="E78" s="5" t="s">
        <v>317</v>
      </c>
      <c r="F78" s="5">
        <v>1070881</v>
      </c>
      <c r="G78" s="7" t="s">
        <v>684</v>
      </c>
      <c r="H78" s="137">
        <v>3429.2202052918856</v>
      </c>
      <c r="I78" s="137">
        <v>370.35578217152363</v>
      </c>
      <c r="J78" s="123">
        <v>0</v>
      </c>
      <c r="K78" s="123">
        <v>0</v>
      </c>
      <c r="L78" s="128">
        <v>0</v>
      </c>
      <c r="M78" s="121">
        <v>0</v>
      </c>
      <c r="N78" s="128">
        <v>370.35578217152363</v>
      </c>
      <c r="O78" s="128">
        <v>10.076289683021189</v>
      </c>
      <c r="P78" s="121">
        <v>2.3312363793104778</v>
      </c>
      <c r="Q78" s="5">
        <v>1791</v>
      </c>
      <c r="R78" s="5">
        <v>0</v>
      </c>
      <c r="S78" s="5">
        <v>1791</v>
      </c>
      <c r="T78" s="5">
        <v>0</v>
      </c>
      <c r="U78" s="5">
        <v>0</v>
      </c>
      <c r="V78" s="5">
        <v>0</v>
      </c>
      <c r="W78" s="5">
        <v>0</v>
      </c>
      <c r="X78" s="123">
        <v>3429.2202052918856</v>
      </c>
      <c r="Y78" s="123">
        <v>15.668285144560047</v>
      </c>
      <c r="Z78" s="123">
        <v>1638.2202052918856</v>
      </c>
      <c r="AA78" s="112">
        <v>18174.87</v>
      </c>
      <c r="AB78" s="112">
        <v>9492.2999999999993</v>
      </c>
      <c r="AC78" s="8">
        <v>0.52227617148533478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2" t="s">
        <v>1</v>
      </c>
      <c r="BJ78" s="191"/>
    </row>
    <row r="79" spans="1:62" ht="12.75" customHeight="1" x14ac:dyDescent="0.35">
      <c r="A79" s="108"/>
      <c r="B79" s="124" t="s">
        <v>21</v>
      </c>
      <c r="C79" s="5" t="s">
        <v>5</v>
      </c>
      <c r="D79" s="5" t="s">
        <v>396</v>
      </c>
      <c r="E79" s="5" t="s">
        <v>307</v>
      </c>
      <c r="F79" s="5">
        <v>1058296</v>
      </c>
      <c r="G79" s="7" t="s">
        <v>249</v>
      </c>
      <c r="H79" s="137">
        <v>5992.6387077588824</v>
      </c>
      <c r="I79" s="137">
        <v>2996.3193538794412</v>
      </c>
      <c r="J79" s="123">
        <v>0</v>
      </c>
      <c r="K79" s="123">
        <v>0</v>
      </c>
      <c r="L79" s="128">
        <v>0</v>
      </c>
      <c r="M79" s="121">
        <v>0</v>
      </c>
      <c r="N79" s="128">
        <v>2996.3193538794412</v>
      </c>
      <c r="O79" s="128">
        <v>7.6883522920252965</v>
      </c>
      <c r="P79" s="121">
        <v>1.2784125740079662</v>
      </c>
      <c r="Q79" s="5">
        <v>3226</v>
      </c>
      <c r="R79" s="5">
        <v>0</v>
      </c>
      <c r="S79" s="5">
        <v>3226</v>
      </c>
      <c r="T79" s="5">
        <v>0</v>
      </c>
      <c r="U79" s="5">
        <v>160</v>
      </c>
      <c r="V79" s="5">
        <v>0</v>
      </c>
      <c r="W79" s="5">
        <v>0</v>
      </c>
      <c r="X79" s="123">
        <v>5992.6387077588824</v>
      </c>
      <c r="Y79" s="123">
        <v>16.149813916646682</v>
      </c>
      <c r="Z79" s="123">
        <v>2766.6387077588824</v>
      </c>
      <c r="AA79" s="112">
        <v>33259.14</v>
      </c>
      <c r="AB79" s="112">
        <v>18792.3</v>
      </c>
      <c r="AC79" s="8">
        <v>0.53832713055488945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0"/>
      <c r="BJ79" s="191"/>
    </row>
    <row r="80" spans="1:62" ht="12.75" customHeight="1" x14ac:dyDescent="0.35">
      <c r="A80" s="108"/>
      <c r="B80" s="124" t="s">
        <v>1</v>
      </c>
      <c r="C80" s="5" t="s">
        <v>2</v>
      </c>
      <c r="D80" s="5" t="s">
        <v>310</v>
      </c>
      <c r="E80" s="5" t="s">
        <v>311</v>
      </c>
      <c r="F80" s="133">
        <v>1080748</v>
      </c>
      <c r="G80" s="134" t="s">
        <v>768</v>
      </c>
      <c r="H80" s="137">
        <v>3341.3372921140117</v>
      </c>
      <c r="I80" s="137">
        <v>2004.8023752684069</v>
      </c>
      <c r="J80" s="123">
        <v>0</v>
      </c>
      <c r="K80" s="123">
        <v>0</v>
      </c>
      <c r="L80" s="128">
        <v>0</v>
      </c>
      <c r="M80" s="121">
        <v>0</v>
      </c>
      <c r="N80" s="128">
        <v>2004.8023752684069</v>
      </c>
      <c r="O80" s="128">
        <v>5.7493590010554696</v>
      </c>
      <c r="P80" s="121">
        <v>1.1895850336481133</v>
      </c>
      <c r="Q80" s="5">
        <v>1805</v>
      </c>
      <c r="R80" s="5">
        <v>0</v>
      </c>
      <c r="S80" s="5">
        <v>1805</v>
      </c>
      <c r="T80" s="5">
        <v>0</v>
      </c>
      <c r="U80" s="5">
        <v>0</v>
      </c>
      <c r="V80" s="5">
        <v>0</v>
      </c>
      <c r="W80" s="5">
        <v>80</v>
      </c>
      <c r="X80" s="123">
        <v>3341.3372921140117</v>
      </c>
      <c r="Y80" s="123">
        <v>16.206086146346557</v>
      </c>
      <c r="Z80" s="123">
        <v>1536.3372921140117</v>
      </c>
      <c r="AA80" s="112">
        <v>48048.43</v>
      </c>
      <c r="AB80" s="112">
        <v>27106.3</v>
      </c>
      <c r="AC80" s="8">
        <v>0.54020287154488522</v>
      </c>
      <c r="AD80" s="66"/>
      <c r="AE80" s="66">
        <v>58.314976494291471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0" t="s">
        <v>1</v>
      </c>
      <c r="BJ80" s="191"/>
    </row>
    <row r="81" spans="1:62" ht="12.75" customHeight="1" x14ac:dyDescent="0.35">
      <c r="A81" s="108"/>
      <c r="B81" s="124" t="s">
        <v>1</v>
      </c>
      <c r="C81" s="5" t="s">
        <v>50</v>
      </c>
      <c r="D81" s="5" t="s">
        <v>320</v>
      </c>
      <c r="E81" s="5" t="s">
        <v>402</v>
      </c>
      <c r="F81" s="5">
        <v>1060800</v>
      </c>
      <c r="G81" s="7" t="s">
        <v>437</v>
      </c>
      <c r="H81" s="137">
        <v>30770.616896976488</v>
      </c>
      <c r="I81" s="137">
        <v>5538.7110414557674</v>
      </c>
      <c r="J81" s="123">
        <v>0</v>
      </c>
      <c r="K81" s="123">
        <v>0</v>
      </c>
      <c r="L81" s="128">
        <v>0</v>
      </c>
      <c r="M81" s="121">
        <v>0</v>
      </c>
      <c r="N81" s="128">
        <v>5538.7110414557674</v>
      </c>
      <c r="O81" s="128">
        <v>0</v>
      </c>
      <c r="P81" s="121">
        <v>0.70727555545463516</v>
      </c>
      <c r="Q81" s="5">
        <v>16702</v>
      </c>
      <c r="R81" s="5">
        <v>0</v>
      </c>
      <c r="S81" s="5">
        <v>16702</v>
      </c>
      <c r="T81" s="5">
        <v>0</v>
      </c>
      <c r="U81" s="5">
        <v>16</v>
      </c>
      <c r="V81" s="5">
        <v>0</v>
      </c>
      <c r="W81" s="5">
        <v>401</v>
      </c>
      <c r="X81" s="123">
        <v>30770.616896976488</v>
      </c>
      <c r="Y81" s="123">
        <v>16.283716432387614</v>
      </c>
      <c r="Z81" s="123">
        <v>14068.616896976488</v>
      </c>
      <c r="AA81" s="112">
        <v>209240.19</v>
      </c>
      <c r="AB81" s="112">
        <v>116409.2</v>
      </c>
      <c r="AC81" s="8">
        <v>0.54279054774625379</v>
      </c>
      <c r="AD81" s="66"/>
      <c r="AE81" s="66">
        <v>7.1636228102869923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0" t="s">
        <v>1</v>
      </c>
      <c r="BJ81" s="191"/>
    </row>
    <row r="82" spans="1:62" ht="12.75" customHeight="1" x14ac:dyDescent="0.35">
      <c r="A82" s="108"/>
      <c r="B82" s="124" t="s">
        <v>31</v>
      </c>
      <c r="C82" s="5" t="s">
        <v>5</v>
      </c>
      <c r="D82" s="5" t="s">
        <v>306</v>
      </c>
      <c r="E82" s="5" t="s">
        <v>307</v>
      </c>
      <c r="F82" s="5">
        <v>1074077</v>
      </c>
      <c r="G82" s="7" t="s">
        <v>696</v>
      </c>
      <c r="H82" s="137">
        <v>26929.049411377699</v>
      </c>
      <c r="I82" s="137">
        <v>5008.8031905162516</v>
      </c>
      <c r="J82" s="123">
        <v>0</v>
      </c>
      <c r="K82" s="123">
        <v>0</v>
      </c>
      <c r="L82" s="128">
        <v>0</v>
      </c>
      <c r="M82" s="121">
        <v>0</v>
      </c>
      <c r="N82" s="128">
        <v>5008.8031905162516</v>
      </c>
      <c r="O82" s="128">
        <v>0</v>
      </c>
      <c r="P82" s="121">
        <v>0.34403071948453701</v>
      </c>
      <c r="Q82" s="5">
        <v>14858</v>
      </c>
      <c r="R82" s="5">
        <v>0</v>
      </c>
      <c r="S82" s="5">
        <v>14858</v>
      </c>
      <c r="T82" s="5">
        <v>0</v>
      </c>
      <c r="U82" s="5">
        <v>0</v>
      </c>
      <c r="V82" s="5">
        <v>0</v>
      </c>
      <c r="W82" s="5">
        <v>240</v>
      </c>
      <c r="X82" s="123">
        <v>26929.049411377699</v>
      </c>
      <c r="Y82" s="123">
        <v>16.552385239847045</v>
      </c>
      <c r="Z82" s="123">
        <v>12071.049411377699</v>
      </c>
      <c r="AA82" s="112">
        <v>85634.38</v>
      </c>
      <c r="AB82" s="112">
        <v>48011.64</v>
      </c>
      <c r="AC82" s="8">
        <v>0.55174617466156817</v>
      </c>
      <c r="AD82" s="66"/>
      <c r="AE82" s="66" t="s">
        <v>574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2" t="s">
        <v>1</v>
      </c>
      <c r="BJ82" s="191" t="s">
        <v>827</v>
      </c>
    </row>
    <row r="83" spans="1:62" ht="12.75" customHeight="1" x14ac:dyDescent="0.35">
      <c r="A83" s="108"/>
      <c r="B83" s="124" t="s">
        <v>21</v>
      </c>
      <c r="C83" s="5" t="s">
        <v>5</v>
      </c>
      <c r="D83" s="5" t="s">
        <v>396</v>
      </c>
      <c r="E83" s="5" t="s">
        <v>397</v>
      </c>
      <c r="F83" s="5">
        <v>1040796</v>
      </c>
      <c r="G83" s="7" t="s">
        <v>85</v>
      </c>
      <c r="H83" s="137">
        <v>8464.9903305010866</v>
      </c>
      <c r="I83" s="137">
        <v>84649.90330501087</v>
      </c>
      <c r="J83" s="123">
        <v>0</v>
      </c>
      <c r="K83" s="123">
        <v>0</v>
      </c>
      <c r="L83" s="128">
        <v>0</v>
      </c>
      <c r="M83" s="121">
        <v>0</v>
      </c>
      <c r="N83" s="128">
        <v>84649.90330501087</v>
      </c>
      <c r="O83" s="128">
        <v>6.944436948187735</v>
      </c>
      <c r="P83" s="121">
        <v>1.2790689437215337</v>
      </c>
      <c r="Q83" s="5">
        <v>4688</v>
      </c>
      <c r="R83" s="5">
        <v>0</v>
      </c>
      <c r="S83" s="5">
        <v>4688</v>
      </c>
      <c r="T83" s="5">
        <v>0</v>
      </c>
      <c r="U83" s="5">
        <v>0</v>
      </c>
      <c r="V83" s="5">
        <v>0</v>
      </c>
      <c r="W83" s="5">
        <v>200</v>
      </c>
      <c r="X83" s="123">
        <v>8464.9903305010866</v>
      </c>
      <c r="Y83" s="123">
        <v>16.61431313078355</v>
      </c>
      <c r="Z83" s="123">
        <v>3776.9903305010866</v>
      </c>
      <c r="AA83" s="112">
        <v>93961.39</v>
      </c>
      <c r="AB83" s="112">
        <v>54256.800000000003</v>
      </c>
      <c r="AC83" s="8">
        <v>0.55381043769278504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0" t="s">
        <v>1</v>
      </c>
      <c r="BJ83" s="175" t="s">
        <v>812</v>
      </c>
    </row>
    <row r="84" spans="1:62" ht="12.75" customHeight="1" x14ac:dyDescent="0.35">
      <c r="A84" s="108"/>
      <c r="B84" s="124" t="s">
        <v>15</v>
      </c>
      <c r="C84" s="5" t="s">
        <v>5</v>
      </c>
      <c r="D84" s="5" t="s">
        <v>308</v>
      </c>
      <c r="E84" s="5" t="s">
        <v>315</v>
      </c>
      <c r="F84" s="133">
        <v>1082605</v>
      </c>
      <c r="G84" s="134" t="s">
        <v>771</v>
      </c>
      <c r="H84" s="137">
        <v>24333.041958958867</v>
      </c>
      <c r="I84" s="137">
        <v>8857.2272730610275</v>
      </c>
      <c r="J84" s="123">
        <v>0</v>
      </c>
      <c r="K84" s="123">
        <v>0</v>
      </c>
      <c r="L84" s="128">
        <v>0</v>
      </c>
      <c r="M84" s="121">
        <v>0</v>
      </c>
      <c r="N84" s="128">
        <v>8857.2272730610275</v>
      </c>
      <c r="O84" s="128">
        <v>2.2104298258362496</v>
      </c>
      <c r="P84" s="121">
        <v>1.0690549868957187</v>
      </c>
      <c r="Q84" s="5">
        <v>13486</v>
      </c>
      <c r="R84" s="5">
        <v>0</v>
      </c>
      <c r="S84" s="5">
        <v>13486</v>
      </c>
      <c r="T84" s="5">
        <v>0</v>
      </c>
      <c r="U84" s="5">
        <v>18</v>
      </c>
      <c r="V84" s="5">
        <v>0</v>
      </c>
      <c r="W84" s="5">
        <v>90</v>
      </c>
      <c r="X84" s="123">
        <v>24333.041958958867</v>
      </c>
      <c r="Y84" s="123">
        <v>16.626774436274005</v>
      </c>
      <c r="Z84" s="123">
        <v>10847.041958958867</v>
      </c>
      <c r="AA84" s="112">
        <v>142591.63</v>
      </c>
      <c r="AB84" s="112">
        <v>79660.84</v>
      </c>
      <c r="AC84" s="8">
        <v>0.55422581454246678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0" t="s">
        <v>1</v>
      </c>
      <c r="BJ84" s="191"/>
    </row>
    <row r="85" spans="1:62" ht="12.75" customHeight="1" x14ac:dyDescent="0.35">
      <c r="A85" s="108"/>
      <c r="B85" s="124" t="s">
        <v>22</v>
      </c>
      <c r="C85" s="5" t="s">
        <v>5</v>
      </c>
      <c r="D85" s="5" t="s">
        <v>396</v>
      </c>
      <c r="E85" s="5" t="s">
        <v>397</v>
      </c>
      <c r="F85" s="5">
        <v>1077857</v>
      </c>
      <c r="G85" s="7" t="s">
        <v>732</v>
      </c>
      <c r="H85" s="137">
        <v>523.50240944557868</v>
      </c>
      <c r="I85" s="137">
        <v>2617.5120472278932</v>
      </c>
      <c r="J85" s="123">
        <v>0</v>
      </c>
      <c r="K85" s="123">
        <v>0</v>
      </c>
      <c r="L85" s="128">
        <v>0</v>
      </c>
      <c r="M85" s="121">
        <v>7.6408435335307175E-3</v>
      </c>
      <c r="N85" s="128">
        <v>2617.5120472278932</v>
      </c>
      <c r="O85" s="128">
        <v>0</v>
      </c>
      <c r="P85" s="121">
        <v>0.49</v>
      </c>
      <c r="Q85" s="5">
        <v>301</v>
      </c>
      <c r="R85" s="5">
        <v>4</v>
      </c>
      <c r="S85" s="5">
        <v>297</v>
      </c>
      <c r="T85" s="5">
        <v>0</v>
      </c>
      <c r="U85" s="5">
        <v>0</v>
      </c>
      <c r="V85" s="5">
        <v>0</v>
      </c>
      <c r="W85" s="5">
        <v>0</v>
      </c>
      <c r="X85" s="123">
        <v>523.50240944557868</v>
      </c>
      <c r="Y85" s="123">
        <v>17.019978970939675</v>
      </c>
      <c r="Z85" s="123">
        <v>222.50240944557868</v>
      </c>
      <c r="AA85" s="112">
        <v>56695.31</v>
      </c>
      <c r="AB85" s="112">
        <v>32165.1</v>
      </c>
      <c r="AC85" s="8">
        <v>0.57497347589818659</v>
      </c>
      <c r="AD85" s="66"/>
      <c r="AE85" s="66">
        <v>35.199203187251001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0" t="s">
        <v>1</v>
      </c>
      <c r="BJ85" s="191" t="s">
        <v>828</v>
      </c>
    </row>
    <row r="86" spans="1:62" ht="12.5" customHeight="1" x14ac:dyDescent="0.35">
      <c r="A86" s="108"/>
      <c r="B86" s="124">
        <v>0</v>
      </c>
      <c r="C86" s="5" t="s">
        <v>2</v>
      </c>
      <c r="D86" s="5" t="s">
        <v>310</v>
      </c>
      <c r="E86" s="5" t="s">
        <v>311</v>
      </c>
      <c r="F86" s="160">
        <v>1080746</v>
      </c>
      <c r="G86" s="165" t="s">
        <v>789</v>
      </c>
      <c r="H86" s="137">
        <v>7479.1136263222916</v>
      </c>
      <c r="I86" s="137">
        <v>3589.9745406346997</v>
      </c>
      <c r="J86" s="123">
        <v>0</v>
      </c>
      <c r="K86" s="123">
        <v>0</v>
      </c>
      <c r="L86" s="128">
        <v>0</v>
      </c>
      <c r="M86" s="121">
        <v>3.2089364059844526E-3</v>
      </c>
      <c r="N86" s="128">
        <v>3589.9745406346997</v>
      </c>
      <c r="O86" s="128">
        <v>10.947598686202614</v>
      </c>
      <c r="P86" s="121">
        <v>1.3228110584715751</v>
      </c>
      <c r="Q86" s="5">
        <v>4281</v>
      </c>
      <c r="R86" s="5">
        <v>24</v>
      </c>
      <c r="S86" s="5">
        <v>4257</v>
      </c>
      <c r="T86" s="5">
        <v>0</v>
      </c>
      <c r="U86" s="5">
        <v>0</v>
      </c>
      <c r="V86" s="5">
        <v>0</v>
      </c>
      <c r="W86" s="5">
        <v>0</v>
      </c>
      <c r="X86" s="123">
        <v>7479.1136263222916</v>
      </c>
      <c r="Y86" s="123">
        <v>17.075552850344767</v>
      </c>
      <c r="Z86" s="123">
        <v>3198.1136263222916</v>
      </c>
      <c r="AA86" s="112">
        <v>171196.91</v>
      </c>
      <c r="AB86" s="112">
        <v>97442.73</v>
      </c>
      <c r="AC86" s="8">
        <v>0.57239403141747669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0" t="s">
        <v>1</v>
      </c>
      <c r="BJ86" s="191"/>
    </row>
    <row r="87" spans="1:62" ht="12.75" customHeight="1" x14ac:dyDescent="0.35">
      <c r="A87" s="108"/>
      <c r="B87" s="124" t="s">
        <v>31</v>
      </c>
      <c r="C87" s="5" t="s">
        <v>5</v>
      </c>
      <c r="D87" s="5" t="s">
        <v>396</v>
      </c>
      <c r="E87" s="5" t="s">
        <v>307</v>
      </c>
      <c r="F87" s="5">
        <v>1071765</v>
      </c>
      <c r="G87" s="7" t="s">
        <v>590</v>
      </c>
      <c r="H87" s="137">
        <v>17736.049263913177</v>
      </c>
      <c r="I87" s="137">
        <v>15962.44433752186</v>
      </c>
      <c r="J87" s="123">
        <v>0</v>
      </c>
      <c r="K87" s="123">
        <v>0</v>
      </c>
      <c r="L87" s="128">
        <v>0</v>
      </c>
      <c r="M87" s="121">
        <v>0</v>
      </c>
      <c r="N87" s="128">
        <v>15962.44433752186</v>
      </c>
      <c r="O87" s="128">
        <v>2.8466475253671786</v>
      </c>
      <c r="P87" s="121">
        <v>1.1134589219584856</v>
      </c>
      <c r="Q87" s="5">
        <v>10361</v>
      </c>
      <c r="R87" s="5">
        <v>0</v>
      </c>
      <c r="S87" s="5">
        <v>10354</v>
      </c>
      <c r="T87" s="5">
        <v>0</v>
      </c>
      <c r="U87" s="5">
        <v>0</v>
      </c>
      <c r="V87" s="5">
        <v>4104</v>
      </c>
      <c r="W87" s="5">
        <v>360</v>
      </c>
      <c r="X87" s="123">
        <v>17736.049263913177</v>
      </c>
      <c r="Y87" s="123">
        <v>17.513483153883989</v>
      </c>
      <c r="Z87" s="123">
        <v>7375.0492639131771</v>
      </c>
      <c r="AA87" s="112">
        <v>310380.86</v>
      </c>
      <c r="AB87" s="112">
        <v>259315</v>
      </c>
      <c r="AC87" s="8">
        <v>0.58417744819197748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0"/>
      <c r="BJ87" s="191" t="s">
        <v>829</v>
      </c>
    </row>
    <row r="88" spans="1:62" ht="12.75" customHeight="1" x14ac:dyDescent="0.35">
      <c r="A88" s="108"/>
      <c r="B88" s="124" t="s">
        <v>21</v>
      </c>
      <c r="C88" s="5" t="s">
        <v>5</v>
      </c>
      <c r="D88" s="5" t="s">
        <v>306</v>
      </c>
      <c r="E88" s="5" t="s">
        <v>307</v>
      </c>
      <c r="F88" s="56">
        <v>1016065</v>
      </c>
      <c r="G88" s="65" t="s">
        <v>288</v>
      </c>
      <c r="H88" s="137">
        <v>2542.1948051321983</v>
      </c>
      <c r="I88" s="137">
        <v>2440.5070129269102</v>
      </c>
      <c r="J88" s="123">
        <v>0</v>
      </c>
      <c r="K88" s="123">
        <v>0</v>
      </c>
      <c r="L88" s="128">
        <v>0</v>
      </c>
      <c r="M88" s="121">
        <v>0</v>
      </c>
      <c r="N88" s="128">
        <v>2440.5070129269102</v>
      </c>
      <c r="O88" s="128">
        <v>22.040132068320819</v>
      </c>
      <c r="P88" s="121">
        <v>2.2868788978846588</v>
      </c>
      <c r="Q88" s="5">
        <v>1530</v>
      </c>
      <c r="R88" s="5">
        <v>0</v>
      </c>
      <c r="S88" s="5">
        <v>1530</v>
      </c>
      <c r="T88" s="5">
        <v>0</v>
      </c>
      <c r="U88" s="5">
        <v>0</v>
      </c>
      <c r="V88" s="5">
        <v>0</v>
      </c>
      <c r="W88" s="5">
        <v>0</v>
      </c>
      <c r="X88" s="123">
        <v>2542.1948051321983</v>
      </c>
      <c r="Y88" s="123">
        <v>18.055264650583347</v>
      </c>
      <c r="Z88" s="123">
        <v>1012.1948051321983</v>
      </c>
      <c r="AA88" s="112">
        <v>27837.03</v>
      </c>
      <c r="AB88" s="112">
        <v>16753.5</v>
      </c>
      <c r="AC88" s="8">
        <v>0.60184215501944482</v>
      </c>
      <c r="AD88" s="66"/>
      <c r="AE88" s="66">
        <v>38.569490221929236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0" t="s">
        <v>1</v>
      </c>
      <c r="BJ88" s="191"/>
    </row>
    <row r="89" spans="1:62" ht="12.75" customHeight="1" x14ac:dyDescent="0.35">
      <c r="A89" s="108"/>
      <c r="B89" s="124" t="s">
        <v>1</v>
      </c>
      <c r="C89" s="5" t="s">
        <v>50</v>
      </c>
      <c r="D89" s="5" t="s">
        <v>310</v>
      </c>
      <c r="E89" s="5" t="s">
        <v>403</v>
      </c>
      <c r="F89" s="56">
        <v>1076300</v>
      </c>
      <c r="G89" s="65" t="s">
        <v>690</v>
      </c>
      <c r="H89" s="137">
        <v>31314.482525479132</v>
      </c>
      <c r="I89" s="137">
        <v>4070.8827283122873</v>
      </c>
      <c r="J89" s="123">
        <v>0</v>
      </c>
      <c r="K89" s="123">
        <v>0</v>
      </c>
      <c r="L89" s="128">
        <v>0</v>
      </c>
      <c r="M89" s="121">
        <v>0</v>
      </c>
      <c r="N89" s="128">
        <v>4070.8827283122873</v>
      </c>
      <c r="O89" s="128">
        <v>0</v>
      </c>
      <c r="P89" s="121">
        <v>0.96509438409458326</v>
      </c>
      <c r="Q89" s="5">
        <v>19055</v>
      </c>
      <c r="R89" s="5">
        <v>0</v>
      </c>
      <c r="S89" s="5">
        <v>19055</v>
      </c>
      <c r="T89" s="5">
        <v>0</v>
      </c>
      <c r="U89" s="5">
        <v>0</v>
      </c>
      <c r="V89" s="5">
        <v>0</v>
      </c>
      <c r="W89" s="5">
        <v>0</v>
      </c>
      <c r="X89" s="123">
        <v>31314.482525479132</v>
      </c>
      <c r="Y89" s="123">
        <v>18.255131616333596</v>
      </c>
      <c r="Z89" s="123">
        <v>12259.482525479132</v>
      </c>
      <c r="AA89" s="112">
        <v>141541.46</v>
      </c>
      <c r="AB89" s="112">
        <v>86128.6</v>
      </c>
      <c r="AC89" s="8">
        <v>0.60850438721111977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92"/>
      <c r="BJ89" s="191"/>
    </row>
    <row r="90" spans="1:62" ht="12.75" customHeight="1" x14ac:dyDescent="0.35">
      <c r="A90" s="108"/>
      <c r="B90" s="124" t="s">
        <v>4</v>
      </c>
      <c r="C90" s="5" t="s">
        <v>5</v>
      </c>
      <c r="D90" s="5" t="s">
        <v>308</v>
      </c>
      <c r="E90" s="5" t="s">
        <v>314</v>
      </c>
      <c r="F90" s="56">
        <v>1069728</v>
      </c>
      <c r="G90" s="65" t="s">
        <v>568</v>
      </c>
      <c r="H90" s="137">
        <v>19908.372479090853</v>
      </c>
      <c r="I90" s="137">
        <v>4031.4454270158981</v>
      </c>
      <c r="J90" s="123">
        <v>0</v>
      </c>
      <c r="K90" s="123">
        <v>0</v>
      </c>
      <c r="L90" s="128">
        <v>0</v>
      </c>
      <c r="M90" s="121">
        <v>0</v>
      </c>
      <c r="N90" s="128">
        <v>4031.4454270158981</v>
      </c>
      <c r="O90" s="128">
        <v>1.9677603464407227</v>
      </c>
      <c r="P90" s="121">
        <v>1.0622115118572566</v>
      </c>
      <c r="Q90" s="5">
        <v>12502</v>
      </c>
      <c r="R90" s="5">
        <v>0</v>
      </c>
      <c r="S90" s="5">
        <v>12502</v>
      </c>
      <c r="T90" s="5">
        <v>0</v>
      </c>
      <c r="U90" s="5">
        <v>0</v>
      </c>
      <c r="V90" s="5">
        <v>0</v>
      </c>
      <c r="W90" s="5">
        <v>150</v>
      </c>
      <c r="X90" s="123">
        <v>19908.372479090853</v>
      </c>
      <c r="Y90" s="123">
        <v>18.839309963379172</v>
      </c>
      <c r="Z90" s="123">
        <v>7406.3724790908527</v>
      </c>
      <c r="AA90" s="112">
        <v>46784.68</v>
      </c>
      <c r="AB90" s="112">
        <v>29732.2</v>
      </c>
      <c r="AC90" s="8">
        <v>0.6279769987793058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0"/>
      <c r="BJ90" s="191"/>
    </row>
    <row r="91" spans="1:62" ht="12.75" customHeight="1" x14ac:dyDescent="0.35">
      <c r="A91" s="108"/>
      <c r="B91" s="124" t="s">
        <v>4</v>
      </c>
      <c r="C91" s="5" t="s">
        <v>5</v>
      </c>
      <c r="D91" s="5" t="s">
        <v>308</v>
      </c>
      <c r="E91" s="5" t="s">
        <v>314</v>
      </c>
      <c r="F91" s="5">
        <v>1075243</v>
      </c>
      <c r="G91" s="7" t="s">
        <v>662</v>
      </c>
      <c r="H91" s="137">
        <v>14610.99230491343</v>
      </c>
      <c r="I91" s="137">
        <v>3506.6381531792231</v>
      </c>
      <c r="J91" s="123">
        <v>0</v>
      </c>
      <c r="K91" s="123">
        <v>0</v>
      </c>
      <c r="L91" s="128">
        <v>0</v>
      </c>
      <c r="M91" s="121">
        <v>0</v>
      </c>
      <c r="N91" s="128">
        <v>3506.6381531792231</v>
      </c>
      <c r="O91" s="128">
        <v>24.524621452300622</v>
      </c>
      <c r="P91" s="121">
        <v>1.8291948720254199</v>
      </c>
      <c r="Q91" s="5">
        <v>9203</v>
      </c>
      <c r="R91" s="5">
        <v>0</v>
      </c>
      <c r="S91" s="5">
        <v>9203</v>
      </c>
      <c r="T91" s="5">
        <v>0</v>
      </c>
      <c r="U91" s="5">
        <v>24</v>
      </c>
      <c r="V91" s="5">
        <v>0</v>
      </c>
      <c r="W91" s="5">
        <v>0</v>
      </c>
      <c r="X91" s="123">
        <v>14610.99230491343</v>
      </c>
      <c r="Y91" s="123">
        <v>18.896047184088626</v>
      </c>
      <c r="Z91" s="123">
        <v>5407.9923049134304</v>
      </c>
      <c r="AA91" s="112">
        <v>50700.14</v>
      </c>
      <c r="AB91" s="112">
        <v>32017.69</v>
      </c>
      <c r="AC91" s="8">
        <v>0.62986823946962089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0"/>
      <c r="BJ91" s="191"/>
    </row>
    <row r="92" spans="1:62" ht="12.75" customHeight="1" x14ac:dyDescent="0.35">
      <c r="A92" s="108"/>
      <c r="B92" s="124" t="s">
        <v>1</v>
      </c>
      <c r="C92" s="5" t="s">
        <v>2</v>
      </c>
      <c r="D92" s="5" t="s">
        <v>310</v>
      </c>
      <c r="E92" s="5" t="s">
        <v>311</v>
      </c>
      <c r="F92" s="56">
        <v>1068803</v>
      </c>
      <c r="G92" s="65" t="s">
        <v>561</v>
      </c>
      <c r="H92" s="137">
        <v>19197.365048979089</v>
      </c>
      <c r="I92" s="137">
        <v>2879.6047573468632</v>
      </c>
      <c r="J92" s="123">
        <v>0</v>
      </c>
      <c r="K92" s="123">
        <v>0</v>
      </c>
      <c r="L92" s="128">
        <v>0</v>
      </c>
      <c r="M92" s="121">
        <v>0</v>
      </c>
      <c r="N92" s="128">
        <v>2879.6047573468632</v>
      </c>
      <c r="O92" s="128">
        <v>0</v>
      </c>
      <c r="P92" s="121">
        <v>0.66319190663034289</v>
      </c>
      <c r="Q92" s="5">
        <v>12396</v>
      </c>
      <c r="R92" s="5">
        <v>0</v>
      </c>
      <c r="S92" s="5">
        <v>12396</v>
      </c>
      <c r="T92" s="5">
        <v>0</v>
      </c>
      <c r="U92" s="5">
        <v>0</v>
      </c>
      <c r="V92" s="5">
        <v>0</v>
      </c>
      <c r="W92" s="5">
        <v>30186</v>
      </c>
      <c r="X92" s="123">
        <v>19197.365048979089</v>
      </c>
      <c r="Y92" s="123">
        <v>19.371408474611282</v>
      </c>
      <c r="Z92" s="123">
        <v>6801.3650489790889</v>
      </c>
      <c r="AA92" s="112">
        <v>41082.36</v>
      </c>
      <c r="AB92" s="112">
        <v>91125.48</v>
      </c>
      <c r="AC92" s="8">
        <v>0.64571361582037623</v>
      </c>
      <c r="AD92" s="66"/>
      <c r="AE92" s="66">
        <v>29.433634992458529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0" t="s">
        <v>1</v>
      </c>
      <c r="BJ92" s="191" t="s">
        <v>821</v>
      </c>
    </row>
    <row r="93" spans="1:62" ht="12.75" customHeight="1" x14ac:dyDescent="0.35">
      <c r="A93" s="108"/>
      <c r="B93" s="124" t="s">
        <v>21</v>
      </c>
      <c r="C93" s="5" t="s">
        <v>5</v>
      </c>
      <c r="D93" s="5" t="s">
        <v>396</v>
      </c>
      <c r="E93" s="5" t="s">
        <v>397</v>
      </c>
      <c r="F93" s="5">
        <v>1040797</v>
      </c>
      <c r="G93" s="7" t="s">
        <v>84</v>
      </c>
      <c r="H93" s="137">
        <v>3233.195840440063</v>
      </c>
      <c r="I93" s="137">
        <v>32331.95840440063</v>
      </c>
      <c r="J93" s="123">
        <v>0</v>
      </c>
      <c r="K93" s="123">
        <v>0</v>
      </c>
      <c r="L93" s="128">
        <v>0</v>
      </c>
      <c r="M93" s="121">
        <v>0</v>
      </c>
      <c r="N93" s="128">
        <v>32331.95840440063</v>
      </c>
      <c r="O93" s="128">
        <v>0</v>
      </c>
      <c r="P93" s="121">
        <v>0.97241798934424584</v>
      </c>
      <c r="Q93" s="5">
        <v>2156</v>
      </c>
      <c r="R93" s="5">
        <v>0</v>
      </c>
      <c r="S93" s="5">
        <v>2156</v>
      </c>
      <c r="T93" s="5">
        <v>0</v>
      </c>
      <c r="U93" s="5">
        <v>0</v>
      </c>
      <c r="V93" s="5">
        <v>0</v>
      </c>
      <c r="W93" s="5">
        <v>0</v>
      </c>
      <c r="X93" s="123">
        <v>3233.195840440063</v>
      </c>
      <c r="Y93" s="123">
        <v>20.004974394374006</v>
      </c>
      <c r="Z93" s="123">
        <v>1077.195840440063</v>
      </c>
      <c r="AA93" s="112">
        <v>32590.61</v>
      </c>
      <c r="AB93" s="112">
        <v>21732.48</v>
      </c>
      <c r="AC93" s="8">
        <v>0.66683247981246685</v>
      </c>
      <c r="AD93" s="66"/>
      <c r="AE93" s="66">
        <v>18.119303797468355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0" t="s">
        <v>1</v>
      </c>
      <c r="BJ93" s="191"/>
    </row>
    <row r="94" spans="1:62" ht="12.75" customHeight="1" x14ac:dyDescent="0.35">
      <c r="A94" s="108"/>
      <c r="B94" s="124" t="s">
        <v>1</v>
      </c>
      <c r="C94" s="5" t="s">
        <v>2</v>
      </c>
      <c r="D94" s="5" t="s">
        <v>396</v>
      </c>
      <c r="E94" s="5" t="s">
        <v>397</v>
      </c>
      <c r="F94" s="5">
        <v>1043306</v>
      </c>
      <c r="G94" s="7" t="s">
        <v>10</v>
      </c>
      <c r="H94" s="137">
        <v>873.50401574263128</v>
      </c>
      <c r="I94" s="137">
        <v>873.50401574263128</v>
      </c>
      <c r="J94" s="123">
        <v>0</v>
      </c>
      <c r="K94" s="123">
        <v>0</v>
      </c>
      <c r="L94" s="128">
        <v>0</v>
      </c>
      <c r="M94" s="121">
        <v>0</v>
      </c>
      <c r="N94" s="128">
        <v>873.50401574263128</v>
      </c>
      <c r="O94" s="128">
        <v>15.3863059101951</v>
      </c>
      <c r="P94" s="121">
        <v>1.6777609682299546</v>
      </c>
      <c r="Q94" s="5">
        <v>583</v>
      </c>
      <c r="R94" s="5">
        <v>0</v>
      </c>
      <c r="S94" s="5">
        <v>583</v>
      </c>
      <c r="T94" s="5">
        <v>0</v>
      </c>
      <c r="U94" s="5">
        <v>0</v>
      </c>
      <c r="V94" s="5">
        <v>0</v>
      </c>
      <c r="W94" s="5">
        <v>9</v>
      </c>
      <c r="X94" s="123">
        <v>873.50401574263128</v>
      </c>
      <c r="Y94" s="123">
        <v>20.022804342954782</v>
      </c>
      <c r="Z94" s="123">
        <v>290.50401574263128</v>
      </c>
      <c r="AA94" s="112">
        <v>26388.560000000001</v>
      </c>
      <c r="AB94" s="112">
        <v>17884.32</v>
      </c>
      <c r="AC94" s="8">
        <v>0.66742681143182603</v>
      </c>
      <c r="AD94" s="66"/>
      <c r="AE94" s="66">
        <v>13.682250396196514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0" t="s">
        <v>1</v>
      </c>
      <c r="BJ94" s="191"/>
    </row>
    <row r="95" spans="1:62" ht="12.75" customHeight="1" x14ac:dyDescent="0.35">
      <c r="A95" s="108"/>
      <c r="B95" s="124" t="s">
        <v>1</v>
      </c>
      <c r="C95" s="5" t="s">
        <v>5</v>
      </c>
      <c r="D95" s="5" t="s">
        <v>396</v>
      </c>
      <c r="E95" s="5" t="s">
        <v>397</v>
      </c>
      <c r="F95" s="5">
        <v>1071302</v>
      </c>
      <c r="G95" s="7" t="s">
        <v>685</v>
      </c>
      <c r="H95" s="137">
        <v>407.16854077989456</v>
      </c>
      <c r="I95" s="137">
        <v>1832.2584335095255</v>
      </c>
      <c r="J95" s="123">
        <v>0</v>
      </c>
      <c r="K95" s="123">
        <v>0</v>
      </c>
      <c r="L95" s="128">
        <v>0</v>
      </c>
      <c r="M95" s="121">
        <v>0</v>
      </c>
      <c r="N95" s="128">
        <v>1832.2584335095255</v>
      </c>
      <c r="O95" s="128">
        <v>0</v>
      </c>
      <c r="P95" s="121">
        <v>0.74285714264489788</v>
      </c>
      <c r="Q95" s="5">
        <v>274</v>
      </c>
      <c r="R95" s="5">
        <v>0</v>
      </c>
      <c r="S95" s="5">
        <v>274</v>
      </c>
      <c r="T95" s="5">
        <v>0</v>
      </c>
      <c r="U95" s="5">
        <v>0</v>
      </c>
      <c r="V95" s="5">
        <v>0</v>
      </c>
      <c r="W95" s="5">
        <v>0</v>
      </c>
      <c r="X95" s="123">
        <v>407.16854077989456</v>
      </c>
      <c r="Y95" s="123">
        <v>20.188200159706181</v>
      </c>
      <c r="Z95" s="123">
        <v>133.16854077989456</v>
      </c>
      <c r="AA95" s="112">
        <v>28387.79</v>
      </c>
      <c r="AB95" s="112">
        <v>19103.28</v>
      </c>
      <c r="AC95" s="8">
        <v>0.67294000532353937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2" t="s">
        <v>1</v>
      </c>
      <c r="BJ95" s="191"/>
    </row>
    <row r="96" spans="1:62" ht="12.75" customHeight="1" x14ac:dyDescent="0.35">
      <c r="A96" s="108"/>
      <c r="B96" s="124" t="s">
        <v>31</v>
      </c>
      <c r="C96" s="5" t="s">
        <v>5</v>
      </c>
      <c r="D96" s="5" t="s">
        <v>306</v>
      </c>
      <c r="E96" s="5" t="s">
        <v>307</v>
      </c>
      <c r="F96" s="5">
        <v>1071183</v>
      </c>
      <c r="G96" s="7" t="s">
        <v>591</v>
      </c>
      <c r="H96" s="137">
        <v>184613.21110600425</v>
      </c>
      <c r="I96" s="137">
        <v>25845.849554840599</v>
      </c>
      <c r="J96" s="123">
        <v>0</v>
      </c>
      <c r="K96" s="123">
        <v>0</v>
      </c>
      <c r="L96" s="128">
        <v>0</v>
      </c>
      <c r="M96" s="121">
        <v>0</v>
      </c>
      <c r="N96" s="128">
        <v>25845.849554840599</v>
      </c>
      <c r="O96" s="128">
        <v>1.4954112250211047</v>
      </c>
      <c r="P96" s="121">
        <v>1.0479583629901486</v>
      </c>
      <c r="Q96" s="5">
        <v>130134</v>
      </c>
      <c r="R96" s="5">
        <v>0</v>
      </c>
      <c r="S96" s="5">
        <v>130134</v>
      </c>
      <c r="T96" s="5">
        <v>0</v>
      </c>
      <c r="U96" s="5">
        <v>1608</v>
      </c>
      <c r="V96" s="5">
        <v>0</v>
      </c>
      <c r="W96" s="5">
        <v>5131</v>
      </c>
      <c r="X96" s="123">
        <v>184613.21110600425</v>
      </c>
      <c r="Y96" s="123">
        <v>21.147023967631036</v>
      </c>
      <c r="Z96" s="123">
        <v>54479.211106004252</v>
      </c>
      <c r="AA96" s="112">
        <v>496609.54</v>
      </c>
      <c r="AB96" s="112">
        <v>368188.37</v>
      </c>
      <c r="AC96" s="8">
        <v>0.70490079892103452</v>
      </c>
      <c r="AD96" s="66"/>
      <c r="AE96" s="66">
        <v>21.299374464661145</v>
      </c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0" t="s">
        <v>1</v>
      </c>
      <c r="BJ96" s="191" t="s">
        <v>840</v>
      </c>
    </row>
    <row r="97" spans="1:62" ht="12.75" customHeight="1" x14ac:dyDescent="0.35">
      <c r="A97" s="108"/>
      <c r="B97" s="124" t="s">
        <v>4</v>
      </c>
      <c r="C97" s="5" t="s">
        <v>5</v>
      </c>
      <c r="D97" s="5" t="s">
        <v>308</v>
      </c>
      <c r="E97" s="5" t="s">
        <v>315</v>
      </c>
      <c r="F97" s="5">
        <v>1072749</v>
      </c>
      <c r="G97" s="7" t="s">
        <v>661</v>
      </c>
      <c r="H97" s="137">
        <v>13423.901620399391</v>
      </c>
      <c r="I97" s="137">
        <v>805.43409722396336</v>
      </c>
      <c r="J97" s="123">
        <v>0</v>
      </c>
      <c r="K97" s="123">
        <v>0</v>
      </c>
      <c r="L97" s="128">
        <v>0</v>
      </c>
      <c r="M97" s="121">
        <v>0</v>
      </c>
      <c r="N97" s="128">
        <v>805.43409722396336</v>
      </c>
      <c r="O97" s="128">
        <v>0</v>
      </c>
      <c r="P97" s="121">
        <v>0.99362065981245684</v>
      </c>
      <c r="Q97" s="5">
        <v>9472</v>
      </c>
      <c r="R97" s="5">
        <v>0</v>
      </c>
      <c r="S97" s="5">
        <v>9472</v>
      </c>
      <c r="T97" s="5">
        <v>0</v>
      </c>
      <c r="U97" s="5">
        <v>0</v>
      </c>
      <c r="V97" s="5">
        <v>0</v>
      </c>
      <c r="W97" s="5">
        <v>0</v>
      </c>
      <c r="X97" s="123">
        <v>13423.901620399391</v>
      </c>
      <c r="Y97" s="123">
        <v>21.168212345074203</v>
      </c>
      <c r="Z97" s="123">
        <v>3951.9016203993906</v>
      </c>
      <c r="AA97" s="112">
        <v>8322.82</v>
      </c>
      <c r="AB97" s="112">
        <v>5872.64</v>
      </c>
      <c r="AC97" s="8">
        <v>0.70560707816914015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0"/>
      <c r="BJ97" s="191"/>
    </row>
    <row r="98" spans="1:62" ht="12.75" customHeight="1" x14ac:dyDescent="0.35">
      <c r="A98" s="108"/>
      <c r="B98" s="124" t="s">
        <v>21</v>
      </c>
      <c r="C98" s="5" t="s">
        <v>5</v>
      </c>
      <c r="D98" s="5" t="s">
        <v>396</v>
      </c>
      <c r="E98" s="5" t="s">
        <v>397</v>
      </c>
      <c r="F98" s="5">
        <v>1042368</v>
      </c>
      <c r="G98" s="7" t="s">
        <v>134</v>
      </c>
      <c r="H98" s="137">
        <v>349.00160629705243</v>
      </c>
      <c r="I98" s="137">
        <v>3350.4154204517031</v>
      </c>
      <c r="J98" s="123">
        <v>0</v>
      </c>
      <c r="K98" s="123">
        <v>0</v>
      </c>
      <c r="L98" s="128">
        <v>0</v>
      </c>
      <c r="M98" s="121">
        <v>0</v>
      </c>
      <c r="N98" s="128">
        <v>3350.4154204517031</v>
      </c>
      <c r="O98" s="128">
        <v>6.6188807109209851</v>
      </c>
      <c r="P98" s="121">
        <v>1.385</v>
      </c>
      <c r="Q98" s="5">
        <v>247</v>
      </c>
      <c r="R98" s="5">
        <v>0</v>
      </c>
      <c r="S98" s="5">
        <v>247</v>
      </c>
      <c r="T98" s="5">
        <v>0</v>
      </c>
      <c r="U98" s="5">
        <v>0</v>
      </c>
      <c r="V98" s="5">
        <v>0</v>
      </c>
      <c r="W98" s="5">
        <v>9</v>
      </c>
      <c r="X98" s="123">
        <v>349.00160629705243</v>
      </c>
      <c r="Y98" s="123">
        <v>21.231993968798481</v>
      </c>
      <c r="Z98" s="123">
        <v>102.00160629705243</v>
      </c>
      <c r="AA98" s="112">
        <v>32265.200000000001</v>
      </c>
      <c r="AB98" s="112">
        <v>23667.200000000001</v>
      </c>
      <c r="AC98" s="8">
        <v>0.70773313229328272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92" t="s">
        <v>1</v>
      </c>
      <c r="BJ98" s="191"/>
    </row>
    <row r="99" spans="1:62" ht="12.75" customHeight="1" x14ac:dyDescent="0.35">
      <c r="A99" s="108"/>
      <c r="B99" s="124" t="s">
        <v>8</v>
      </c>
      <c r="C99" s="5" t="s">
        <v>5</v>
      </c>
      <c r="D99" s="5" t="s">
        <v>308</v>
      </c>
      <c r="E99" s="5" t="s">
        <v>309</v>
      </c>
      <c r="F99" s="5">
        <v>1028943</v>
      </c>
      <c r="G99" s="7" t="s">
        <v>102</v>
      </c>
      <c r="H99" s="137">
        <v>4310.0000099999997</v>
      </c>
      <c r="I99" s="137">
        <v>301.70000070000003</v>
      </c>
      <c r="J99" s="123">
        <v>0</v>
      </c>
      <c r="K99" s="123">
        <v>0</v>
      </c>
      <c r="L99" s="128">
        <v>0</v>
      </c>
      <c r="M99" s="121">
        <v>0</v>
      </c>
      <c r="N99" s="128">
        <v>301.70000070000003</v>
      </c>
      <c r="O99" s="128">
        <v>13.593967416255301</v>
      </c>
      <c r="P99" s="121">
        <v>1.4536585332086911</v>
      </c>
      <c r="Q99" s="5">
        <v>3063</v>
      </c>
      <c r="R99" s="5">
        <v>0</v>
      </c>
      <c r="S99" s="5">
        <v>3063</v>
      </c>
      <c r="T99" s="5">
        <v>0</v>
      </c>
      <c r="U99" s="5">
        <v>0</v>
      </c>
      <c r="V99" s="5">
        <v>0</v>
      </c>
      <c r="W99" s="5">
        <v>0</v>
      </c>
      <c r="X99" s="123">
        <v>4310.0000099999997</v>
      </c>
      <c r="Y99" s="123">
        <v>21.320185565382399</v>
      </c>
      <c r="Z99" s="123">
        <v>1247.0000099999997</v>
      </c>
      <c r="AA99" s="112">
        <v>10085.4</v>
      </c>
      <c r="AB99" s="112">
        <v>7167.42</v>
      </c>
      <c r="AC99" s="8">
        <v>0.71067285217941345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90"/>
      <c r="BJ99" s="191" t="s">
        <v>825</v>
      </c>
    </row>
    <row r="100" spans="1:62" ht="12.75" customHeight="1" x14ac:dyDescent="0.35">
      <c r="A100" s="108"/>
      <c r="B100" s="124" t="s">
        <v>4</v>
      </c>
      <c r="C100" s="5" t="s">
        <v>5</v>
      </c>
      <c r="D100" s="5" t="s">
        <v>308</v>
      </c>
      <c r="E100" s="5" t="s">
        <v>315</v>
      </c>
      <c r="F100" s="5">
        <v>1072750</v>
      </c>
      <c r="G100" s="7" t="s">
        <v>602</v>
      </c>
      <c r="H100" s="137">
        <v>2352.7640278071858</v>
      </c>
      <c r="I100" s="137">
        <v>470.5528055614372</v>
      </c>
      <c r="J100" s="123">
        <v>0</v>
      </c>
      <c r="K100" s="123">
        <v>0</v>
      </c>
      <c r="L100" s="128">
        <v>0</v>
      </c>
      <c r="M100" s="121">
        <v>0</v>
      </c>
      <c r="N100" s="128">
        <v>470.5528055614372</v>
      </c>
      <c r="O100" s="128">
        <v>10.972360105108329</v>
      </c>
      <c r="P100" s="121">
        <v>1.3679782173259127</v>
      </c>
      <c r="Q100" s="5">
        <v>1680</v>
      </c>
      <c r="R100" s="5">
        <v>0</v>
      </c>
      <c r="S100" s="5">
        <v>1680</v>
      </c>
      <c r="T100" s="5">
        <v>0</v>
      </c>
      <c r="U100" s="5">
        <v>0</v>
      </c>
      <c r="V100" s="5">
        <v>0</v>
      </c>
      <c r="W100" s="5">
        <v>1876</v>
      </c>
      <c r="X100" s="123">
        <v>2352.7640278071858</v>
      </c>
      <c r="Y100" s="123">
        <v>21.421612794281632</v>
      </c>
      <c r="Z100" s="123">
        <v>672.76402780718581</v>
      </c>
      <c r="AA100" s="112">
        <v>4140.8599999999997</v>
      </c>
      <c r="AB100" s="112">
        <v>6258.56</v>
      </c>
      <c r="AC100" s="8">
        <v>0.71405375980938779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0"/>
      <c r="BJ100" s="191" t="s">
        <v>820</v>
      </c>
    </row>
    <row r="101" spans="1:62" ht="12.75" customHeight="1" x14ac:dyDescent="0.35">
      <c r="A101" s="108"/>
      <c r="B101" s="124" t="s">
        <v>1</v>
      </c>
      <c r="C101" s="5" t="s">
        <v>17</v>
      </c>
      <c r="D101" s="5" t="s">
        <v>312</v>
      </c>
      <c r="E101" s="5" t="s">
        <v>398</v>
      </c>
      <c r="F101" s="5">
        <v>1043974</v>
      </c>
      <c r="G101" s="7" t="s">
        <v>18</v>
      </c>
      <c r="H101" s="137">
        <v>5674.1386437098245</v>
      </c>
      <c r="I101" s="137">
        <v>3336.3935225013765</v>
      </c>
      <c r="J101" s="123">
        <v>0</v>
      </c>
      <c r="K101" s="123">
        <v>0</v>
      </c>
      <c r="L101" s="128">
        <v>0</v>
      </c>
      <c r="M101" s="121">
        <v>0</v>
      </c>
      <c r="N101" s="128">
        <v>3336.3935225013765</v>
      </c>
      <c r="O101" s="128">
        <v>7.0153098449282343</v>
      </c>
      <c r="P101" s="121">
        <v>1.2221008643124192</v>
      </c>
      <c r="Q101" s="5">
        <v>4104</v>
      </c>
      <c r="R101" s="5">
        <v>0</v>
      </c>
      <c r="S101" s="5">
        <v>4104</v>
      </c>
      <c r="T101" s="5">
        <v>0</v>
      </c>
      <c r="U101" s="5">
        <v>0</v>
      </c>
      <c r="V101" s="5">
        <v>0</v>
      </c>
      <c r="W101" s="5">
        <v>0</v>
      </c>
      <c r="X101" s="123">
        <v>5674.1386437098245</v>
      </c>
      <c r="Y101" s="123">
        <v>21.698447593713109</v>
      </c>
      <c r="Z101" s="123">
        <v>1570.1386437098245</v>
      </c>
      <c r="AA101" s="112">
        <v>24285.31</v>
      </c>
      <c r="AB101" s="112">
        <v>17565.12</v>
      </c>
      <c r="AC101" s="8">
        <v>0.72328158645710361</v>
      </c>
      <c r="AD101" s="66"/>
      <c r="AE101" s="66" t="s">
        <v>574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2" t="s">
        <v>1</v>
      </c>
      <c r="BJ101" s="191"/>
    </row>
    <row r="102" spans="1:62" ht="12.75" customHeight="1" x14ac:dyDescent="0.35">
      <c r="A102" s="108"/>
      <c r="B102" s="124" t="s">
        <v>1</v>
      </c>
      <c r="C102" s="5" t="s">
        <v>2</v>
      </c>
      <c r="D102" s="5" t="s">
        <v>306</v>
      </c>
      <c r="E102" s="5" t="s">
        <v>401</v>
      </c>
      <c r="F102" s="5">
        <v>1076131</v>
      </c>
      <c r="G102" s="7" t="s">
        <v>682</v>
      </c>
      <c r="H102" s="137">
        <v>54750.361921803953</v>
      </c>
      <c r="I102" s="137">
        <v>15330.101338105109</v>
      </c>
      <c r="J102" s="123">
        <v>0</v>
      </c>
      <c r="K102" s="123">
        <v>0</v>
      </c>
      <c r="L102" s="128">
        <v>0</v>
      </c>
      <c r="M102" s="121">
        <v>0</v>
      </c>
      <c r="N102" s="128">
        <v>15330.101338105109</v>
      </c>
      <c r="O102" s="128">
        <v>0</v>
      </c>
      <c r="P102" s="121">
        <v>0.91278610884536537</v>
      </c>
      <c r="Q102" s="5">
        <v>39774</v>
      </c>
      <c r="R102" s="5">
        <v>0</v>
      </c>
      <c r="S102" s="5">
        <v>39774</v>
      </c>
      <c r="T102" s="5">
        <v>0</v>
      </c>
      <c r="U102" s="5">
        <v>0</v>
      </c>
      <c r="V102" s="5">
        <v>0</v>
      </c>
      <c r="W102" s="5">
        <v>1560</v>
      </c>
      <c r="X102" s="123">
        <v>54750.361921803953</v>
      </c>
      <c r="Y102" s="123">
        <v>21.793828535858651</v>
      </c>
      <c r="Z102" s="123">
        <v>14976.361921803953</v>
      </c>
      <c r="AA102" s="112">
        <v>224476.48</v>
      </c>
      <c r="AB102" s="112">
        <v>169469.4</v>
      </c>
      <c r="AC102" s="8">
        <v>0.72646095119528842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2"/>
      <c r="BJ102" s="191" t="s">
        <v>809</v>
      </c>
    </row>
    <row r="103" spans="1:62" ht="12.75" customHeight="1" x14ac:dyDescent="0.35">
      <c r="A103" s="108"/>
      <c r="B103" s="124" t="s">
        <v>1</v>
      </c>
      <c r="C103" s="5" t="s">
        <v>2</v>
      </c>
      <c r="D103" s="5" t="s">
        <v>306</v>
      </c>
      <c r="E103" s="5" t="s">
        <v>401</v>
      </c>
      <c r="F103" s="5">
        <v>1070092</v>
      </c>
      <c r="G103" s="7" t="s">
        <v>585</v>
      </c>
      <c r="H103" s="137">
        <v>4800</v>
      </c>
      <c r="I103" s="137">
        <v>4800</v>
      </c>
      <c r="J103" s="123">
        <v>0</v>
      </c>
      <c r="K103" s="123">
        <v>0</v>
      </c>
      <c r="L103" s="128">
        <v>0</v>
      </c>
      <c r="M103" s="121">
        <v>0</v>
      </c>
      <c r="N103" s="128">
        <v>4800</v>
      </c>
      <c r="O103" s="128">
        <v>3.3845492795770653</v>
      </c>
      <c r="P103" s="121">
        <v>1.1476167373546515</v>
      </c>
      <c r="Q103" s="5">
        <v>3490</v>
      </c>
      <c r="R103" s="5">
        <v>0</v>
      </c>
      <c r="S103" s="5">
        <v>3490</v>
      </c>
      <c r="T103" s="5">
        <v>0</v>
      </c>
      <c r="U103" s="5">
        <v>0</v>
      </c>
      <c r="V103" s="5">
        <v>0</v>
      </c>
      <c r="W103" s="5">
        <v>400</v>
      </c>
      <c r="X103" s="123">
        <v>4800</v>
      </c>
      <c r="Y103" s="123">
        <v>21.8125</v>
      </c>
      <c r="Z103" s="123">
        <v>1310</v>
      </c>
      <c r="AA103" s="112">
        <v>43344</v>
      </c>
      <c r="AB103" s="112">
        <v>35126.699999999997</v>
      </c>
      <c r="AC103" s="8">
        <v>0.7270833333333333</v>
      </c>
      <c r="AD103" s="66"/>
      <c r="AE103" s="66" t="s">
        <v>574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0" t="s">
        <v>1</v>
      </c>
      <c r="BJ103" s="191"/>
    </row>
    <row r="104" spans="1:62" ht="12.75" customHeight="1" x14ac:dyDescent="0.35">
      <c r="A104" s="108"/>
      <c r="B104" s="124" t="s">
        <v>27</v>
      </c>
      <c r="C104" s="5" t="s">
        <v>5</v>
      </c>
      <c r="D104" s="5" t="s">
        <v>312</v>
      </c>
      <c r="E104" s="5" t="s">
        <v>313</v>
      </c>
      <c r="F104" s="5">
        <v>1076340</v>
      </c>
      <c r="G104" s="7" t="s">
        <v>651</v>
      </c>
      <c r="H104" s="137">
        <v>298.26548980715523</v>
      </c>
      <c r="I104" s="137">
        <v>1700.1132919007848</v>
      </c>
      <c r="J104" s="123">
        <v>0</v>
      </c>
      <c r="K104" s="123">
        <v>0</v>
      </c>
      <c r="L104" s="128">
        <v>0</v>
      </c>
      <c r="M104" s="121">
        <v>0</v>
      </c>
      <c r="N104" s="128">
        <v>1700.1132919007848</v>
      </c>
      <c r="O104" s="128">
        <v>5.2443138090671209</v>
      </c>
      <c r="P104" s="121">
        <v>1.1571141932892393</v>
      </c>
      <c r="Q104" s="5">
        <v>217</v>
      </c>
      <c r="R104" s="5">
        <v>0</v>
      </c>
      <c r="S104" s="5">
        <v>217</v>
      </c>
      <c r="T104" s="5">
        <v>0</v>
      </c>
      <c r="U104" s="5">
        <v>0</v>
      </c>
      <c r="V104" s="5">
        <v>0</v>
      </c>
      <c r="W104" s="5">
        <v>0</v>
      </c>
      <c r="X104" s="123">
        <v>298.26548980715523</v>
      </c>
      <c r="Y104" s="123">
        <v>21.826192511272648</v>
      </c>
      <c r="Z104" s="123">
        <v>81.265489807155234</v>
      </c>
      <c r="AA104" s="112">
        <v>13156.49</v>
      </c>
      <c r="AB104" s="112">
        <v>9571.8700000000008</v>
      </c>
      <c r="AC104" s="8">
        <v>0.72753975037575502</v>
      </c>
      <c r="AD104" s="66"/>
      <c r="AE104" s="66">
        <v>20.158570908248073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0" t="s">
        <v>1</v>
      </c>
      <c r="BJ104" s="191" t="s">
        <v>813</v>
      </c>
    </row>
    <row r="105" spans="1:62" ht="12.75" customHeight="1" x14ac:dyDescent="0.35">
      <c r="A105" s="108"/>
      <c r="B105" s="124" t="s">
        <v>4</v>
      </c>
      <c r="C105" s="5" t="s">
        <v>5</v>
      </c>
      <c r="D105" s="5" t="s">
        <v>308</v>
      </c>
      <c r="E105" s="5" t="s">
        <v>314</v>
      </c>
      <c r="F105" s="5">
        <v>1075138</v>
      </c>
      <c r="G105" s="7" t="s">
        <v>664</v>
      </c>
      <c r="H105" s="137">
        <v>3121.3864470982403</v>
      </c>
      <c r="I105" s="137">
        <v>74.91327473035777</v>
      </c>
      <c r="J105" s="123">
        <v>0</v>
      </c>
      <c r="K105" s="123">
        <v>0</v>
      </c>
      <c r="L105" s="128">
        <v>0</v>
      </c>
      <c r="M105" s="121">
        <v>0</v>
      </c>
      <c r="N105" s="128">
        <v>74.91327473035777</v>
      </c>
      <c r="O105" s="128">
        <v>21.707791628955004</v>
      </c>
      <c r="P105" s="121">
        <v>1.8299495851866514</v>
      </c>
      <c r="Q105" s="5">
        <v>2324</v>
      </c>
      <c r="R105" s="5">
        <v>0</v>
      </c>
      <c r="S105" s="5">
        <v>2324</v>
      </c>
      <c r="T105" s="5">
        <v>0</v>
      </c>
      <c r="U105" s="5">
        <v>0</v>
      </c>
      <c r="V105" s="5">
        <v>0</v>
      </c>
      <c r="W105" s="5">
        <v>0</v>
      </c>
      <c r="X105" s="123">
        <v>3121.3864470982403</v>
      </c>
      <c r="Y105" s="123">
        <v>22.336228205518854</v>
      </c>
      <c r="Z105" s="123">
        <v>797.3864470982403</v>
      </c>
      <c r="AA105" s="112">
        <v>1186.1300000000001</v>
      </c>
      <c r="AB105" s="112">
        <v>883.12</v>
      </c>
      <c r="AC105" s="8">
        <v>0.74454094018396177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2" t="s">
        <v>1</v>
      </c>
      <c r="BJ105" s="191"/>
    </row>
    <row r="106" spans="1:62" ht="12.75" customHeight="1" x14ac:dyDescent="0.35">
      <c r="A106" s="108"/>
      <c r="B106" s="124" t="s">
        <v>31</v>
      </c>
      <c r="C106" s="5" t="s">
        <v>5</v>
      </c>
      <c r="D106" s="5" t="s">
        <v>306</v>
      </c>
      <c r="E106" s="5" t="s">
        <v>404</v>
      </c>
      <c r="F106" s="5">
        <v>1072597</v>
      </c>
      <c r="G106" s="7" t="s">
        <v>611</v>
      </c>
      <c r="H106" s="137">
        <v>1345.8377610651905</v>
      </c>
      <c r="I106" s="137">
        <v>672.91888053259527</v>
      </c>
      <c r="J106" s="123">
        <v>0</v>
      </c>
      <c r="K106" s="123">
        <v>0</v>
      </c>
      <c r="L106" s="128">
        <v>0</v>
      </c>
      <c r="M106" s="121">
        <v>0</v>
      </c>
      <c r="N106" s="128">
        <v>672.91888053259527</v>
      </c>
      <c r="O106" s="128">
        <v>22.316855743646681</v>
      </c>
      <c r="P106" s="121">
        <v>1.9211699066782406</v>
      </c>
      <c r="Q106" s="5">
        <v>1028</v>
      </c>
      <c r="R106" s="5">
        <v>0</v>
      </c>
      <c r="S106" s="5">
        <v>1028</v>
      </c>
      <c r="T106" s="5">
        <v>0</v>
      </c>
      <c r="U106" s="5">
        <v>0</v>
      </c>
      <c r="V106" s="5">
        <v>0</v>
      </c>
      <c r="W106" s="5">
        <v>0</v>
      </c>
      <c r="X106" s="123">
        <v>1345.8377610651905</v>
      </c>
      <c r="Y106" s="123">
        <v>22.915094888993941</v>
      </c>
      <c r="Z106" s="123">
        <v>317.83776106519053</v>
      </c>
      <c r="AA106" s="112">
        <v>10389.870000000001</v>
      </c>
      <c r="AB106" s="112">
        <v>7936.16</v>
      </c>
      <c r="AC106" s="8">
        <v>0.76383649629979811</v>
      </c>
      <c r="AD106" s="66"/>
      <c r="AE106" s="66">
        <v>35.095263157894735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90" t="s">
        <v>1</v>
      </c>
      <c r="BJ106" s="191"/>
    </row>
    <row r="107" spans="1:62" ht="12.75" customHeight="1" x14ac:dyDescent="0.35">
      <c r="A107" s="108"/>
      <c r="B107" s="124" t="s">
        <v>1</v>
      </c>
      <c r="C107" s="5" t="s">
        <v>2</v>
      </c>
      <c r="D107" s="5" t="s">
        <v>310</v>
      </c>
      <c r="E107" s="5" t="s">
        <v>311</v>
      </c>
      <c r="F107" s="5">
        <v>1080401</v>
      </c>
      <c r="G107" s="7" t="s">
        <v>754</v>
      </c>
      <c r="H107" s="137">
        <v>16708.301699326694</v>
      </c>
      <c r="I107" s="137">
        <v>0</v>
      </c>
      <c r="J107" s="123">
        <v>0</v>
      </c>
      <c r="K107" s="123">
        <v>0</v>
      </c>
      <c r="L107" s="128">
        <v>0</v>
      </c>
      <c r="M107" s="121">
        <v>0</v>
      </c>
      <c r="N107" s="128">
        <v>0</v>
      </c>
      <c r="O107" s="128">
        <v>0</v>
      </c>
      <c r="P107" s="121">
        <v>0.99879048187848363</v>
      </c>
      <c r="Q107" s="5">
        <v>12801</v>
      </c>
      <c r="R107" s="5">
        <v>0</v>
      </c>
      <c r="S107" s="5">
        <v>12801</v>
      </c>
      <c r="T107" s="5">
        <v>0</v>
      </c>
      <c r="U107" s="5">
        <v>0</v>
      </c>
      <c r="V107" s="5">
        <v>0</v>
      </c>
      <c r="W107" s="5">
        <v>2376</v>
      </c>
      <c r="X107" s="123">
        <v>16708.301699326694</v>
      </c>
      <c r="Y107" s="123">
        <v>22.9843826686153</v>
      </c>
      <c r="Z107" s="123">
        <v>3907.3016993266938</v>
      </c>
      <c r="AA107" s="112">
        <v>22890.37</v>
      </c>
      <c r="AB107" s="112">
        <v>20792.490000000002</v>
      </c>
      <c r="AC107" s="8">
        <v>0.76614608895384329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0" t="s">
        <v>1</v>
      </c>
      <c r="BJ107" s="191"/>
    </row>
    <row r="108" spans="1:62" ht="12.75" customHeight="1" x14ac:dyDescent="0.35">
      <c r="A108" s="108"/>
      <c r="B108" s="124" t="s">
        <v>15</v>
      </c>
      <c r="C108" s="5" t="s">
        <v>5</v>
      </c>
      <c r="D108" s="5" t="s">
        <v>308</v>
      </c>
      <c r="E108" s="5" t="s">
        <v>315</v>
      </c>
      <c r="F108" s="56">
        <v>1074235</v>
      </c>
      <c r="G108" s="65" t="s">
        <v>636</v>
      </c>
      <c r="H108" s="137">
        <v>1495.3728773876603</v>
      </c>
      <c r="I108" s="137">
        <v>1121.5296580407453</v>
      </c>
      <c r="J108" s="123">
        <v>0</v>
      </c>
      <c r="K108" s="123">
        <v>0</v>
      </c>
      <c r="L108" s="128">
        <v>0</v>
      </c>
      <c r="M108" s="121">
        <v>3.343647645084177E-3</v>
      </c>
      <c r="N108" s="128">
        <v>1121.5296580407453</v>
      </c>
      <c r="O108" s="128">
        <v>0</v>
      </c>
      <c r="P108" s="121">
        <v>0.64439678709656278</v>
      </c>
      <c r="Q108" s="5">
        <v>1184</v>
      </c>
      <c r="R108" s="5">
        <v>5</v>
      </c>
      <c r="S108" s="5">
        <v>1179</v>
      </c>
      <c r="T108" s="5">
        <v>0</v>
      </c>
      <c r="U108" s="5">
        <v>0</v>
      </c>
      <c r="V108" s="5">
        <v>0</v>
      </c>
      <c r="W108" s="5">
        <v>0</v>
      </c>
      <c r="X108" s="123">
        <v>1495.3728773876605</v>
      </c>
      <c r="Y108" s="123">
        <v>23.652963441325465</v>
      </c>
      <c r="Z108" s="123">
        <v>311.37287738766031</v>
      </c>
      <c r="AA108" s="112">
        <v>13533.12</v>
      </c>
      <c r="AB108" s="112">
        <v>10669.95</v>
      </c>
      <c r="AC108" s="8">
        <v>0.79177576235593305</v>
      </c>
      <c r="AD108" s="66"/>
      <c r="AE108" s="66" t="s">
        <v>574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0" t="s">
        <v>1</v>
      </c>
      <c r="BJ108" s="191" t="s">
        <v>807</v>
      </c>
    </row>
    <row r="109" spans="1:62" ht="12.75" customHeight="1" x14ac:dyDescent="0.35">
      <c r="A109" s="108"/>
      <c r="B109" s="124" t="s">
        <v>38</v>
      </c>
      <c r="C109" s="5" t="s">
        <v>5</v>
      </c>
      <c r="D109" s="5" t="s">
        <v>308</v>
      </c>
      <c r="E109" s="5" t="s">
        <v>405</v>
      </c>
      <c r="F109" s="5">
        <v>1059307</v>
      </c>
      <c r="G109" s="7" t="s">
        <v>269</v>
      </c>
      <c r="H109" s="137">
        <v>7451.6696668502018</v>
      </c>
      <c r="I109" s="137">
        <v>3725.8348334251009</v>
      </c>
      <c r="J109" s="123">
        <v>0</v>
      </c>
      <c r="K109" s="123">
        <v>0</v>
      </c>
      <c r="L109" s="128">
        <v>0</v>
      </c>
      <c r="M109" s="121">
        <v>0</v>
      </c>
      <c r="N109" s="128">
        <v>3725.8348334251009</v>
      </c>
      <c r="O109" s="128">
        <v>11.052544419794069</v>
      </c>
      <c r="P109" s="121">
        <v>1.3900908202726863</v>
      </c>
      <c r="Q109" s="5">
        <v>5880</v>
      </c>
      <c r="R109" s="5">
        <v>0</v>
      </c>
      <c r="S109" s="5">
        <v>5880</v>
      </c>
      <c r="T109" s="5">
        <v>0</v>
      </c>
      <c r="U109" s="5">
        <v>0</v>
      </c>
      <c r="V109" s="5">
        <v>0</v>
      </c>
      <c r="W109" s="5">
        <v>200</v>
      </c>
      <c r="X109" s="123">
        <v>7451.6696668502018</v>
      </c>
      <c r="Y109" s="123">
        <v>23.672546944041301</v>
      </c>
      <c r="Z109" s="123">
        <v>1571.6696668502018</v>
      </c>
      <c r="AA109" s="112">
        <v>43666.78</v>
      </c>
      <c r="AB109" s="112">
        <v>35628.800000000003</v>
      </c>
      <c r="AC109" s="8">
        <v>0.78908489813471006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0"/>
      <c r="BJ109" s="191"/>
    </row>
    <row r="110" spans="1:62" ht="12.75" customHeight="1" x14ac:dyDescent="0.35">
      <c r="A110" s="108"/>
      <c r="B110" s="124" t="s">
        <v>1</v>
      </c>
      <c r="C110" s="5" t="s">
        <v>2</v>
      </c>
      <c r="D110" s="5" t="s">
        <v>310</v>
      </c>
      <c r="E110" s="5" t="s">
        <v>311</v>
      </c>
      <c r="F110" s="133">
        <v>1080749</v>
      </c>
      <c r="G110" s="134" t="s">
        <v>769</v>
      </c>
      <c r="H110" s="137">
        <v>8993.3070549107215</v>
      </c>
      <c r="I110" s="137">
        <v>1618.7952698839299</v>
      </c>
      <c r="J110" s="123">
        <v>0</v>
      </c>
      <c r="K110" s="123">
        <v>0</v>
      </c>
      <c r="L110" s="128">
        <v>0</v>
      </c>
      <c r="M110" s="121">
        <v>0</v>
      </c>
      <c r="N110" s="128">
        <v>1618.7952698839299</v>
      </c>
      <c r="O110" s="128">
        <v>3.6543396891554401</v>
      </c>
      <c r="P110" s="121">
        <v>1.1271085375461452</v>
      </c>
      <c r="Q110" s="5">
        <v>7110</v>
      </c>
      <c r="R110" s="5">
        <v>0</v>
      </c>
      <c r="S110" s="5">
        <v>7110</v>
      </c>
      <c r="T110" s="5">
        <v>0</v>
      </c>
      <c r="U110" s="5">
        <v>60</v>
      </c>
      <c r="V110" s="5">
        <v>0</v>
      </c>
      <c r="W110" s="5">
        <v>97</v>
      </c>
      <c r="X110" s="123">
        <v>8993.3070549107215</v>
      </c>
      <c r="Y110" s="123">
        <v>23.717637871991627</v>
      </c>
      <c r="Z110" s="123">
        <v>1883.3070549107215</v>
      </c>
      <c r="AA110" s="112">
        <v>35703.43</v>
      </c>
      <c r="AB110" s="112">
        <v>28849.99</v>
      </c>
      <c r="AC110" s="8">
        <v>0.79058792906638753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2"/>
      <c r="BJ110" s="191"/>
    </row>
    <row r="111" spans="1:62" ht="12.75" customHeight="1" x14ac:dyDescent="0.35">
      <c r="A111" s="108"/>
      <c r="B111" s="124" t="s">
        <v>27</v>
      </c>
      <c r="C111" s="5" t="s">
        <v>5</v>
      </c>
      <c r="D111" s="5" t="s">
        <v>312</v>
      </c>
      <c r="E111" s="5" t="s">
        <v>313</v>
      </c>
      <c r="F111" s="5">
        <v>1077108</v>
      </c>
      <c r="G111" s="7" t="s">
        <v>673</v>
      </c>
      <c r="H111" s="137">
        <v>28782.680914365195</v>
      </c>
      <c r="I111" s="137">
        <v>6562.4512484752649</v>
      </c>
      <c r="J111" s="123">
        <v>0</v>
      </c>
      <c r="K111" s="123">
        <v>0</v>
      </c>
      <c r="L111" s="128">
        <v>0</v>
      </c>
      <c r="M111" s="121">
        <v>2.2930456060144124E-2</v>
      </c>
      <c r="N111" s="128">
        <v>6562.4512484752649</v>
      </c>
      <c r="O111" s="128">
        <v>0</v>
      </c>
      <c r="P111" s="121">
        <v>0.75172699167925894</v>
      </c>
      <c r="Q111" s="5">
        <v>23483</v>
      </c>
      <c r="R111" s="5">
        <v>660</v>
      </c>
      <c r="S111" s="5">
        <v>22823</v>
      </c>
      <c r="T111" s="5">
        <v>0</v>
      </c>
      <c r="U111" s="5">
        <v>0</v>
      </c>
      <c r="V111" s="5">
        <v>0</v>
      </c>
      <c r="W111" s="5">
        <v>0</v>
      </c>
      <c r="X111" s="123">
        <v>28782.680914365195</v>
      </c>
      <c r="Y111" s="123">
        <v>23.788263575484969</v>
      </c>
      <c r="Z111" s="123">
        <v>5299.6809143651953</v>
      </c>
      <c r="AA111" s="112">
        <v>60155.8</v>
      </c>
      <c r="AB111" s="112">
        <v>47700.07</v>
      </c>
      <c r="AC111" s="8">
        <v>0.81587257524297652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2"/>
      <c r="BJ111" s="191"/>
    </row>
    <row r="112" spans="1:62" ht="12.75" customHeight="1" x14ac:dyDescent="0.35">
      <c r="A112" s="108"/>
      <c r="B112" s="124" t="s">
        <v>1</v>
      </c>
      <c r="C112" s="5" t="s">
        <v>24</v>
      </c>
      <c r="D112" s="5" t="s">
        <v>316</v>
      </c>
      <c r="E112" s="5" t="s">
        <v>400</v>
      </c>
      <c r="F112" s="5">
        <v>1057538</v>
      </c>
      <c r="G112" s="7" t="s">
        <v>450</v>
      </c>
      <c r="H112" s="137">
        <v>8085.7475207930893</v>
      </c>
      <c r="I112" s="137">
        <v>6872.8853926741258</v>
      </c>
      <c r="J112" s="123">
        <v>0</v>
      </c>
      <c r="K112" s="123">
        <v>0</v>
      </c>
      <c r="L112" s="128">
        <v>0</v>
      </c>
      <c r="M112" s="121">
        <v>0</v>
      </c>
      <c r="N112" s="128">
        <v>6872.8853926741258</v>
      </c>
      <c r="O112" s="128">
        <v>12.933465859875801</v>
      </c>
      <c r="P112" s="121">
        <v>1.4694734401756173</v>
      </c>
      <c r="Q112" s="5">
        <v>6447</v>
      </c>
      <c r="R112" s="5">
        <v>0</v>
      </c>
      <c r="S112" s="5">
        <v>6447</v>
      </c>
      <c r="T112" s="5">
        <v>0</v>
      </c>
      <c r="U112" s="5">
        <v>0</v>
      </c>
      <c r="V112" s="5">
        <v>0</v>
      </c>
      <c r="W112" s="5">
        <v>1</v>
      </c>
      <c r="X112" s="123">
        <v>8085.7475207930893</v>
      </c>
      <c r="Y112" s="123">
        <v>23.919866345397516</v>
      </c>
      <c r="Z112" s="123">
        <v>1638.7475207930893</v>
      </c>
      <c r="AA112" s="112">
        <v>149667.19</v>
      </c>
      <c r="AB112" s="112">
        <v>119352.48</v>
      </c>
      <c r="AC112" s="8">
        <v>0.79732887817991716</v>
      </c>
      <c r="AD112" s="66"/>
      <c r="AE112" s="66" t="s">
        <v>574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0" t="s">
        <v>1</v>
      </c>
      <c r="BJ112" s="191"/>
    </row>
    <row r="113" spans="1:62" ht="12.75" customHeight="1" x14ac:dyDescent="0.35">
      <c r="A113" s="108"/>
      <c r="B113" s="124" t="s">
        <v>27</v>
      </c>
      <c r="C113" s="5" t="s">
        <v>5</v>
      </c>
      <c r="D113" s="5" t="s">
        <v>312</v>
      </c>
      <c r="E113" s="5" t="s">
        <v>313</v>
      </c>
      <c r="F113" s="5">
        <v>1052770</v>
      </c>
      <c r="G113" s="7" t="s">
        <v>183</v>
      </c>
      <c r="H113" s="137">
        <v>7088.4917383073389</v>
      </c>
      <c r="I113" s="137">
        <v>1956.4237197728257</v>
      </c>
      <c r="J113" s="123">
        <v>0</v>
      </c>
      <c r="K113" s="123">
        <v>0</v>
      </c>
      <c r="L113" s="128">
        <v>0</v>
      </c>
      <c r="M113" s="121">
        <v>0</v>
      </c>
      <c r="N113" s="128">
        <v>1956.4237197728257</v>
      </c>
      <c r="O113" s="128">
        <v>4.836246119206395</v>
      </c>
      <c r="P113" s="121">
        <v>1.1552979317853349</v>
      </c>
      <c r="Q113" s="5">
        <v>5721</v>
      </c>
      <c r="R113" s="5">
        <v>0</v>
      </c>
      <c r="S113" s="5">
        <v>5721</v>
      </c>
      <c r="T113" s="5">
        <v>952</v>
      </c>
      <c r="U113" s="5">
        <v>0</v>
      </c>
      <c r="V113" s="5">
        <v>0</v>
      </c>
      <c r="W113" s="5">
        <v>0</v>
      </c>
      <c r="X113" s="123">
        <v>7088.4917383073389</v>
      </c>
      <c r="Y113" s="123">
        <v>24.212485016027337</v>
      </c>
      <c r="Z113" s="123">
        <v>415.49173830733889</v>
      </c>
      <c r="AA113" s="112">
        <v>26156.53</v>
      </c>
      <c r="AB113" s="112">
        <v>24623.37</v>
      </c>
      <c r="AC113" s="8">
        <v>0.94138502891074061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2"/>
      <c r="BJ113" s="191" t="s">
        <v>806</v>
      </c>
    </row>
    <row r="114" spans="1:62" x14ac:dyDescent="0.35">
      <c r="A114" s="108"/>
      <c r="B114" s="124" t="s">
        <v>27</v>
      </c>
      <c r="C114" s="5" t="s">
        <v>5</v>
      </c>
      <c r="D114" s="5" t="s">
        <v>312</v>
      </c>
      <c r="E114" s="5" t="s">
        <v>313</v>
      </c>
      <c r="F114" s="5">
        <v>1072353</v>
      </c>
      <c r="G114" s="7" t="s">
        <v>598</v>
      </c>
      <c r="H114" s="137">
        <v>196290.86086941187</v>
      </c>
      <c r="I114" s="137">
        <v>59672.42170430121</v>
      </c>
      <c r="J114" s="123">
        <v>0</v>
      </c>
      <c r="K114" s="123">
        <v>0</v>
      </c>
      <c r="L114" s="128">
        <v>0</v>
      </c>
      <c r="M114" s="121">
        <v>2.0377922753424138E-4</v>
      </c>
      <c r="N114" s="128">
        <v>59672.42170430121</v>
      </c>
      <c r="O114" s="128">
        <v>0</v>
      </c>
      <c r="P114" s="121">
        <v>0.96519716751361295</v>
      </c>
      <c r="Q114" s="5">
        <v>160102</v>
      </c>
      <c r="R114" s="5">
        <v>40</v>
      </c>
      <c r="S114" s="5">
        <v>160062</v>
      </c>
      <c r="T114" s="5">
        <v>0</v>
      </c>
      <c r="U114" s="5">
        <v>40</v>
      </c>
      <c r="V114" s="5">
        <v>0</v>
      </c>
      <c r="W114" s="5">
        <v>600</v>
      </c>
      <c r="X114" s="123">
        <v>196290.86086941187</v>
      </c>
      <c r="Y114" s="123">
        <v>24.462983038189307</v>
      </c>
      <c r="Z114" s="123">
        <v>36188.860869411874</v>
      </c>
      <c r="AA114" s="112">
        <v>508393.33</v>
      </c>
      <c r="AB114" s="112">
        <v>416218.18</v>
      </c>
      <c r="AC114" s="8">
        <v>0.81563654716717782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2"/>
      <c r="BJ114" s="191" t="s">
        <v>822</v>
      </c>
    </row>
    <row r="115" spans="1:62" ht="12.75" customHeight="1" x14ac:dyDescent="0.35">
      <c r="A115" s="108"/>
      <c r="B115" s="124" t="s">
        <v>15</v>
      </c>
      <c r="C115" s="5" t="s">
        <v>5</v>
      </c>
      <c r="D115" s="5" t="s">
        <v>312</v>
      </c>
      <c r="E115" s="5" t="s">
        <v>315</v>
      </c>
      <c r="F115" s="56">
        <v>1080722</v>
      </c>
      <c r="G115" s="65" t="s">
        <v>736</v>
      </c>
      <c r="H115" s="137">
        <v>5472.9268292682927</v>
      </c>
      <c r="I115" s="137">
        <v>1543.3653658536584</v>
      </c>
      <c r="J115" s="123">
        <v>0</v>
      </c>
      <c r="K115" s="123">
        <v>0</v>
      </c>
      <c r="L115" s="128">
        <v>0</v>
      </c>
      <c r="M115" s="121">
        <v>0</v>
      </c>
      <c r="N115" s="128">
        <v>1543.3653658536584</v>
      </c>
      <c r="O115" s="128">
        <v>0</v>
      </c>
      <c r="P115" s="121">
        <v>0.15092472926601008</v>
      </c>
      <c r="Q115" s="5">
        <v>4984</v>
      </c>
      <c r="R115" s="5">
        <v>0</v>
      </c>
      <c r="S115" s="5">
        <v>4984</v>
      </c>
      <c r="T115" s="5">
        <v>0</v>
      </c>
      <c r="U115" s="5">
        <v>0</v>
      </c>
      <c r="V115" s="5">
        <v>0</v>
      </c>
      <c r="W115" s="5">
        <v>8400</v>
      </c>
      <c r="X115" s="123">
        <v>5472.9268292682927</v>
      </c>
      <c r="Y115" s="123">
        <v>27.319934043406569</v>
      </c>
      <c r="Z115" s="123">
        <v>488.92682926829275</v>
      </c>
      <c r="AA115" s="112">
        <v>23369.4</v>
      </c>
      <c r="AB115" s="112">
        <v>57149.68</v>
      </c>
      <c r="AC115" s="8">
        <v>0.91066446811355228</v>
      </c>
      <c r="AD115" s="66"/>
      <c r="AE115" s="66">
        <v>44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0" t="s">
        <v>1</v>
      </c>
      <c r="BJ115" s="191"/>
    </row>
    <row r="116" spans="1:62" ht="12.75" customHeight="1" x14ac:dyDescent="0.35">
      <c r="A116" s="108"/>
      <c r="B116" s="124" t="s">
        <v>27</v>
      </c>
      <c r="C116" s="5" t="s">
        <v>5</v>
      </c>
      <c r="D116" s="5" t="s">
        <v>312</v>
      </c>
      <c r="E116" s="5" t="s">
        <v>313</v>
      </c>
      <c r="F116" s="155">
        <v>1072813</v>
      </c>
      <c r="G116" s="156" t="s">
        <v>612</v>
      </c>
      <c r="H116" s="137">
        <v>45351.062399929811</v>
      </c>
      <c r="I116" s="137">
        <v>10340.042227183998</v>
      </c>
      <c r="J116" s="123">
        <v>0</v>
      </c>
      <c r="K116" s="123">
        <v>0</v>
      </c>
      <c r="L116" s="128">
        <v>0</v>
      </c>
      <c r="M116" s="121">
        <v>0</v>
      </c>
      <c r="N116" s="128">
        <v>10340.042227183998</v>
      </c>
      <c r="O116" s="128">
        <v>0</v>
      </c>
      <c r="P116" s="121">
        <v>0.69381856701433298</v>
      </c>
      <c r="Q116" s="5">
        <v>41391</v>
      </c>
      <c r="R116" s="5">
        <v>0</v>
      </c>
      <c r="S116" s="5">
        <v>41389</v>
      </c>
      <c r="T116" s="5">
        <v>0</v>
      </c>
      <c r="U116" s="5">
        <v>0</v>
      </c>
      <c r="V116" s="5">
        <v>0</v>
      </c>
      <c r="W116" s="5">
        <v>0</v>
      </c>
      <c r="X116" s="123">
        <v>45351.062399929811</v>
      </c>
      <c r="Y116" s="123">
        <v>27.379071939931482</v>
      </c>
      <c r="Z116" s="123">
        <v>3960.0623999298114</v>
      </c>
      <c r="AA116" s="112">
        <v>97051.27</v>
      </c>
      <c r="AB116" s="112">
        <v>88572.46</v>
      </c>
      <c r="AC116" s="8">
        <v>0.91267983173122003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90" t="s">
        <v>1</v>
      </c>
      <c r="BJ116" s="191"/>
    </row>
    <row r="117" spans="1:62" ht="12.75" customHeight="1" x14ac:dyDescent="0.35">
      <c r="A117" s="108"/>
      <c r="B117" s="124">
        <v>0</v>
      </c>
      <c r="C117" s="5" t="s">
        <v>2</v>
      </c>
      <c r="D117" s="5" t="s">
        <v>310</v>
      </c>
      <c r="E117" s="5" t="s">
        <v>311</v>
      </c>
      <c r="F117" s="160">
        <v>1080747</v>
      </c>
      <c r="G117" s="165" t="s">
        <v>782</v>
      </c>
      <c r="H117" s="137">
        <v>26534.048936854771</v>
      </c>
      <c r="I117" s="137">
        <v>4245.4478298967633</v>
      </c>
      <c r="J117" s="123">
        <v>0</v>
      </c>
      <c r="K117" s="123">
        <v>0</v>
      </c>
      <c r="L117" s="128">
        <v>0</v>
      </c>
      <c r="M117" s="121">
        <v>0</v>
      </c>
      <c r="N117" s="128">
        <v>4245.4478298967633</v>
      </c>
      <c r="O117" s="128">
        <v>0</v>
      </c>
      <c r="P117" s="121">
        <v>0.87925573053813166</v>
      </c>
      <c r="Q117" s="5">
        <v>24323</v>
      </c>
      <c r="R117" s="5">
        <v>0</v>
      </c>
      <c r="S117" s="5">
        <v>24323</v>
      </c>
      <c r="T117" s="5">
        <v>0</v>
      </c>
      <c r="U117" s="5">
        <v>0</v>
      </c>
      <c r="V117" s="5">
        <v>0</v>
      </c>
      <c r="W117" s="5">
        <v>0</v>
      </c>
      <c r="X117" s="123">
        <v>26534.048936854771</v>
      </c>
      <c r="Y117" s="123">
        <v>27.500137718766648</v>
      </c>
      <c r="Z117" s="123">
        <v>2211.0489368547715</v>
      </c>
      <c r="AA117" s="112">
        <v>170613.93</v>
      </c>
      <c r="AB117" s="112">
        <v>156396.89000000001</v>
      </c>
      <c r="AC117" s="8">
        <v>0.91667125729222165</v>
      </c>
      <c r="AD117" s="66"/>
      <c r="AE117" s="66">
        <v>45.406639004149376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0" t="s">
        <v>1</v>
      </c>
      <c r="BJ117" s="191"/>
    </row>
    <row r="118" spans="1:62" ht="12.75" customHeight="1" x14ac:dyDescent="0.35">
      <c r="A118" s="108"/>
      <c r="B118" s="124" t="s">
        <v>15</v>
      </c>
      <c r="C118" s="5" t="s">
        <v>5</v>
      </c>
      <c r="D118" s="5" t="s">
        <v>308</v>
      </c>
      <c r="E118" s="5" t="s">
        <v>397</v>
      </c>
      <c r="F118" s="56">
        <v>1074165</v>
      </c>
      <c r="G118" s="65" t="s">
        <v>631</v>
      </c>
      <c r="H118" s="137">
        <v>16509.398300653967</v>
      </c>
      <c r="I118" s="137">
        <v>16509.398300653967</v>
      </c>
      <c r="J118" s="123">
        <v>0</v>
      </c>
      <c r="K118" s="123">
        <v>0</v>
      </c>
      <c r="L118" s="128">
        <v>0</v>
      </c>
      <c r="M118" s="121">
        <v>0</v>
      </c>
      <c r="N118" s="128">
        <v>16509.398300653967</v>
      </c>
      <c r="O118" s="128">
        <v>0</v>
      </c>
      <c r="P118" s="121">
        <v>0.91365393600007871</v>
      </c>
      <c r="Q118" s="5">
        <v>15322</v>
      </c>
      <c r="R118" s="5">
        <v>0</v>
      </c>
      <c r="S118" s="5">
        <v>15320</v>
      </c>
      <c r="T118" s="5">
        <v>0</v>
      </c>
      <c r="U118" s="5">
        <v>0</v>
      </c>
      <c r="V118" s="5">
        <v>0</v>
      </c>
      <c r="W118" s="5">
        <v>227</v>
      </c>
      <c r="X118" s="123">
        <v>16509.398300653967</v>
      </c>
      <c r="Y118" s="123">
        <v>27.838688705075</v>
      </c>
      <c r="Z118" s="123">
        <v>1187.3983006539675</v>
      </c>
      <c r="AA118" s="112">
        <v>185235.45</v>
      </c>
      <c r="AB118" s="112">
        <v>174437.34</v>
      </c>
      <c r="AC118" s="8">
        <v>0.92807743328798775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2" t="s">
        <v>1</v>
      </c>
      <c r="BJ118" s="191"/>
    </row>
    <row r="119" spans="1:62" ht="12.75" customHeight="1" x14ac:dyDescent="0.35">
      <c r="A119" s="108"/>
      <c r="B119" s="124" t="s">
        <v>1</v>
      </c>
      <c r="C119" s="5" t="s">
        <v>2</v>
      </c>
      <c r="D119" s="5" t="s">
        <v>308</v>
      </c>
      <c r="E119" s="5" t="s">
        <v>395</v>
      </c>
      <c r="F119" s="5">
        <v>1078355</v>
      </c>
      <c r="G119" s="7" t="s">
        <v>706</v>
      </c>
      <c r="H119" s="137">
        <v>889</v>
      </c>
      <c r="I119" s="137">
        <v>224.02799999999999</v>
      </c>
      <c r="J119" s="123">
        <v>0</v>
      </c>
      <c r="K119" s="123">
        <v>0</v>
      </c>
      <c r="L119" s="128">
        <v>0</v>
      </c>
      <c r="M119" s="121">
        <v>0</v>
      </c>
      <c r="N119" s="128">
        <v>224.02799999999999</v>
      </c>
      <c r="O119" s="128">
        <v>0</v>
      </c>
      <c r="P119" s="121">
        <v>0.72665916760404947</v>
      </c>
      <c r="Q119" s="5">
        <v>906</v>
      </c>
      <c r="R119" s="5">
        <v>0</v>
      </c>
      <c r="S119" s="5">
        <v>906</v>
      </c>
      <c r="T119" s="5">
        <v>0</v>
      </c>
      <c r="U119" s="5">
        <v>0</v>
      </c>
      <c r="V119" s="5">
        <v>0</v>
      </c>
      <c r="W119" s="5">
        <v>1425</v>
      </c>
      <c r="X119" s="123">
        <v>889</v>
      </c>
      <c r="Y119" s="123">
        <v>30.573678290213728</v>
      </c>
      <c r="Z119" s="123">
        <v>-17</v>
      </c>
      <c r="AA119" s="112">
        <v>8045.45</v>
      </c>
      <c r="AB119" s="112">
        <v>21095.55</v>
      </c>
      <c r="AC119" s="8">
        <v>1.0191226096737909</v>
      </c>
      <c r="AD119" s="66"/>
      <c r="AE119" s="66">
        <v>67.599515738498795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0" t="s">
        <v>1</v>
      </c>
      <c r="BJ119" s="191"/>
    </row>
    <row r="120" spans="1:62" ht="12.75" customHeight="1" x14ac:dyDescent="0.35">
      <c r="A120" s="108"/>
      <c r="B120" s="124" t="s">
        <v>1</v>
      </c>
      <c r="C120" s="5" t="s">
        <v>50</v>
      </c>
      <c r="D120" s="5" t="s">
        <v>320</v>
      </c>
      <c r="E120" s="5" t="s">
        <v>402</v>
      </c>
      <c r="F120" s="5">
        <v>1060793</v>
      </c>
      <c r="G120" s="7" t="s">
        <v>430</v>
      </c>
      <c r="H120" s="137">
        <v>14286.547294102194</v>
      </c>
      <c r="I120" s="137">
        <v>2571.5785129383949</v>
      </c>
      <c r="J120" s="123">
        <v>0</v>
      </c>
      <c r="K120" s="123">
        <v>0</v>
      </c>
      <c r="L120" s="128">
        <v>0</v>
      </c>
      <c r="M120" s="121">
        <v>0</v>
      </c>
      <c r="N120" s="128">
        <v>2571.5785129383949</v>
      </c>
      <c r="O120" s="128">
        <v>0</v>
      </c>
      <c r="P120" s="121">
        <v>0.54526236407888229</v>
      </c>
      <c r="Q120" s="5">
        <v>14625</v>
      </c>
      <c r="R120" s="5">
        <v>0</v>
      </c>
      <c r="S120" s="5">
        <v>14625</v>
      </c>
      <c r="T120" s="5">
        <v>0</v>
      </c>
      <c r="U120" s="5">
        <v>0</v>
      </c>
      <c r="V120" s="5">
        <v>0</v>
      </c>
      <c r="W120" s="5">
        <v>900</v>
      </c>
      <c r="X120" s="123">
        <v>14286.547294102194</v>
      </c>
      <c r="Y120" s="123">
        <v>30.71070924051228</v>
      </c>
      <c r="Z120" s="123">
        <v>-338.45270589780557</v>
      </c>
      <c r="AA120" s="112">
        <v>98005.71</v>
      </c>
      <c r="AB120" s="112">
        <v>106501.5</v>
      </c>
      <c r="AC120" s="8">
        <v>1.0236903080170761</v>
      </c>
      <c r="AD120" s="66"/>
      <c r="AE120" s="66" t="s">
        <v>574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0" t="s">
        <v>1</v>
      </c>
      <c r="BJ120" s="191"/>
    </row>
    <row r="121" spans="1:62" ht="12.75" customHeight="1" x14ac:dyDescent="0.35">
      <c r="A121" s="108"/>
      <c r="B121" s="124" t="s">
        <v>27</v>
      </c>
      <c r="C121" s="5" t="s">
        <v>5</v>
      </c>
      <c r="D121" s="5" t="s">
        <v>312</v>
      </c>
      <c r="E121" s="5" t="s">
        <v>313</v>
      </c>
      <c r="F121" s="5">
        <v>1052861</v>
      </c>
      <c r="G121" s="7" t="s">
        <v>196</v>
      </c>
      <c r="H121" s="137">
        <v>20011.897113344425</v>
      </c>
      <c r="I121" s="137">
        <v>920.5472672138435</v>
      </c>
      <c r="J121" s="123">
        <v>0</v>
      </c>
      <c r="K121" s="123">
        <v>0</v>
      </c>
      <c r="L121" s="128">
        <v>0</v>
      </c>
      <c r="M121" s="121">
        <v>0</v>
      </c>
      <c r="N121" s="128">
        <v>920.5472672138435</v>
      </c>
      <c r="O121" s="128">
        <v>5.4478221833175775</v>
      </c>
      <c r="P121" s="121">
        <v>1.2577707973909182</v>
      </c>
      <c r="Q121" s="5">
        <v>20548</v>
      </c>
      <c r="R121" s="5">
        <v>0</v>
      </c>
      <c r="S121" s="5">
        <v>20548</v>
      </c>
      <c r="T121" s="5">
        <v>0</v>
      </c>
      <c r="U121" s="5">
        <v>0</v>
      </c>
      <c r="V121" s="5">
        <v>0</v>
      </c>
      <c r="W121" s="5">
        <v>0</v>
      </c>
      <c r="X121" s="123">
        <v>20011.897113344425</v>
      </c>
      <c r="Y121" s="123">
        <v>30.80367625860632</v>
      </c>
      <c r="Z121" s="123">
        <v>-536.10288665557528</v>
      </c>
      <c r="AA121" s="112">
        <v>10206.07</v>
      </c>
      <c r="AB121" s="112">
        <v>10479.48</v>
      </c>
      <c r="AC121" s="8">
        <v>1.0267892086202106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0" t="s">
        <v>1</v>
      </c>
      <c r="BJ121" s="191"/>
    </row>
    <row r="122" spans="1:62" ht="12.75" customHeight="1" x14ac:dyDescent="0.35">
      <c r="A122" s="108"/>
      <c r="B122" s="124" t="s">
        <v>31</v>
      </c>
      <c r="C122" s="5" t="s">
        <v>5</v>
      </c>
      <c r="D122" s="5" t="s">
        <v>306</v>
      </c>
      <c r="E122" s="5" t="s">
        <v>404</v>
      </c>
      <c r="F122" s="5">
        <v>1072598</v>
      </c>
      <c r="G122" s="7" t="s">
        <v>608</v>
      </c>
      <c r="H122" s="137">
        <v>17756.575242424195</v>
      </c>
      <c r="I122" s="137">
        <v>2663.486286363629</v>
      </c>
      <c r="J122" s="123">
        <v>0</v>
      </c>
      <c r="K122" s="123">
        <v>0</v>
      </c>
      <c r="L122" s="128">
        <v>0</v>
      </c>
      <c r="M122" s="121">
        <v>0</v>
      </c>
      <c r="N122" s="128">
        <v>2663.486286363629</v>
      </c>
      <c r="O122" s="128">
        <v>2.5991916851739276</v>
      </c>
      <c r="P122" s="121">
        <v>1.0847309989375729</v>
      </c>
      <c r="Q122" s="5">
        <v>18549</v>
      </c>
      <c r="R122" s="5">
        <v>0</v>
      </c>
      <c r="S122" s="5">
        <v>18549</v>
      </c>
      <c r="T122" s="5">
        <v>0</v>
      </c>
      <c r="U122" s="5">
        <v>0</v>
      </c>
      <c r="V122" s="5">
        <v>0</v>
      </c>
      <c r="W122" s="5">
        <v>300</v>
      </c>
      <c r="X122" s="123">
        <v>17756.575242424195</v>
      </c>
      <c r="Y122" s="123">
        <v>31.338813504446293</v>
      </c>
      <c r="Z122" s="123">
        <v>-792.42475757580542</v>
      </c>
      <c r="AA122" s="112">
        <v>25569.47</v>
      </c>
      <c r="AB122" s="112">
        <v>27142.560000000001</v>
      </c>
      <c r="AC122" s="8">
        <v>1.0446271168148764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2" t="s">
        <v>1</v>
      </c>
      <c r="BJ122" s="191" t="s">
        <v>832</v>
      </c>
    </row>
    <row r="123" spans="1:62" ht="12.75" customHeight="1" x14ac:dyDescent="0.35">
      <c r="A123" s="108"/>
      <c r="B123" s="124" t="s">
        <v>9</v>
      </c>
      <c r="C123" s="5" t="s">
        <v>5</v>
      </c>
      <c r="D123" s="5" t="s">
        <v>308</v>
      </c>
      <c r="E123" s="5" t="s">
        <v>315</v>
      </c>
      <c r="F123" s="130">
        <v>1082308</v>
      </c>
      <c r="G123" s="131" t="s">
        <v>757</v>
      </c>
      <c r="H123" s="137">
        <v>20050.727758342378</v>
      </c>
      <c r="I123" s="137">
        <v>5333.4935837190733</v>
      </c>
      <c r="J123" s="123">
        <v>0</v>
      </c>
      <c r="K123" s="123">
        <v>0</v>
      </c>
      <c r="L123" s="128">
        <v>0</v>
      </c>
      <c r="M123" s="121">
        <v>0</v>
      </c>
      <c r="N123" s="128">
        <v>5333.4935837190733</v>
      </c>
      <c r="O123" s="128">
        <v>0</v>
      </c>
      <c r="P123" s="121">
        <v>0.94648250066513606</v>
      </c>
      <c r="Q123" s="5">
        <v>21288</v>
      </c>
      <c r="R123" s="5">
        <v>0</v>
      </c>
      <c r="S123" s="5">
        <v>21288</v>
      </c>
      <c r="T123" s="5">
        <v>0</v>
      </c>
      <c r="U123" s="5">
        <v>180</v>
      </c>
      <c r="V123" s="5">
        <v>0</v>
      </c>
      <c r="W123" s="5">
        <v>0</v>
      </c>
      <c r="X123" s="123">
        <v>20050.727758342378</v>
      </c>
      <c r="Y123" s="123">
        <v>31.851212968281665</v>
      </c>
      <c r="Z123" s="123">
        <v>-1237.2722416576216</v>
      </c>
      <c r="AA123" s="112">
        <v>114088.64</v>
      </c>
      <c r="AB123" s="112">
        <v>122152.92</v>
      </c>
      <c r="AC123" s="8">
        <v>1.0617070989427222</v>
      </c>
      <c r="AD123" s="66"/>
      <c r="AE123" s="66">
        <v>56.781838316722038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0" t="s">
        <v>1</v>
      </c>
      <c r="BJ123" s="191"/>
    </row>
    <row r="124" spans="1:62" ht="12.75" customHeight="1" x14ac:dyDescent="0.35">
      <c r="A124" s="108"/>
      <c r="B124" s="124" t="s">
        <v>4</v>
      </c>
      <c r="C124" s="5" t="s">
        <v>5</v>
      </c>
      <c r="D124" s="5" t="s">
        <v>308</v>
      </c>
      <c r="E124" s="5" t="s">
        <v>314</v>
      </c>
      <c r="F124" s="5">
        <v>1075185</v>
      </c>
      <c r="G124" s="7" t="s">
        <v>703</v>
      </c>
      <c r="H124" s="137">
        <v>28622.555508159232</v>
      </c>
      <c r="I124" s="137">
        <v>27477.653287832862</v>
      </c>
      <c r="J124" s="123">
        <v>0</v>
      </c>
      <c r="K124" s="123">
        <v>0</v>
      </c>
      <c r="L124" s="128">
        <v>0</v>
      </c>
      <c r="M124" s="121">
        <v>0</v>
      </c>
      <c r="N124" s="128">
        <v>27477.653287832862</v>
      </c>
      <c r="O124" s="128">
        <v>0</v>
      </c>
      <c r="P124" s="121">
        <v>0.29336504137290753</v>
      </c>
      <c r="Q124" s="5">
        <v>30788</v>
      </c>
      <c r="R124" s="5">
        <v>0</v>
      </c>
      <c r="S124" s="5">
        <v>30787</v>
      </c>
      <c r="T124" s="5">
        <v>0</v>
      </c>
      <c r="U124" s="5">
        <v>0</v>
      </c>
      <c r="V124" s="5">
        <v>0</v>
      </c>
      <c r="W124" s="5">
        <v>0</v>
      </c>
      <c r="X124" s="123">
        <v>28622.555508159232</v>
      </c>
      <c r="Y124" s="123">
        <v>32.268607173692544</v>
      </c>
      <c r="Z124" s="123">
        <v>-2165.444491840768</v>
      </c>
      <c r="AA124" s="112">
        <v>36064.42</v>
      </c>
      <c r="AB124" s="112">
        <v>38791.620000000003</v>
      </c>
      <c r="AC124" s="8">
        <v>1.0756551766044609</v>
      </c>
      <c r="AD124" s="66"/>
      <c r="AE124" s="66">
        <v>0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0" t="s">
        <v>1</v>
      </c>
      <c r="BJ124" s="191"/>
    </row>
    <row r="125" spans="1:62" ht="12.75" customHeight="1" x14ac:dyDescent="0.35">
      <c r="A125" s="108"/>
      <c r="B125" s="124" t="s">
        <v>15</v>
      </c>
      <c r="C125" s="5" t="s">
        <v>5</v>
      </c>
      <c r="D125" s="5" t="s">
        <v>308</v>
      </c>
      <c r="E125" s="5" t="s">
        <v>315</v>
      </c>
      <c r="F125" s="5">
        <v>1074230</v>
      </c>
      <c r="G125" s="7" t="s">
        <v>702</v>
      </c>
      <c r="H125" s="137">
        <v>1985.8748724421366</v>
      </c>
      <c r="I125" s="137">
        <v>893.64369259896148</v>
      </c>
      <c r="J125" s="123">
        <v>0</v>
      </c>
      <c r="K125" s="123">
        <v>0</v>
      </c>
      <c r="L125" s="128">
        <v>0</v>
      </c>
      <c r="M125" s="121">
        <v>0</v>
      </c>
      <c r="N125" s="128">
        <v>893.64369259896148</v>
      </c>
      <c r="O125" s="128">
        <v>0</v>
      </c>
      <c r="P125" s="121">
        <v>0.42037511331922739</v>
      </c>
      <c r="Q125" s="5">
        <v>2145</v>
      </c>
      <c r="R125" s="5">
        <v>0</v>
      </c>
      <c r="S125" s="5">
        <v>2145</v>
      </c>
      <c r="T125" s="5">
        <v>0</v>
      </c>
      <c r="U125" s="5">
        <v>0</v>
      </c>
      <c r="V125" s="5">
        <v>0</v>
      </c>
      <c r="W125" s="5">
        <v>0.6</v>
      </c>
      <c r="X125" s="123">
        <v>1985.8748724421366</v>
      </c>
      <c r="Y125" s="123">
        <v>32.403854287589311</v>
      </c>
      <c r="Z125" s="123">
        <v>-159.12512755786338</v>
      </c>
      <c r="AA125" s="112">
        <v>14874.2</v>
      </c>
      <c r="AB125" s="112">
        <v>16070.54</v>
      </c>
      <c r="AC125" s="8">
        <v>1.080128476252977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0"/>
      <c r="BJ125" s="191"/>
    </row>
    <row r="126" spans="1:62" ht="12.75" customHeight="1" x14ac:dyDescent="0.35">
      <c r="A126" s="108"/>
      <c r="B126" s="124" t="s">
        <v>27</v>
      </c>
      <c r="C126" s="5" t="s">
        <v>5</v>
      </c>
      <c r="D126" s="5" t="s">
        <v>312</v>
      </c>
      <c r="E126" s="5" t="s">
        <v>313</v>
      </c>
      <c r="F126" s="5">
        <v>1081304</v>
      </c>
      <c r="G126" s="7" t="s">
        <v>747</v>
      </c>
      <c r="H126" s="137">
        <v>32988.680118174889</v>
      </c>
      <c r="I126" s="137">
        <v>7521.4190669438749</v>
      </c>
      <c r="J126" s="123">
        <v>0</v>
      </c>
      <c r="K126" s="123">
        <v>0</v>
      </c>
      <c r="L126" s="128">
        <v>0</v>
      </c>
      <c r="M126" s="121">
        <v>4.9168381220149819E-2</v>
      </c>
      <c r="N126" s="128">
        <v>7521.4190669438749</v>
      </c>
      <c r="O126" s="128">
        <v>16.5580842338602</v>
      </c>
      <c r="P126" s="121">
        <v>2.2562753455514062</v>
      </c>
      <c r="Q126" s="5">
        <v>47227</v>
      </c>
      <c r="R126" s="5">
        <v>1622</v>
      </c>
      <c r="S126" s="5">
        <v>45605</v>
      </c>
      <c r="T126" s="5">
        <v>0</v>
      </c>
      <c r="U126" s="5">
        <v>0</v>
      </c>
      <c r="V126" s="5">
        <v>0</v>
      </c>
      <c r="W126" s="5">
        <v>60</v>
      </c>
      <c r="X126" s="123">
        <v>42171.999999999993</v>
      </c>
      <c r="Y126" s="123">
        <v>32.442141705396956</v>
      </c>
      <c r="Z126" s="123">
        <v>-14238.319881825111</v>
      </c>
      <c r="AA126" s="112">
        <v>65317.59</v>
      </c>
      <c r="AB126" s="112">
        <v>90416.7</v>
      </c>
      <c r="AC126" s="8">
        <v>1.4316122933933513</v>
      </c>
      <c r="AD126" s="66"/>
      <c r="AE126" s="66">
        <v>1010.848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0" t="s">
        <v>1</v>
      </c>
      <c r="BJ126" s="191"/>
    </row>
    <row r="127" spans="1:62" ht="12.75" customHeight="1" x14ac:dyDescent="0.35">
      <c r="A127" s="108"/>
      <c r="B127" s="124" t="s">
        <v>31</v>
      </c>
      <c r="C127" s="5" t="s">
        <v>5</v>
      </c>
      <c r="D127" s="5" t="s">
        <v>306</v>
      </c>
      <c r="E127" s="5" t="s">
        <v>307</v>
      </c>
      <c r="F127" s="5">
        <v>1071169</v>
      </c>
      <c r="G127" s="7" t="s">
        <v>601</v>
      </c>
      <c r="H127" s="137">
        <v>23926.991076266779</v>
      </c>
      <c r="I127" s="137">
        <v>4306.85839372802</v>
      </c>
      <c r="J127" s="123">
        <v>0</v>
      </c>
      <c r="K127" s="123">
        <v>0</v>
      </c>
      <c r="L127" s="128">
        <v>0</v>
      </c>
      <c r="M127" s="121">
        <v>0</v>
      </c>
      <c r="N127" s="128">
        <v>4306.85839372802</v>
      </c>
      <c r="O127" s="128">
        <v>2.1771730513427126</v>
      </c>
      <c r="P127" s="121">
        <v>1.0726223060485709</v>
      </c>
      <c r="Q127" s="5">
        <v>26055</v>
      </c>
      <c r="R127" s="5">
        <v>0</v>
      </c>
      <c r="S127" s="5">
        <v>26055</v>
      </c>
      <c r="T127" s="5">
        <v>0</v>
      </c>
      <c r="U127" s="5">
        <v>0</v>
      </c>
      <c r="V127" s="5">
        <v>0</v>
      </c>
      <c r="W127" s="5">
        <v>0</v>
      </c>
      <c r="X127" s="123">
        <v>23926.991076266779</v>
      </c>
      <c r="Y127" s="123">
        <v>32.668127701828752</v>
      </c>
      <c r="Z127" s="123">
        <v>-2128.0089237332213</v>
      </c>
      <c r="AA127" s="112">
        <v>105996.57</v>
      </c>
      <c r="AB127" s="112">
        <v>115423.65</v>
      </c>
      <c r="AC127" s="8">
        <v>1.0889375900609584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92"/>
      <c r="BJ127" s="191"/>
    </row>
    <row r="128" spans="1:62" ht="12.75" customHeight="1" x14ac:dyDescent="0.35">
      <c r="A128" s="108"/>
      <c r="B128" s="124" t="s">
        <v>27</v>
      </c>
      <c r="C128" s="5" t="s">
        <v>5</v>
      </c>
      <c r="D128" s="5" t="s">
        <v>312</v>
      </c>
      <c r="E128" s="5" t="s">
        <v>313</v>
      </c>
      <c r="F128" s="5">
        <v>1072811</v>
      </c>
      <c r="G128" s="7" t="s">
        <v>606</v>
      </c>
      <c r="H128" s="137">
        <v>67240.516408181604</v>
      </c>
      <c r="I128" s="137">
        <v>15330.837741065407</v>
      </c>
      <c r="J128" s="123">
        <v>0</v>
      </c>
      <c r="K128" s="123">
        <v>0</v>
      </c>
      <c r="L128" s="128">
        <v>0</v>
      </c>
      <c r="M128" s="121">
        <v>0</v>
      </c>
      <c r="N128" s="128">
        <v>15330.837741065407</v>
      </c>
      <c r="O128" s="128">
        <v>0</v>
      </c>
      <c r="P128" s="121">
        <v>0.54284719865495934</v>
      </c>
      <c r="Q128" s="5">
        <v>73539</v>
      </c>
      <c r="R128" s="5">
        <v>0</v>
      </c>
      <c r="S128" s="5">
        <v>73539</v>
      </c>
      <c r="T128" s="5">
        <v>0</v>
      </c>
      <c r="U128" s="5">
        <v>0</v>
      </c>
      <c r="V128" s="5">
        <v>0</v>
      </c>
      <c r="W128" s="5">
        <v>0</v>
      </c>
      <c r="X128" s="123">
        <v>67240.516408181604</v>
      </c>
      <c r="Y128" s="123">
        <v>32.810128741538939</v>
      </c>
      <c r="Z128" s="123">
        <v>-6298.4835918183962</v>
      </c>
      <c r="AA128" s="112">
        <v>133808.63</v>
      </c>
      <c r="AB128" s="112">
        <v>146342.60999999999</v>
      </c>
      <c r="AC128" s="8">
        <v>1.093670958051298</v>
      </c>
      <c r="AD128" s="66"/>
      <c r="AE128" s="66">
        <v>46.744578313253015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0" t="s">
        <v>1</v>
      </c>
      <c r="BJ128" s="191"/>
    </row>
    <row r="129" spans="1:62" ht="12.75" customHeight="1" x14ac:dyDescent="0.35">
      <c r="A129" s="108"/>
      <c r="B129" s="124" t="s">
        <v>15</v>
      </c>
      <c r="C129" s="5" t="s">
        <v>5</v>
      </c>
      <c r="D129" s="5" t="s">
        <v>312</v>
      </c>
      <c r="E129" s="5" t="s">
        <v>315</v>
      </c>
      <c r="F129" s="5">
        <v>1078687</v>
      </c>
      <c r="G129" s="7" t="s">
        <v>709</v>
      </c>
      <c r="H129" s="137">
        <v>1887.0487804878048</v>
      </c>
      <c r="I129" s="137">
        <v>656.69297560975599</v>
      </c>
      <c r="J129" s="123">
        <v>0</v>
      </c>
      <c r="K129" s="123">
        <v>0</v>
      </c>
      <c r="L129" s="128">
        <v>0</v>
      </c>
      <c r="M129" s="121">
        <v>0</v>
      </c>
      <c r="N129" s="128">
        <v>656.69297560975599</v>
      </c>
      <c r="O129" s="128">
        <v>2.0818415644508783</v>
      </c>
      <c r="P129" s="121">
        <v>1.075387186003735</v>
      </c>
      <c r="Q129" s="5">
        <v>2065</v>
      </c>
      <c r="R129" s="5">
        <v>0</v>
      </c>
      <c r="S129" s="5">
        <v>2065</v>
      </c>
      <c r="T129" s="5">
        <v>0</v>
      </c>
      <c r="U129" s="5">
        <v>22</v>
      </c>
      <c r="V129" s="5">
        <v>0</v>
      </c>
      <c r="W129" s="5">
        <v>0</v>
      </c>
      <c r="X129" s="123">
        <v>1887.0487804878048</v>
      </c>
      <c r="Y129" s="123">
        <v>32.829040054802313</v>
      </c>
      <c r="Z129" s="123">
        <v>-177.95121951219517</v>
      </c>
      <c r="AA129" s="112">
        <v>8812.52</v>
      </c>
      <c r="AB129" s="112">
        <v>9746.2900000000009</v>
      </c>
      <c r="AC129" s="8">
        <v>1.094301335160077</v>
      </c>
      <c r="AD129" s="66"/>
      <c r="AE129" s="66">
        <v>7.7885819816926292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0" t="s">
        <v>1</v>
      </c>
      <c r="BJ129" s="191" t="s">
        <v>818</v>
      </c>
    </row>
    <row r="130" spans="1:62" ht="12.75" customHeight="1" x14ac:dyDescent="0.35">
      <c r="A130" s="108"/>
      <c r="B130" s="124" t="s">
        <v>1</v>
      </c>
      <c r="C130" s="5" t="s">
        <v>17</v>
      </c>
      <c r="D130" s="5" t="s">
        <v>312</v>
      </c>
      <c r="E130" s="5" t="s">
        <v>398</v>
      </c>
      <c r="F130" s="56">
        <v>1082287</v>
      </c>
      <c r="G130" s="65" t="s">
        <v>774</v>
      </c>
      <c r="H130" s="137">
        <v>7722.6697956436874</v>
      </c>
      <c r="I130" s="137">
        <v>1876.608760341416</v>
      </c>
      <c r="J130" s="123">
        <v>0</v>
      </c>
      <c r="K130" s="123">
        <v>0</v>
      </c>
      <c r="L130" s="128">
        <v>0</v>
      </c>
      <c r="M130" s="121">
        <v>0</v>
      </c>
      <c r="N130" s="128">
        <v>1876.608760341416</v>
      </c>
      <c r="O130" s="128">
        <v>23.094665737249702</v>
      </c>
      <c r="P130" s="121">
        <v>1.8196815493120166</v>
      </c>
      <c r="Q130" s="5">
        <v>8460</v>
      </c>
      <c r="R130" s="5">
        <v>0</v>
      </c>
      <c r="S130" s="5">
        <v>8460</v>
      </c>
      <c r="T130" s="5">
        <v>0</v>
      </c>
      <c r="U130" s="5">
        <v>0</v>
      </c>
      <c r="V130" s="5">
        <v>0</v>
      </c>
      <c r="W130" s="5">
        <v>120</v>
      </c>
      <c r="X130" s="123">
        <v>7722.6697956436874</v>
      </c>
      <c r="Y130" s="123">
        <v>32.864282264556628</v>
      </c>
      <c r="Z130" s="123">
        <v>-737.33020435631261</v>
      </c>
      <c r="AA130" s="112">
        <v>19770.03</v>
      </c>
      <c r="AB130" s="112">
        <v>21964.799999999999</v>
      </c>
      <c r="AC130" s="8">
        <v>1.0954760754852209</v>
      </c>
      <c r="AD130" s="66"/>
      <c r="AE130" s="66">
        <v>37.655840694486706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0" t="s">
        <v>1</v>
      </c>
      <c r="BJ130" s="191"/>
    </row>
    <row r="131" spans="1:62" ht="12.75" customHeight="1" x14ac:dyDescent="0.35">
      <c r="A131" s="108"/>
      <c r="B131" s="124" t="s">
        <v>1</v>
      </c>
      <c r="C131" s="5" t="s">
        <v>2</v>
      </c>
      <c r="D131" s="5" t="s">
        <v>306</v>
      </c>
      <c r="E131" s="5" t="s">
        <v>401</v>
      </c>
      <c r="F131" s="5">
        <v>1075853</v>
      </c>
      <c r="G131" s="7" t="s">
        <v>688</v>
      </c>
      <c r="H131" s="137">
        <v>15645.650722409722</v>
      </c>
      <c r="I131" s="137">
        <v>2910.0910343682085</v>
      </c>
      <c r="J131" s="123">
        <v>0</v>
      </c>
      <c r="K131" s="123">
        <v>0</v>
      </c>
      <c r="L131" s="128">
        <v>0</v>
      </c>
      <c r="M131" s="121">
        <v>0</v>
      </c>
      <c r="N131" s="128">
        <v>2910.0910343682085</v>
      </c>
      <c r="O131" s="128">
        <v>13.923550294835852</v>
      </c>
      <c r="P131" s="121">
        <v>1.5211093926929538</v>
      </c>
      <c r="Q131" s="5">
        <v>17302</v>
      </c>
      <c r="R131" s="5">
        <v>0</v>
      </c>
      <c r="S131" s="5">
        <v>17302</v>
      </c>
      <c r="T131" s="5">
        <v>0</v>
      </c>
      <c r="U131" s="5">
        <v>0</v>
      </c>
      <c r="V131" s="5">
        <v>0</v>
      </c>
      <c r="W131" s="5">
        <v>360</v>
      </c>
      <c r="X131" s="123">
        <v>15645.650722409722</v>
      </c>
      <c r="Y131" s="123">
        <v>33.175993073687579</v>
      </c>
      <c r="Z131" s="123">
        <v>-1656.3492775902778</v>
      </c>
      <c r="AA131" s="112">
        <v>28475.08</v>
      </c>
      <c r="AB131" s="112">
        <v>32144.84</v>
      </c>
      <c r="AC131" s="8">
        <v>1.105866435789586</v>
      </c>
      <c r="AD131" s="66"/>
      <c r="AE131" s="66">
        <v>27.489419348425013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0" t="s">
        <v>1</v>
      </c>
      <c r="BJ131" s="191"/>
    </row>
    <row r="132" spans="1:62" ht="12.75" customHeight="1" x14ac:dyDescent="0.35">
      <c r="A132" s="108"/>
      <c r="B132" s="124" t="s">
        <v>15</v>
      </c>
      <c r="C132" s="5" t="s">
        <v>5</v>
      </c>
      <c r="D132" s="5" t="s">
        <v>308</v>
      </c>
      <c r="E132" s="5" t="s">
        <v>315</v>
      </c>
      <c r="F132" s="5">
        <v>1078372</v>
      </c>
      <c r="G132" s="7" t="s">
        <v>708</v>
      </c>
      <c r="H132" s="137">
        <v>11773.882175434006</v>
      </c>
      <c r="I132" s="137">
        <v>4238.5975831562419</v>
      </c>
      <c r="J132" s="123">
        <v>0</v>
      </c>
      <c r="K132" s="123">
        <v>0</v>
      </c>
      <c r="L132" s="128">
        <v>0</v>
      </c>
      <c r="M132" s="121">
        <v>0</v>
      </c>
      <c r="N132" s="128">
        <v>4238.5975831562419</v>
      </c>
      <c r="O132" s="128">
        <v>16.072100552931378</v>
      </c>
      <c r="P132" s="121">
        <v>1.911083032771673</v>
      </c>
      <c r="Q132" s="5">
        <v>13217</v>
      </c>
      <c r="R132" s="5">
        <v>0</v>
      </c>
      <c r="S132" s="5">
        <v>13217</v>
      </c>
      <c r="T132" s="5">
        <v>0</v>
      </c>
      <c r="U132" s="5">
        <v>0</v>
      </c>
      <c r="V132" s="5">
        <v>0</v>
      </c>
      <c r="W132" s="5">
        <v>400</v>
      </c>
      <c r="X132" s="123">
        <v>11773.882175434006</v>
      </c>
      <c r="Y132" s="123">
        <v>33.677082383864089</v>
      </c>
      <c r="Z132" s="123">
        <v>-1443.1178245659939</v>
      </c>
      <c r="AA132" s="112">
        <v>74293.2</v>
      </c>
      <c r="AB132" s="112">
        <v>85923.27</v>
      </c>
      <c r="AC132" s="8">
        <v>1.1225694127954697</v>
      </c>
      <c r="AD132" s="66"/>
      <c r="AE132" s="66">
        <v>0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2" t="s">
        <v>1</v>
      </c>
      <c r="BJ132" s="191"/>
    </row>
    <row r="133" spans="1:62" ht="12.75" customHeight="1" x14ac:dyDescent="0.35">
      <c r="A133" s="108"/>
      <c r="B133" s="124" t="s">
        <v>1</v>
      </c>
      <c r="C133" s="5" t="s">
        <v>24</v>
      </c>
      <c r="D133" s="5" t="s">
        <v>316</v>
      </c>
      <c r="E133" s="5" t="s">
        <v>317</v>
      </c>
      <c r="F133" s="5">
        <v>1071324</v>
      </c>
      <c r="G133" s="7" t="s">
        <v>686</v>
      </c>
      <c r="H133" s="137">
        <v>10216.40321774422</v>
      </c>
      <c r="I133" s="137">
        <v>1103.3715475163758</v>
      </c>
      <c r="J133" s="123">
        <v>0</v>
      </c>
      <c r="K133" s="123">
        <v>0</v>
      </c>
      <c r="L133" s="128">
        <v>0</v>
      </c>
      <c r="M133" s="121">
        <v>0</v>
      </c>
      <c r="N133" s="128">
        <v>1103.3715475163758</v>
      </c>
      <c r="O133" s="128">
        <v>0</v>
      </c>
      <c r="P133" s="121">
        <v>0.76897518074464244</v>
      </c>
      <c r="Q133" s="5">
        <v>12022</v>
      </c>
      <c r="R133" s="5">
        <v>0</v>
      </c>
      <c r="S133" s="5">
        <v>12022</v>
      </c>
      <c r="T133" s="5">
        <v>0</v>
      </c>
      <c r="U133" s="5">
        <v>0</v>
      </c>
      <c r="V133" s="5">
        <v>0</v>
      </c>
      <c r="W133" s="5">
        <v>1860</v>
      </c>
      <c r="X133" s="123">
        <v>10216.40321774422</v>
      </c>
      <c r="Y133" s="123">
        <v>35.302052230435912</v>
      </c>
      <c r="Z133" s="123">
        <v>-1805.5967822557795</v>
      </c>
      <c r="AA133" s="112">
        <v>53840.45</v>
      </c>
      <c r="AB133" s="112">
        <v>73158.14</v>
      </c>
      <c r="AC133" s="8">
        <v>1.1767350743478637</v>
      </c>
      <c r="AD133" s="66"/>
      <c r="AE133" s="66">
        <v>69.94509598864569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0" t="s">
        <v>1</v>
      </c>
      <c r="BJ133" s="191"/>
    </row>
    <row r="134" spans="1:62" ht="12.75" customHeight="1" x14ac:dyDescent="0.35">
      <c r="A134" s="108"/>
      <c r="B134" s="124" t="s">
        <v>1</v>
      </c>
      <c r="C134" s="5" t="s">
        <v>5</v>
      </c>
      <c r="D134" s="5" t="s">
        <v>396</v>
      </c>
      <c r="E134" s="5" t="s">
        <v>397</v>
      </c>
      <c r="F134" s="5">
        <v>1071792</v>
      </c>
      <c r="G134" s="7" t="s">
        <v>665</v>
      </c>
      <c r="H134" s="137">
        <v>4165.9903569453927</v>
      </c>
      <c r="I134" s="137">
        <v>4165.9903569453927</v>
      </c>
      <c r="J134" s="123">
        <v>0</v>
      </c>
      <c r="K134" s="123">
        <v>0</v>
      </c>
      <c r="L134" s="128">
        <v>0</v>
      </c>
      <c r="M134" s="121">
        <v>0</v>
      </c>
      <c r="N134" s="128">
        <v>4165.9903569453927</v>
      </c>
      <c r="O134" s="128">
        <v>0</v>
      </c>
      <c r="P134" s="121">
        <v>0.72589897014509408</v>
      </c>
      <c r="Q134" s="5">
        <v>4952</v>
      </c>
      <c r="R134" s="5">
        <v>0</v>
      </c>
      <c r="S134" s="5">
        <v>4952</v>
      </c>
      <c r="T134" s="5">
        <v>0</v>
      </c>
      <c r="U134" s="5">
        <v>0</v>
      </c>
      <c r="V134" s="5">
        <v>0</v>
      </c>
      <c r="W134" s="5">
        <v>0</v>
      </c>
      <c r="X134" s="123">
        <v>4165.9903569453927</v>
      </c>
      <c r="Y134" s="123">
        <v>35.660188159659562</v>
      </c>
      <c r="Z134" s="123">
        <v>-786.0096430546073</v>
      </c>
      <c r="AA134" s="112">
        <v>63073.09</v>
      </c>
      <c r="AB134" s="112">
        <v>74973.279999999999</v>
      </c>
      <c r="AC134" s="8">
        <v>1.1886729386553188</v>
      </c>
      <c r="AD134" s="66"/>
      <c r="AE134" s="66" t="s">
        <v>574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0" t="s">
        <v>1</v>
      </c>
      <c r="BJ134" s="191"/>
    </row>
    <row r="135" spans="1:62" ht="12.75" customHeight="1" x14ac:dyDescent="0.35">
      <c r="A135" s="108"/>
      <c r="B135" s="124" t="s">
        <v>8</v>
      </c>
      <c r="C135" s="5" t="s">
        <v>5</v>
      </c>
      <c r="D135" s="5" t="s">
        <v>308</v>
      </c>
      <c r="E135" s="5" t="s">
        <v>309</v>
      </c>
      <c r="F135" s="5">
        <v>1079847</v>
      </c>
      <c r="G135" s="7" t="s">
        <v>728</v>
      </c>
      <c r="H135" s="137">
        <v>8510.3875735077982</v>
      </c>
      <c r="I135" s="137">
        <v>3267.9888282269944</v>
      </c>
      <c r="J135" s="123">
        <v>0</v>
      </c>
      <c r="K135" s="123">
        <v>0</v>
      </c>
      <c r="L135" s="128">
        <v>0</v>
      </c>
      <c r="M135" s="121">
        <v>0</v>
      </c>
      <c r="N135" s="128">
        <v>3267.9888282269944</v>
      </c>
      <c r="O135" s="128">
        <v>0</v>
      </c>
      <c r="P135" s="121">
        <v>0.93638378393512312</v>
      </c>
      <c r="Q135" s="5">
        <v>10215</v>
      </c>
      <c r="R135" s="5">
        <v>0</v>
      </c>
      <c r="S135" s="5">
        <v>10215</v>
      </c>
      <c r="T135" s="5">
        <v>0</v>
      </c>
      <c r="U135" s="5">
        <v>0</v>
      </c>
      <c r="V135" s="5">
        <v>0</v>
      </c>
      <c r="W135" s="5">
        <v>1</v>
      </c>
      <c r="X135" s="123">
        <v>8510.3875735077982</v>
      </c>
      <c r="Y135" s="123">
        <v>36.008935827312492</v>
      </c>
      <c r="Z135" s="123">
        <v>-1704.6124264922018</v>
      </c>
      <c r="AA135" s="112">
        <v>76423.28</v>
      </c>
      <c r="AB135" s="112">
        <v>91739.68</v>
      </c>
      <c r="AC135" s="8">
        <v>1.2002978609104165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0"/>
      <c r="BJ135" s="191"/>
    </row>
    <row r="136" spans="1:62" ht="12.75" customHeight="1" x14ac:dyDescent="0.35">
      <c r="A136" s="108"/>
      <c r="B136" s="124" t="s">
        <v>15</v>
      </c>
      <c r="C136" s="5" t="s">
        <v>5</v>
      </c>
      <c r="D136" s="5" t="s">
        <v>308</v>
      </c>
      <c r="E136" s="5" t="s">
        <v>315</v>
      </c>
      <c r="F136" s="5">
        <v>1074226</v>
      </c>
      <c r="G136" s="139" t="s">
        <v>633</v>
      </c>
      <c r="H136" s="137">
        <v>2379.6065341801104</v>
      </c>
      <c r="I136" s="137">
        <v>475.9213068360221</v>
      </c>
      <c r="J136" s="123">
        <v>0</v>
      </c>
      <c r="K136" s="123">
        <v>0</v>
      </c>
      <c r="L136" s="128">
        <v>0</v>
      </c>
      <c r="M136" s="121">
        <v>0</v>
      </c>
      <c r="N136" s="128">
        <v>475.9213068360221</v>
      </c>
      <c r="O136" s="128">
        <v>0</v>
      </c>
      <c r="P136" s="121">
        <v>0.30962886568708547</v>
      </c>
      <c r="Q136" s="5">
        <v>2916</v>
      </c>
      <c r="R136" s="5">
        <v>0</v>
      </c>
      <c r="S136" s="5">
        <v>2916</v>
      </c>
      <c r="T136" s="5">
        <v>0</v>
      </c>
      <c r="U136" s="5">
        <v>0</v>
      </c>
      <c r="V136" s="5">
        <v>0</v>
      </c>
      <c r="W136" s="5">
        <v>0</v>
      </c>
      <c r="X136" s="123">
        <v>2379.6065341801104</v>
      </c>
      <c r="Y136" s="123">
        <v>36.762380142875635</v>
      </c>
      <c r="Z136" s="123">
        <v>-536.39346581988957</v>
      </c>
      <c r="AA136" s="112">
        <v>6186.98</v>
      </c>
      <c r="AB136" s="112">
        <v>7581.6</v>
      </c>
      <c r="AC136" s="8">
        <v>1.2254126714291877</v>
      </c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2"/>
      <c r="BJ136" s="191"/>
    </row>
    <row r="137" spans="1:62" ht="12.75" customHeight="1" x14ac:dyDescent="0.35">
      <c r="A137" s="108"/>
      <c r="B137" s="124" t="s">
        <v>27</v>
      </c>
      <c r="C137" s="5" t="s">
        <v>5</v>
      </c>
      <c r="D137" s="5" t="s">
        <v>312</v>
      </c>
      <c r="E137" s="5" t="s">
        <v>313</v>
      </c>
      <c r="F137" s="5">
        <v>1072810</v>
      </c>
      <c r="G137" s="7" t="s">
        <v>609</v>
      </c>
      <c r="H137" s="137">
        <v>8659.9257261587372</v>
      </c>
      <c r="I137" s="137">
        <v>11846.778393385153</v>
      </c>
      <c r="J137" s="123">
        <v>0</v>
      </c>
      <c r="K137" s="123">
        <v>0</v>
      </c>
      <c r="L137" s="128">
        <v>0</v>
      </c>
      <c r="M137" s="121">
        <v>0</v>
      </c>
      <c r="N137" s="128">
        <v>11846.778393385153</v>
      </c>
      <c r="O137" s="128">
        <v>0</v>
      </c>
      <c r="P137" s="121">
        <v>0.55141683538667785</v>
      </c>
      <c r="Q137" s="5">
        <v>10710</v>
      </c>
      <c r="R137" s="5">
        <v>0</v>
      </c>
      <c r="S137" s="5">
        <v>10710</v>
      </c>
      <c r="T137" s="5">
        <v>0</v>
      </c>
      <c r="U137" s="5">
        <v>0</v>
      </c>
      <c r="V137" s="5">
        <v>0</v>
      </c>
      <c r="W137" s="5">
        <v>0</v>
      </c>
      <c r="X137" s="123">
        <v>8659.9257261587372</v>
      </c>
      <c r="Y137" s="123">
        <v>37.101934838708864</v>
      </c>
      <c r="Z137" s="123">
        <v>-2050.0742738412628</v>
      </c>
      <c r="AA137" s="112">
        <v>103572.71</v>
      </c>
      <c r="AB137" s="112">
        <v>128091.6</v>
      </c>
      <c r="AC137" s="8">
        <v>1.2367311612902954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92" t="s">
        <v>1</v>
      </c>
      <c r="BJ137" s="191"/>
    </row>
    <row r="138" spans="1:62" ht="12.75" customHeight="1" x14ac:dyDescent="0.35">
      <c r="A138" s="108"/>
      <c r="B138" s="124" t="s">
        <v>9</v>
      </c>
      <c r="C138" s="5" t="s">
        <v>5</v>
      </c>
      <c r="D138" s="5" t="s">
        <v>308</v>
      </c>
      <c r="E138" s="5" t="s">
        <v>315</v>
      </c>
      <c r="F138" s="140">
        <v>1080403</v>
      </c>
      <c r="G138" s="141" t="s">
        <v>743</v>
      </c>
      <c r="H138" s="137">
        <v>505.8753713957696</v>
      </c>
      <c r="I138" s="137">
        <v>404.70029711661573</v>
      </c>
      <c r="J138" s="123">
        <v>0</v>
      </c>
      <c r="K138" s="123">
        <v>0</v>
      </c>
      <c r="L138" s="128">
        <v>0</v>
      </c>
      <c r="M138" s="121">
        <v>0</v>
      </c>
      <c r="N138" s="128">
        <v>404.70029711661573</v>
      </c>
      <c r="O138" s="128">
        <v>5.0232223101814908</v>
      </c>
      <c r="P138" s="121">
        <v>1.1727612993551892</v>
      </c>
      <c r="Q138" s="5">
        <v>637</v>
      </c>
      <c r="R138" s="5">
        <v>0</v>
      </c>
      <c r="S138" s="5">
        <v>637</v>
      </c>
      <c r="T138" s="5">
        <v>0</v>
      </c>
      <c r="U138" s="5">
        <v>0</v>
      </c>
      <c r="V138" s="5">
        <v>0</v>
      </c>
      <c r="W138" s="5">
        <v>0</v>
      </c>
      <c r="X138" s="123">
        <v>505.8753713957696</v>
      </c>
      <c r="Y138" s="123">
        <v>37.776102733116389</v>
      </c>
      <c r="Z138" s="123">
        <v>-131.1246286042304</v>
      </c>
      <c r="AA138" s="112">
        <v>10117.51</v>
      </c>
      <c r="AB138" s="112">
        <v>12740</v>
      </c>
      <c r="AC138" s="8">
        <v>1.259203424437213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0" t="s">
        <v>1</v>
      </c>
      <c r="BJ138" s="191"/>
    </row>
    <row r="139" spans="1:62" ht="12.75" customHeight="1" x14ac:dyDescent="0.35">
      <c r="A139" s="108"/>
      <c r="B139" s="124" t="s">
        <v>21</v>
      </c>
      <c r="C139" s="5" t="s">
        <v>5</v>
      </c>
      <c r="D139" s="5" t="s">
        <v>308</v>
      </c>
      <c r="E139" s="5" t="s">
        <v>395</v>
      </c>
      <c r="F139" s="5">
        <v>1069125</v>
      </c>
      <c r="G139" s="7" t="s">
        <v>557</v>
      </c>
      <c r="H139" s="137">
        <v>74.566382451788812</v>
      </c>
      <c r="I139" s="137">
        <v>59.653105961431052</v>
      </c>
      <c r="J139" s="123">
        <v>0</v>
      </c>
      <c r="K139" s="123">
        <v>0</v>
      </c>
      <c r="L139" s="128">
        <v>0</v>
      </c>
      <c r="M139" s="121">
        <v>0</v>
      </c>
      <c r="N139" s="128">
        <v>59.653105961431052</v>
      </c>
      <c r="O139" s="128">
        <v>0</v>
      </c>
      <c r="P139" s="121">
        <v>0.83836866621407158</v>
      </c>
      <c r="Q139" s="5">
        <v>94</v>
      </c>
      <c r="R139" s="5">
        <v>0</v>
      </c>
      <c r="S139" s="5">
        <v>94</v>
      </c>
      <c r="T139" s="5">
        <v>0</v>
      </c>
      <c r="U139" s="5">
        <v>3</v>
      </c>
      <c r="V139" s="5">
        <v>0</v>
      </c>
      <c r="W139" s="5">
        <v>50</v>
      </c>
      <c r="X139" s="123">
        <v>74.566382451788812</v>
      </c>
      <c r="Y139" s="123">
        <v>37.818651076754087</v>
      </c>
      <c r="Z139" s="123">
        <v>-19.433617548211188</v>
      </c>
      <c r="AA139" s="112">
        <v>2702.29</v>
      </c>
      <c r="AB139" s="112">
        <v>5327.28</v>
      </c>
      <c r="AC139" s="8">
        <v>1.2606217025584696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0"/>
      <c r="BJ139" s="191"/>
    </row>
    <row r="140" spans="1:62" ht="12.75" customHeight="1" x14ac:dyDescent="0.35">
      <c r="A140" s="108"/>
      <c r="B140" s="124" t="s">
        <v>27</v>
      </c>
      <c r="C140" s="5" t="s">
        <v>5</v>
      </c>
      <c r="D140" s="5" t="s">
        <v>312</v>
      </c>
      <c r="E140" s="5" t="s">
        <v>313</v>
      </c>
      <c r="F140" s="56">
        <v>1072352</v>
      </c>
      <c r="G140" s="65" t="s">
        <v>592</v>
      </c>
      <c r="H140" s="137">
        <v>56413.219889452259</v>
      </c>
      <c r="I140" s="137">
        <v>12862.214134795115</v>
      </c>
      <c r="J140" s="123">
        <v>0</v>
      </c>
      <c r="K140" s="123">
        <v>0</v>
      </c>
      <c r="L140" s="128">
        <v>0</v>
      </c>
      <c r="M140" s="121">
        <v>2.1271609781386854E-3</v>
      </c>
      <c r="N140" s="128">
        <v>12862.214134795115</v>
      </c>
      <c r="O140" s="128">
        <v>0</v>
      </c>
      <c r="P140" s="121">
        <v>0.82799712769609146</v>
      </c>
      <c r="Q140" s="5">
        <v>71911</v>
      </c>
      <c r="R140" s="5">
        <v>120</v>
      </c>
      <c r="S140" s="5">
        <v>71787</v>
      </c>
      <c r="T140" s="5">
        <v>0</v>
      </c>
      <c r="U140" s="5">
        <v>0</v>
      </c>
      <c r="V140" s="5">
        <v>0</v>
      </c>
      <c r="W140" s="5">
        <v>30</v>
      </c>
      <c r="X140" s="123">
        <v>56413.219889452259</v>
      </c>
      <c r="Y140" s="123">
        <v>38.175626284410448</v>
      </c>
      <c r="Z140" s="123">
        <v>-15497.780110547741</v>
      </c>
      <c r="AA140" s="112">
        <v>122416.69</v>
      </c>
      <c r="AB140" s="112">
        <v>155842.89000000001</v>
      </c>
      <c r="AC140" s="8">
        <v>1.2747189424910916</v>
      </c>
      <c r="AD140" s="66"/>
      <c r="AE140" s="66">
        <v>4.7401500938086309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0" t="s">
        <v>1</v>
      </c>
      <c r="BJ140" s="179" t="s">
        <v>864</v>
      </c>
    </row>
    <row r="141" spans="1:62" ht="12.75" customHeight="1" x14ac:dyDescent="0.35">
      <c r="A141" s="108"/>
      <c r="B141" s="124" t="s">
        <v>21</v>
      </c>
      <c r="C141" s="5" t="s">
        <v>5</v>
      </c>
      <c r="D141" s="5" t="s">
        <v>306</v>
      </c>
      <c r="E141" s="5" t="s">
        <v>307</v>
      </c>
      <c r="F141" s="5">
        <v>1059375</v>
      </c>
      <c r="G141" s="7" t="s">
        <v>349</v>
      </c>
      <c r="H141" s="137">
        <v>4229.919901991756</v>
      </c>
      <c r="I141" s="137">
        <v>3806.9279117925803</v>
      </c>
      <c r="J141" s="123">
        <v>0</v>
      </c>
      <c r="K141" s="123">
        <v>0</v>
      </c>
      <c r="L141" s="128">
        <v>0</v>
      </c>
      <c r="M141" s="121">
        <v>0</v>
      </c>
      <c r="N141" s="128">
        <v>3806.9279117925803</v>
      </c>
      <c r="O141" s="128">
        <v>0</v>
      </c>
      <c r="P141" s="121">
        <v>0.47052052608157152</v>
      </c>
      <c r="Q141" s="5">
        <v>5401</v>
      </c>
      <c r="R141" s="5">
        <v>0</v>
      </c>
      <c r="S141" s="5">
        <v>5401</v>
      </c>
      <c r="T141" s="5">
        <v>0</v>
      </c>
      <c r="U141" s="5">
        <v>0</v>
      </c>
      <c r="V141" s="5">
        <v>0</v>
      </c>
      <c r="W141" s="5">
        <v>0</v>
      </c>
      <c r="X141" s="123">
        <v>4229.919901991756</v>
      </c>
      <c r="Y141" s="123">
        <v>38.305689884034074</v>
      </c>
      <c r="Z141" s="123">
        <v>-1171.080098008244</v>
      </c>
      <c r="AA141" s="112">
        <v>101433.48</v>
      </c>
      <c r="AB141" s="112">
        <v>129515.98</v>
      </c>
      <c r="AC141" s="8">
        <v>1.2768563294678024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2" t="s">
        <v>1</v>
      </c>
      <c r="BJ141" s="191"/>
    </row>
    <row r="142" spans="1:62" ht="12.75" customHeight="1" x14ac:dyDescent="0.35">
      <c r="A142" s="108"/>
      <c r="B142" s="124" t="s">
        <v>15</v>
      </c>
      <c r="C142" s="5" t="s">
        <v>5</v>
      </c>
      <c r="D142" s="5" t="s">
        <v>308</v>
      </c>
      <c r="E142" s="5" t="s">
        <v>315</v>
      </c>
      <c r="F142" s="56">
        <v>1074227</v>
      </c>
      <c r="G142" s="65" t="s">
        <v>701</v>
      </c>
      <c r="H142" s="137">
        <v>1600</v>
      </c>
      <c r="I142" s="137">
        <v>512</v>
      </c>
      <c r="J142" s="123">
        <v>0</v>
      </c>
      <c r="K142" s="123">
        <v>0</v>
      </c>
      <c r="L142" s="128">
        <v>0</v>
      </c>
      <c r="M142" s="121">
        <v>0</v>
      </c>
      <c r="N142" s="128">
        <v>512</v>
      </c>
      <c r="O142" s="128">
        <v>0</v>
      </c>
      <c r="P142" s="121">
        <v>0.51296828525810223</v>
      </c>
      <c r="Q142" s="5">
        <v>2048</v>
      </c>
      <c r="R142" s="5">
        <v>0</v>
      </c>
      <c r="S142" s="5">
        <v>2048</v>
      </c>
      <c r="T142" s="5">
        <v>0</v>
      </c>
      <c r="U142" s="5">
        <v>0</v>
      </c>
      <c r="V142" s="5">
        <v>0</v>
      </c>
      <c r="W142" s="5">
        <v>0</v>
      </c>
      <c r="X142" s="123">
        <v>1600</v>
      </c>
      <c r="Y142" s="123">
        <v>38.4</v>
      </c>
      <c r="Z142" s="123">
        <v>-448</v>
      </c>
      <c r="AA142" s="112">
        <v>8928</v>
      </c>
      <c r="AB142" s="112">
        <v>11427.84</v>
      </c>
      <c r="AC142" s="8">
        <v>1.28</v>
      </c>
      <c r="AD142" s="66"/>
      <c r="AE142" s="66">
        <v>159.2206572769953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0" t="s">
        <v>1</v>
      </c>
      <c r="BJ142" s="191"/>
    </row>
    <row r="143" spans="1:62" ht="12.75" customHeight="1" x14ac:dyDescent="0.35">
      <c r="A143" s="108"/>
      <c r="B143" s="124" t="s">
        <v>31</v>
      </c>
      <c r="C143" s="5" t="s">
        <v>5</v>
      </c>
      <c r="D143" s="5" t="s">
        <v>306</v>
      </c>
      <c r="E143" s="5" t="s">
        <v>307</v>
      </c>
      <c r="F143" s="5">
        <v>1071764</v>
      </c>
      <c r="G143" s="7" t="s">
        <v>604</v>
      </c>
      <c r="H143" s="137">
        <v>8040.3999233157592</v>
      </c>
      <c r="I143" s="137">
        <v>2894.5439723936734</v>
      </c>
      <c r="J143" s="123">
        <v>0</v>
      </c>
      <c r="K143" s="123">
        <v>0</v>
      </c>
      <c r="L143" s="128">
        <v>0</v>
      </c>
      <c r="M143" s="121">
        <v>0</v>
      </c>
      <c r="N143" s="128">
        <v>2894.5439723936734</v>
      </c>
      <c r="O143" s="128">
        <v>0</v>
      </c>
      <c r="P143" s="121">
        <v>0.77437314061444307</v>
      </c>
      <c r="Q143" s="5">
        <v>10594</v>
      </c>
      <c r="R143" s="5">
        <v>0</v>
      </c>
      <c r="S143" s="5">
        <v>10594</v>
      </c>
      <c r="T143" s="5">
        <v>0</v>
      </c>
      <c r="U143" s="5">
        <v>0</v>
      </c>
      <c r="V143" s="5">
        <v>0</v>
      </c>
      <c r="W143" s="5">
        <v>0</v>
      </c>
      <c r="X143" s="123">
        <v>8040.3999233157592</v>
      </c>
      <c r="Y143" s="123">
        <v>39.527884561858343</v>
      </c>
      <c r="Z143" s="123">
        <v>-2553.6000766842408</v>
      </c>
      <c r="AA143" s="112">
        <v>56282.8</v>
      </c>
      <c r="AB143" s="112">
        <v>74158</v>
      </c>
      <c r="AC143" s="8">
        <v>1.3175961520619448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0"/>
      <c r="BJ143" s="191"/>
    </row>
    <row r="144" spans="1:62" ht="12.75" customHeight="1" x14ac:dyDescent="0.35">
      <c r="A144" s="108"/>
      <c r="B144" s="124" t="s">
        <v>1</v>
      </c>
      <c r="C144" s="5" t="s">
        <v>2</v>
      </c>
      <c r="D144" s="5" t="s">
        <v>310</v>
      </c>
      <c r="E144" s="5" t="s">
        <v>311</v>
      </c>
      <c r="F144" s="135">
        <v>1068296</v>
      </c>
      <c r="G144" s="136" t="s">
        <v>571</v>
      </c>
      <c r="H144" s="137">
        <v>6872.1658716931743</v>
      </c>
      <c r="I144" s="137">
        <v>1236.9898569047714</v>
      </c>
      <c r="J144" s="123">
        <v>0</v>
      </c>
      <c r="K144" s="123">
        <v>0</v>
      </c>
      <c r="L144" s="128">
        <v>0</v>
      </c>
      <c r="M144" s="121">
        <v>0</v>
      </c>
      <c r="N144" s="128">
        <v>1236.9898569047714</v>
      </c>
      <c r="O144" s="128">
        <v>0</v>
      </c>
      <c r="P144" s="121">
        <v>0.96798909841019543</v>
      </c>
      <c r="Q144" s="5">
        <v>9107</v>
      </c>
      <c r="R144" s="5">
        <v>0</v>
      </c>
      <c r="S144" s="5">
        <v>9107</v>
      </c>
      <c r="T144" s="5">
        <v>0</v>
      </c>
      <c r="U144" s="5">
        <v>0</v>
      </c>
      <c r="V144" s="5">
        <v>0</v>
      </c>
      <c r="W144" s="5">
        <v>0</v>
      </c>
      <c r="X144" s="123">
        <v>6872.1658716931743</v>
      </c>
      <c r="Y144" s="123">
        <v>39.756025262045384</v>
      </c>
      <c r="Z144" s="123">
        <v>-2234.8341283068257</v>
      </c>
      <c r="AA144" s="112">
        <v>14912.6</v>
      </c>
      <c r="AB144" s="112">
        <v>19762.189999999999</v>
      </c>
      <c r="AC144" s="8">
        <v>1.3252008420681796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2"/>
      <c r="BJ144" s="191"/>
    </row>
    <row r="145" spans="1:62" ht="12.75" customHeight="1" x14ac:dyDescent="0.35">
      <c r="A145" s="108"/>
      <c r="B145" s="124" t="s">
        <v>1</v>
      </c>
      <c r="C145" s="5" t="s">
        <v>2</v>
      </c>
      <c r="D145" s="5" t="s">
        <v>306</v>
      </c>
      <c r="E145" s="5" t="s">
        <v>401</v>
      </c>
      <c r="F145" s="56">
        <v>1064893</v>
      </c>
      <c r="G145" s="65" t="s">
        <v>535</v>
      </c>
      <c r="H145" s="137">
        <v>624</v>
      </c>
      <c r="I145" s="137">
        <v>1123.2</v>
      </c>
      <c r="J145" s="123">
        <v>0</v>
      </c>
      <c r="K145" s="123">
        <v>0</v>
      </c>
      <c r="L145" s="128">
        <v>0</v>
      </c>
      <c r="M145" s="121">
        <v>0</v>
      </c>
      <c r="N145" s="128">
        <v>1123.2</v>
      </c>
      <c r="O145" s="128">
        <v>20.705866228164037</v>
      </c>
      <c r="P145" s="121">
        <v>1.798567879353802</v>
      </c>
      <c r="Q145" s="5">
        <v>836</v>
      </c>
      <c r="R145" s="5">
        <v>0</v>
      </c>
      <c r="S145" s="5">
        <v>836</v>
      </c>
      <c r="T145" s="5">
        <v>0</v>
      </c>
      <c r="U145" s="5">
        <v>0</v>
      </c>
      <c r="V145" s="5">
        <v>0</v>
      </c>
      <c r="W145" s="5">
        <v>0</v>
      </c>
      <c r="X145" s="123">
        <v>624</v>
      </c>
      <c r="Y145" s="123">
        <v>40.192307692307686</v>
      </c>
      <c r="Z145" s="123">
        <v>-212</v>
      </c>
      <c r="AA145" s="112">
        <v>1878.24</v>
      </c>
      <c r="AB145" s="112">
        <v>2516.36</v>
      </c>
      <c r="AC145" s="8">
        <v>1.3397435897435899</v>
      </c>
      <c r="AD145" s="66"/>
      <c r="AE145" s="66" t="s">
        <v>574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0" t="s">
        <v>1</v>
      </c>
      <c r="BJ145" s="191"/>
    </row>
    <row r="146" spans="1:62" ht="12.75" customHeight="1" x14ac:dyDescent="0.35">
      <c r="A146" s="108"/>
      <c r="B146" s="124" t="s">
        <v>21</v>
      </c>
      <c r="C146" s="5" t="s">
        <v>5</v>
      </c>
      <c r="D146" s="5" t="s">
        <v>308</v>
      </c>
      <c r="E146" s="5" t="s">
        <v>395</v>
      </c>
      <c r="F146" s="5">
        <v>1069726</v>
      </c>
      <c r="G146" s="7" t="s">
        <v>569</v>
      </c>
      <c r="H146" s="137">
        <v>2496.5088990797622</v>
      </c>
      <c r="I146" s="137">
        <v>1248.2544495398811</v>
      </c>
      <c r="J146" s="123">
        <v>0</v>
      </c>
      <c r="K146" s="123">
        <v>0</v>
      </c>
      <c r="L146" s="128">
        <v>0</v>
      </c>
      <c r="M146" s="121">
        <v>0</v>
      </c>
      <c r="N146" s="128">
        <v>1248.2544495398811</v>
      </c>
      <c r="O146" s="128">
        <v>0</v>
      </c>
      <c r="P146" s="121">
        <v>0.86280374937597948</v>
      </c>
      <c r="Q146" s="5">
        <v>3420</v>
      </c>
      <c r="R146" s="5">
        <v>0</v>
      </c>
      <c r="S146" s="5">
        <v>3420</v>
      </c>
      <c r="T146" s="5">
        <v>0</v>
      </c>
      <c r="U146" s="5">
        <v>0</v>
      </c>
      <c r="V146" s="5">
        <v>0</v>
      </c>
      <c r="W146" s="5">
        <v>0</v>
      </c>
      <c r="X146" s="123">
        <v>2496.5088990797622</v>
      </c>
      <c r="Y146" s="123">
        <v>41.097390054495449</v>
      </c>
      <c r="Z146" s="123">
        <v>-923.49110092023784</v>
      </c>
      <c r="AA146" s="112">
        <v>44687.51</v>
      </c>
      <c r="AB146" s="112">
        <v>61218</v>
      </c>
      <c r="AC146" s="8">
        <v>1.3699130018165149</v>
      </c>
      <c r="AD146" s="66"/>
      <c r="AE146" s="66">
        <v>4.154447115384615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0" t="s">
        <v>1</v>
      </c>
      <c r="BJ146" s="191"/>
    </row>
    <row r="147" spans="1:62" ht="12.75" customHeight="1" x14ac:dyDescent="0.35">
      <c r="A147" s="108"/>
      <c r="B147" s="124" t="s">
        <v>1</v>
      </c>
      <c r="C147" s="5" t="s">
        <v>50</v>
      </c>
      <c r="D147" s="5" t="s">
        <v>320</v>
      </c>
      <c r="E147" s="5" t="s">
        <v>402</v>
      </c>
      <c r="F147" s="5">
        <v>1060792</v>
      </c>
      <c r="G147" s="7" t="s">
        <v>429</v>
      </c>
      <c r="H147" s="137">
        <v>9095.7999620965729</v>
      </c>
      <c r="I147" s="137">
        <v>1637.2439931773831</v>
      </c>
      <c r="J147" s="123">
        <v>0</v>
      </c>
      <c r="K147" s="123">
        <v>0</v>
      </c>
      <c r="L147" s="128">
        <v>0</v>
      </c>
      <c r="M147" s="121">
        <v>0</v>
      </c>
      <c r="N147" s="128">
        <v>1637.2439931773831</v>
      </c>
      <c r="O147" s="128">
        <v>0</v>
      </c>
      <c r="P147" s="121">
        <v>0.7705597683553882</v>
      </c>
      <c r="Q147" s="5">
        <v>12584</v>
      </c>
      <c r="R147" s="5">
        <v>0</v>
      </c>
      <c r="S147" s="5">
        <v>12584</v>
      </c>
      <c r="T147" s="5">
        <v>0</v>
      </c>
      <c r="U147" s="5">
        <v>0</v>
      </c>
      <c r="V147" s="5">
        <v>0</v>
      </c>
      <c r="W147" s="5">
        <v>0</v>
      </c>
      <c r="X147" s="123">
        <v>9095.7999620965729</v>
      </c>
      <c r="Y147" s="123">
        <v>41.504870552692104</v>
      </c>
      <c r="Z147" s="123">
        <v>-3488.2000379034271</v>
      </c>
      <c r="AA147" s="112">
        <v>63488.68</v>
      </c>
      <c r="AB147" s="112">
        <v>87836.32</v>
      </c>
      <c r="AC147" s="8">
        <v>1.3834956850897369</v>
      </c>
      <c r="AD147" s="66"/>
      <c r="AE147" s="66">
        <v>8.3670715249662617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90" t="s">
        <v>1</v>
      </c>
      <c r="BJ147" s="191"/>
    </row>
    <row r="148" spans="1:62" ht="12.75" customHeight="1" x14ac:dyDescent="0.35">
      <c r="A148" s="108"/>
      <c r="B148" s="124" t="s">
        <v>15</v>
      </c>
      <c r="C148" s="5" t="s">
        <v>5</v>
      </c>
      <c r="D148" s="5" t="s">
        <v>308</v>
      </c>
      <c r="E148" s="5" t="s">
        <v>315</v>
      </c>
      <c r="F148" s="56">
        <v>1078183</v>
      </c>
      <c r="G148" s="65" t="s">
        <v>694</v>
      </c>
      <c r="H148" s="137">
        <v>1494.1530139161996</v>
      </c>
      <c r="I148" s="137">
        <v>419.85699691045215</v>
      </c>
      <c r="J148" s="123">
        <v>0</v>
      </c>
      <c r="K148" s="123">
        <v>0</v>
      </c>
      <c r="L148" s="128">
        <v>0</v>
      </c>
      <c r="M148" s="121">
        <v>0</v>
      </c>
      <c r="N148" s="128">
        <v>419.85699691045215</v>
      </c>
      <c r="O148" s="128">
        <v>0</v>
      </c>
      <c r="P148" s="121">
        <v>-4.949848133414371E-2</v>
      </c>
      <c r="Q148" s="5">
        <v>2114</v>
      </c>
      <c r="R148" s="5">
        <v>0</v>
      </c>
      <c r="S148" s="5">
        <v>2114</v>
      </c>
      <c r="T148" s="5">
        <v>0</v>
      </c>
      <c r="U148" s="5">
        <v>28</v>
      </c>
      <c r="V148" s="5">
        <v>0</v>
      </c>
      <c r="W148" s="5">
        <v>0</v>
      </c>
      <c r="X148" s="123">
        <v>1494.1530139161996</v>
      </c>
      <c r="Y148" s="123">
        <v>42.445451978024082</v>
      </c>
      <c r="Z148" s="123">
        <v>-619.8469860838004</v>
      </c>
      <c r="AA148" s="112">
        <v>7067.34</v>
      </c>
      <c r="AB148" s="112">
        <v>10131.66</v>
      </c>
      <c r="AC148" s="8">
        <v>1.4148483992674694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0"/>
      <c r="BJ148" s="191" t="s">
        <v>847</v>
      </c>
    </row>
    <row r="149" spans="1:62" ht="12.75" customHeight="1" x14ac:dyDescent="0.35">
      <c r="A149" s="108"/>
      <c r="B149" s="124" t="s">
        <v>15</v>
      </c>
      <c r="C149" s="5" t="s">
        <v>5</v>
      </c>
      <c r="D149" s="5" t="s">
        <v>308</v>
      </c>
      <c r="E149" s="5" t="s">
        <v>315</v>
      </c>
      <c r="F149" s="5">
        <v>1071558</v>
      </c>
      <c r="G149" s="7" t="s">
        <v>589</v>
      </c>
      <c r="H149" s="137">
        <v>3922.6942234465287</v>
      </c>
      <c r="I149" s="137">
        <v>1019.9004980960975</v>
      </c>
      <c r="J149" s="123">
        <v>0</v>
      </c>
      <c r="K149" s="123">
        <v>0</v>
      </c>
      <c r="L149" s="128">
        <v>0</v>
      </c>
      <c r="M149" s="121">
        <v>0</v>
      </c>
      <c r="N149" s="128">
        <v>1019.9004980960975</v>
      </c>
      <c r="O149" s="128">
        <v>0.47980399546643349</v>
      </c>
      <c r="P149" s="121">
        <v>1.0154553883579671</v>
      </c>
      <c r="Q149" s="5">
        <v>5684</v>
      </c>
      <c r="R149" s="5">
        <v>0</v>
      </c>
      <c r="S149" s="5">
        <v>5684</v>
      </c>
      <c r="T149" s="5">
        <v>0</v>
      </c>
      <c r="U149" s="5">
        <v>0</v>
      </c>
      <c r="V149" s="5">
        <v>0</v>
      </c>
      <c r="W149" s="5">
        <v>0</v>
      </c>
      <c r="X149" s="123">
        <v>3922.6942234465287</v>
      </c>
      <c r="Y149" s="123">
        <v>43.470122901952571</v>
      </c>
      <c r="Z149" s="123">
        <v>-1761.3057765534713</v>
      </c>
      <c r="AA149" s="112">
        <v>7060.85</v>
      </c>
      <c r="AB149" s="112">
        <v>10231.200000000001</v>
      </c>
      <c r="AC149" s="8">
        <v>1.4490040967317523</v>
      </c>
      <c r="AD149" s="66"/>
      <c r="AE149" s="66">
        <v>87.428449744463364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0" t="s">
        <v>1</v>
      </c>
      <c r="BJ149" s="191" t="s">
        <v>848</v>
      </c>
    </row>
    <row r="150" spans="1:62" ht="12.75" customHeight="1" x14ac:dyDescent="0.35">
      <c r="A150" s="108"/>
      <c r="B150" s="124" t="s">
        <v>1</v>
      </c>
      <c r="C150" s="5" t="s">
        <v>50</v>
      </c>
      <c r="D150" s="5" t="s">
        <v>310</v>
      </c>
      <c r="E150" s="5" t="s">
        <v>403</v>
      </c>
      <c r="F150" s="5">
        <v>1076301</v>
      </c>
      <c r="G150" s="7" t="s">
        <v>691</v>
      </c>
      <c r="H150" s="137">
        <v>23627.060171612986</v>
      </c>
      <c r="I150" s="137">
        <v>3071.5178223096882</v>
      </c>
      <c r="J150" s="123">
        <v>0</v>
      </c>
      <c r="K150" s="123">
        <v>0</v>
      </c>
      <c r="L150" s="128">
        <v>0</v>
      </c>
      <c r="M150" s="121">
        <v>8.4648703032589887E-5</v>
      </c>
      <c r="N150" s="128">
        <v>3071.5178223096882</v>
      </c>
      <c r="O150" s="128">
        <v>0</v>
      </c>
      <c r="P150" s="121">
        <v>0.58470340324233094</v>
      </c>
      <c r="Q150" s="5">
        <v>34634</v>
      </c>
      <c r="R150" s="5">
        <v>2</v>
      </c>
      <c r="S150" s="5">
        <v>34632</v>
      </c>
      <c r="T150" s="5">
        <v>0</v>
      </c>
      <c r="U150" s="5">
        <v>0</v>
      </c>
      <c r="V150" s="5">
        <v>0</v>
      </c>
      <c r="W150" s="5">
        <v>0</v>
      </c>
      <c r="X150" s="123">
        <v>23627.060171612986</v>
      </c>
      <c r="Y150" s="123">
        <v>43.973308251369794</v>
      </c>
      <c r="Z150" s="123">
        <v>-11006.939828387014</v>
      </c>
      <c r="AA150" s="112">
        <v>107503.12</v>
      </c>
      <c r="AB150" s="112">
        <v>157575.6</v>
      </c>
      <c r="AC150" s="8">
        <v>1.4658615904153591</v>
      </c>
      <c r="AD150" s="66"/>
      <c r="AE150" s="66">
        <v>112.11666666666667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0" t="s">
        <v>1</v>
      </c>
      <c r="BJ150" s="191"/>
    </row>
    <row r="151" spans="1:62" ht="12.75" customHeight="1" x14ac:dyDescent="0.35">
      <c r="A151" s="108"/>
      <c r="B151" s="124" t="s">
        <v>31</v>
      </c>
      <c r="C151" s="5" t="s">
        <v>5</v>
      </c>
      <c r="D151" s="5" t="s">
        <v>306</v>
      </c>
      <c r="E151" s="5" t="s">
        <v>307</v>
      </c>
      <c r="F151" s="56">
        <v>1075354</v>
      </c>
      <c r="G151" s="65" t="s">
        <v>670</v>
      </c>
      <c r="H151" s="137">
        <v>10152.941333931823</v>
      </c>
      <c r="I151" s="137">
        <v>913.76472005386404</v>
      </c>
      <c r="J151" s="123">
        <v>0</v>
      </c>
      <c r="K151" s="123">
        <v>0</v>
      </c>
      <c r="L151" s="128">
        <v>0</v>
      </c>
      <c r="M151" s="121">
        <v>0</v>
      </c>
      <c r="N151" s="128">
        <v>913.76472005386404</v>
      </c>
      <c r="O151" s="128">
        <v>0</v>
      </c>
      <c r="P151" s="121">
        <v>0.9316089687066984</v>
      </c>
      <c r="Q151" s="5">
        <v>15156</v>
      </c>
      <c r="R151" s="5">
        <v>0</v>
      </c>
      <c r="S151" s="5">
        <v>15156</v>
      </c>
      <c r="T151" s="5">
        <v>0</v>
      </c>
      <c r="U151" s="5">
        <v>0</v>
      </c>
      <c r="V151" s="5">
        <v>0</v>
      </c>
      <c r="W151" s="5">
        <v>0</v>
      </c>
      <c r="X151" s="123">
        <v>10152.941333931823</v>
      </c>
      <c r="Y151" s="123">
        <v>44.783081576609561</v>
      </c>
      <c r="Z151" s="123">
        <v>-5003.0586660681765</v>
      </c>
      <c r="AA151" s="112">
        <v>18072.240000000002</v>
      </c>
      <c r="AB151" s="112">
        <v>26977.68</v>
      </c>
      <c r="AC151" s="8">
        <v>1.4927693858869855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0" t="s">
        <v>1</v>
      </c>
      <c r="BJ151" s="191"/>
    </row>
    <row r="152" spans="1:62" ht="12.75" customHeight="1" x14ac:dyDescent="0.35">
      <c r="A152" s="108"/>
      <c r="B152" s="124" t="s">
        <v>1</v>
      </c>
      <c r="C152" s="5" t="s">
        <v>24</v>
      </c>
      <c r="D152" s="5" t="s">
        <v>316</v>
      </c>
      <c r="E152" s="5" t="s">
        <v>317</v>
      </c>
      <c r="F152" s="5">
        <v>1072239</v>
      </c>
      <c r="G152" s="7" t="s">
        <v>767</v>
      </c>
      <c r="H152" s="137">
        <v>4598.6038120574012</v>
      </c>
      <c r="I152" s="137">
        <v>1747.4694485818125</v>
      </c>
      <c r="J152" s="123">
        <v>0</v>
      </c>
      <c r="K152" s="123">
        <v>0</v>
      </c>
      <c r="L152" s="128">
        <v>0</v>
      </c>
      <c r="M152" s="121">
        <v>0</v>
      </c>
      <c r="N152" s="128">
        <v>1747.4694485818125</v>
      </c>
      <c r="O152" s="128">
        <v>11.167260117736417</v>
      </c>
      <c r="P152" s="121">
        <v>1.4315946478082544</v>
      </c>
      <c r="Q152" s="5">
        <v>6872</v>
      </c>
      <c r="R152" s="5">
        <v>0</v>
      </c>
      <c r="S152" s="5">
        <v>6872</v>
      </c>
      <c r="T152" s="5">
        <v>0</v>
      </c>
      <c r="U152" s="5">
        <v>0</v>
      </c>
      <c r="V152" s="5">
        <v>0</v>
      </c>
      <c r="W152" s="5">
        <v>0</v>
      </c>
      <c r="X152" s="123">
        <v>4598.6038120574012</v>
      </c>
      <c r="Y152" s="123">
        <v>44.830998369430013</v>
      </c>
      <c r="Z152" s="123">
        <v>-2273.3961879425988</v>
      </c>
      <c r="AA152" s="112">
        <v>39823.910000000003</v>
      </c>
      <c r="AB152" s="112">
        <v>59511.519999999997</v>
      </c>
      <c r="AC152" s="8">
        <v>1.4943666123143338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0" t="s">
        <v>1</v>
      </c>
      <c r="BJ152" s="191" t="s">
        <v>808</v>
      </c>
    </row>
    <row r="153" spans="1:62" ht="12.75" customHeight="1" x14ac:dyDescent="0.35">
      <c r="A153" s="108"/>
      <c r="B153" s="124" t="s">
        <v>21</v>
      </c>
      <c r="C153" s="5" t="s">
        <v>5</v>
      </c>
      <c r="D153" s="5" t="s">
        <v>308</v>
      </c>
      <c r="E153" s="5" t="s">
        <v>395</v>
      </c>
      <c r="F153" s="5">
        <v>1069121</v>
      </c>
      <c r="G153" s="7" t="s">
        <v>558</v>
      </c>
      <c r="H153" s="137">
        <v>195.23968708906878</v>
      </c>
      <c r="I153" s="137">
        <v>156.19174967125502</v>
      </c>
      <c r="J153" s="123">
        <v>0</v>
      </c>
      <c r="K153" s="123">
        <v>0</v>
      </c>
      <c r="L153" s="128">
        <v>0</v>
      </c>
      <c r="M153" s="121">
        <v>0</v>
      </c>
      <c r="N153" s="128">
        <v>156.19174967125502</v>
      </c>
      <c r="O153" s="128">
        <v>2.7290014405978238</v>
      </c>
      <c r="P153" s="121">
        <v>1.0938508892300802</v>
      </c>
      <c r="Q153" s="5">
        <v>298</v>
      </c>
      <c r="R153" s="5">
        <v>0</v>
      </c>
      <c r="S153" s="5">
        <v>298</v>
      </c>
      <c r="T153" s="5">
        <v>0</v>
      </c>
      <c r="U153" s="5">
        <v>0</v>
      </c>
      <c r="V153" s="5">
        <v>0</v>
      </c>
      <c r="W153" s="5">
        <v>0</v>
      </c>
      <c r="X153" s="123">
        <v>195.23968708906878</v>
      </c>
      <c r="Y153" s="123">
        <v>45.789870560085213</v>
      </c>
      <c r="Z153" s="123">
        <v>-102.76031291093122</v>
      </c>
      <c r="AA153" s="112">
        <v>7760.78</v>
      </c>
      <c r="AB153" s="112">
        <v>11845.5</v>
      </c>
      <c r="AC153" s="8">
        <v>1.5263290186695073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0" t="s">
        <v>1</v>
      </c>
      <c r="BJ153" s="191"/>
    </row>
    <row r="154" spans="1:62" ht="12.75" customHeight="1" x14ac:dyDescent="0.35">
      <c r="A154" s="108"/>
      <c r="B154" s="124" t="s">
        <v>1</v>
      </c>
      <c r="C154" s="5" t="s">
        <v>50</v>
      </c>
      <c r="D154" s="5" t="s">
        <v>310</v>
      </c>
      <c r="E154" s="5" t="s">
        <v>403</v>
      </c>
      <c r="F154" s="5">
        <v>1076302</v>
      </c>
      <c r="G154" s="7" t="s">
        <v>692</v>
      </c>
      <c r="H154" s="137">
        <v>19011.116215365702</v>
      </c>
      <c r="I154" s="137">
        <v>703.4112999685309</v>
      </c>
      <c r="J154" s="123">
        <v>0</v>
      </c>
      <c r="K154" s="123">
        <v>0</v>
      </c>
      <c r="L154" s="128">
        <v>0</v>
      </c>
      <c r="M154" s="121">
        <v>0</v>
      </c>
      <c r="N154" s="128">
        <v>703.4112999685309</v>
      </c>
      <c r="O154" s="128">
        <v>0</v>
      </c>
      <c r="P154" s="121">
        <v>0.72671140265364509</v>
      </c>
      <c r="Q154" s="5">
        <v>29538</v>
      </c>
      <c r="R154" s="5">
        <v>0</v>
      </c>
      <c r="S154" s="5">
        <v>29538</v>
      </c>
      <c r="T154" s="5">
        <v>0</v>
      </c>
      <c r="U154" s="5">
        <v>0</v>
      </c>
      <c r="V154" s="5">
        <v>0</v>
      </c>
      <c r="W154" s="5">
        <v>0</v>
      </c>
      <c r="X154" s="123">
        <v>19011.116215365702</v>
      </c>
      <c r="Y154" s="123">
        <v>46.611676556044557</v>
      </c>
      <c r="Z154" s="123">
        <v>-10526.883784634298</v>
      </c>
      <c r="AA154" s="112">
        <v>42965.120000000003</v>
      </c>
      <c r="AB154" s="112">
        <v>66755.88</v>
      </c>
      <c r="AC154" s="8">
        <v>1.5537225518681519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0" t="s">
        <v>1</v>
      </c>
      <c r="BJ154" s="191"/>
    </row>
    <row r="155" spans="1:62" ht="12.75" customHeight="1" x14ac:dyDescent="0.35">
      <c r="A155" s="108"/>
      <c r="B155" s="124" t="s">
        <v>27</v>
      </c>
      <c r="C155" s="5" t="s">
        <v>5</v>
      </c>
      <c r="D155" s="5" t="s">
        <v>312</v>
      </c>
      <c r="E155" s="5" t="s">
        <v>313</v>
      </c>
      <c r="F155" s="5">
        <v>1052769</v>
      </c>
      <c r="G155" s="7" t="s">
        <v>192</v>
      </c>
      <c r="H155" s="137">
        <v>30531.967880855816</v>
      </c>
      <c r="I155" s="137">
        <v>8426.8231351162067</v>
      </c>
      <c r="J155" s="123">
        <v>0</v>
      </c>
      <c r="K155" s="123">
        <v>0</v>
      </c>
      <c r="L155" s="128">
        <v>0</v>
      </c>
      <c r="M155" s="121">
        <v>0</v>
      </c>
      <c r="N155" s="128">
        <v>8426.8231351162067</v>
      </c>
      <c r="O155" s="128">
        <v>0</v>
      </c>
      <c r="P155" s="121">
        <v>0.73693241147045285</v>
      </c>
      <c r="Q155" s="5">
        <v>47920</v>
      </c>
      <c r="R155" s="5">
        <v>0</v>
      </c>
      <c r="S155" s="5">
        <v>47920</v>
      </c>
      <c r="T155" s="5">
        <v>0</v>
      </c>
      <c r="U155" s="5">
        <v>0</v>
      </c>
      <c r="V155" s="5">
        <v>0</v>
      </c>
      <c r="W155" s="5">
        <v>700</v>
      </c>
      <c r="X155" s="123">
        <v>30531.967880855816</v>
      </c>
      <c r="Y155" s="123">
        <v>47.085075079664463</v>
      </c>
      <c r="Z155" s="123">
        <v>-17388.032119144184</v>
      </c>
      <c r="AA155" s="112">
        <v>123959.79</v>
      </c>
      <c r="AB155" s="112">
        <v>197397.2</v>
      </c>
      <c r="AC155" s="8">
        <v>1.5695025026554821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0" t="s">
        <v>1</v>
      </c>
      <c r="BJ155" s="191"/>
    </row>
    <row r="156" spans="1:62" ht="12.75" customHeight="1" x14ac:dyDescent="0.35">
      <c r="A156" s="108"/>
      <c r="B156" s="124" t="s">
        <v>1</v>
      </c>
      <c r="C156" s="5" t="s">
        <v>2</v>
      </c>
      <c r="D156" s="5" t="s">
        <v>306</v>
      </c>
      <c r="E156" s="5" t="s">
        <v>401</v>
      </c>
      <c r="F156" s="5">
        <v>1075852</v>
      </c>
      <c r="G156" s="7" t="s">
        <v>687</v>
      </c>
      <c r="H156" s="137">
        <v>9071.5908246949839</v>
      </c>
      <c r="I156" s="137">
        <v>816.44317422254846</v>
      </c>
      <c r="J156" s="123">
        <v>0</v>
      </c>
      <c r="K156" s="123">
        <v>0</v>
      </c>
      <c r="L156" s="128">
        <v>0</v>
      </c>
      <c r="M156" s="121">
        <v>0</v>
      </c>
      <c r="N156" s="128">
        <v>816.44317422254846</v>
      </c>
      <c r="O156" s="128">
        <v>5.8668314914756134</v>
      </c>
      <c r="P156" s="121">
        <v>1.1751291757110962</v>
      </c>
      <c r="Q156" s="5">
        <v>14465</v>
      </c>
      <c r="R156" s="5">
        <v>0</v>
      </c>
      <c r="S156" s="5">
        <v>14465</v>
      </c>
      <c r="T156" s="5">
        <v>0</v>
      </c>
      <c r="U156" s="5">
        <v>0</v>
      </c>
      <c r="V156" s="5">
        <v>0</v>
      </c>
      <c r="W156" s="5">
        <v>480</v>
      </c>
      <c r="X156" s="123">
        <v>9071.5908246949839</v>
      </c>
      <c r="Y156" s="123">
        <v>47.836152267658171</v>
      </c>
      <c r="Z156" s="123">
        <v>-5393.4091753050161</v>
      </c>
      <c r="AA156" s="112">
        <v>3537.92</v>
      </c>
      <c r="AB156" s="112">
        <v>5828.55</v>
      </c>
      <c r="AC156" s="8">
        <v>1.594538408921939</v>
      </c>
      <c r="AD156" s="66"/>
      <c r="AE156" s="66">
        <v>22.123413866612527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0" t="s">
        <v>1</v>
      </c>
      <c r="BJ156" s="191"/>
    </row>
    <row r="157" spans="1:62" x14ac:dyDescent="0.35">
      <c r="A157" s="108"/>
      <c r="B157" s="124" t="s">
        <v>1</v>
      </c>
      <c r="C157" s="5" t="s">
        <v>5</v>
      </c>
      <c r="D157" s="5" t="s">
        <v>396</v>
      </c>
      <c r="E157" s="5" t="s">
        <v>307</v>
      </c>
      <c r="F157" s="5">
        <v>1067889</v>
      </c>
      <c r="G157" s="7" t="s">
        <v>542</v>
      </c>
      <c r="H157" s="137">
        <v>1379.0073321418106</v>
      </c>
      <c r="I157" s="137">
        <v>524.02278621388803</v>
      </c>
      <c r="J157" s="123">
        <v>0</v>
      </c>
      <c r="K157" s="123">
        <v>0</v>
      </c>
      <c r="L157" s="128">
        <v>0</v>
      </c>
      <c r="M157" s="121">
        <v>0</v>
      </c>
      <c r="N157" s="128">
        <v>524.02278621388803</v>
      </c>
      <c r="O157" s="128">
        <v>3.4757589602263295</v>
      </c>
      <c r="P157" s="121">
        <v>1.1340092851509243</v>
      </c>
      <c r="Q157" s="5">
        <v>2210</v>
      </c>
      <c r="R157" s="5">
        <v>0</v>
      </c>
      <c r="S157" s="5">
        <v>2210</v>
      </c>
      <c r="T157" s="5">
        <v>0</v>
      </c>
      <c r="U157" s="5">
        <v>0</v>
      </c>
      <c r="V157" s="5">
        <v>0</v>
      </c>
      <c r="W157" s="5">
        <v>0</v>
      </c>
      <c r="X157" s="123">
        <v>1379.0073321418108</v>
      </c>
      <c r="Y157" s="123">
        <v>48.078061990450685</v>
      </c>
      <c r="Z157" s="123">
        <v>-830.99266785818941</v>
      </c>
      <c r="AA157" s="112">
        <v>3709.53</v>
      </c>
      <c r="AB157" s="112">
        <v>5944.9</v>
      </c>
      <c r="AC157" s="8">
        <v>1.6026020663483564</v>
      </c>
      <c r="AD157" s="66"/>
      <c r="AE157" s="66">
        <v>23.572447992259317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0" t="s">
        <v>1</v>
      </c>
      <c r="BJ157" s="191"/>
    </row>
    <row r="158" spans="1:62" ht="12.75" customHeight="1" x14ac:dyDescent="0.35">
      <c r="A158" s="108"/>
      <c r="B158" s="124" t="s">
        <v>1</v>
      </c>
      <c r="C158" s="5" t="s">
        <v>2</v>
      </c>
      <c r="D158" s="5" t="s">
        <v>306</v>
      </c>
      <c r="E158" s="5" t="s">
        <v>401</v>
      </c>
      <c r="F158" s="56">
        <v>1076365</v>
      </c>
      <c r="G158" s="65" t="s">
        <v>724</v>
      </c>
      <c r="H158" s="137">
        <v>12108.835594762217</v>
      </c>
      <c r="I158" s="137">
        <v>10897.952035285994</v>
      </c>
      <c r="J158" s="123">
        <v>0</v>
      </c>
      <c r="K158" s="123">
        <v>0</v>
      </c>
      <c r="L158" s="128">
        <v>0</v>
      </c>
      <c r="M158" s="121">
        <v>0</v>
      </c>
      <c r="N158" s="128">
        <v>10897.952035285994</v>
      </c>
      <c r="O158" s="128">
        <v>0</v>
      </c>
      <c r="P158" s="121">
        <v>0.85908986544802413</v>
      </c>
      <c r="Q158" s="5">
        <v>19620</v>
      </c>
      <c r="R158" s="5">
        <v>0</v>
      </c>
      <c r="S158" s="5">
        <v>19620</v>
      </c>
      <c r="T158" s="5">
        <v>0</v>
      </c>
      <c r="U158" s="5">
        <v>0</v>
      </c>
      <c r="V158" s="5">
        <v>0</v>
      </c>
      <c r="W158" s="5">
        <v>546</v>
      </c>
      <c r="X158" s="123">
        <v>12108.835594762219</v>
      </c>
      <c r="Y158" s="123">
        <v>48.609133008181566</v>
      </c>
      <c r="Z158" s="123">
        <v>-7511.1644052377833</v>
      </c>
      <c r="AA158" s="112">
        <v>226556.31</v>
      </c>
      <c r="AB158" s="112">
        <v>377305.86</v>
      </c>
      <c r="AC158" s="8">
        <v>1.6203044336060524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90" t="s">
        <v>1</v>
      </c>
      <c r="BJ158" s="191" t="s">
        <v>838</v>
      </c>
    </row>
    <row r="159" spans="1:62" ht="12.75" customHeight="1" x14ac:dyDescent="0.35">
      <c r="A159" s="108"/>
      <c r="B159" s="124" t="s">
        <v>31</v>
      </c>
      <c r="C159" s="5" t="s">
        <v>5</v>
      </c>
      <c r="D159" s="5" t="s">
        <v>306</v>
      </c>
      <c r="E159" s="5" t="s">
        <v>307</v>
      </c>
      <c r="F159" s="5">
        <v>1078161</v>
      </c>
      <c r="G159" s="7" t="s">
        <v>705</v>
      </c>
      <c r="H159" s="137">
        <v>4366.5567408349507</v>
      </c>
      <c r="I159" s="137">
        <v>1619.9925508497668</v>
      </c>
      <c r="J159" s="123">
        <v>0</v>
      </c>
      <c r="K159" s="123">
        <v>0</v>
      </c>
      <c r="L159" s="128">
        <v>0</v>
      </c>
      <c r="M159" s="121">
        <v>0</v>
      </c>
      <c r="N159" s="128">
        <v>1619.9925508497668</v>
      </c>
      <c r="O159" s="128">
        <v>0</v>
      </c>
      <c r="P159" s="121">
        <v>0.39316550392298139</v>
      </c>
      <c r="Q159" s="5">
        <v>7150</v>
      </c>
      <c r="R159" s="5">
        <v>0</v>
      </c>
      <c r="S159" s="5">
        <v>7150</v>
      </c>
      <c r="T159" s="5">
        <v>0</v>
      </c>
      <c r="U159" s="5">
        <v>0</v>
      </c>
      <c r="V159" s="5">
        <v>0</v>
      </c>
      <c r="W159" s="5">
        <v>0</v>
      </c>
      <c r="X159" s="123">
        <v>4366.5567408349507</v>
      </c>
      <c r="Y159" s="123">
        <v>49.123374029255004</v>
      </c>
      <c r="Z159" s="123">
        <v>-2783.4432591650493</v>
      </c>
      <c r="AA159" s="112">
        <v>42442.93</v>
      </c>
      <c r="AB159" s="112">
        <v>69498</v>
      </c>
      <c r="AC159" s="8">
        <v>1.6374458009751669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2"/>
      <c r="BJ159" s="193"/>
    </row>
    <row r="160" spans="1:62" ht="12.75" customHeight="1" x14ac:dyDescent="0.35">
      <c r="A160" s="108"/>
      <c r="B160" s="124" t="s">
        <v>22</v>
      </c>
      <c r="C160" s="5" t="s">
        <v>5</v>
      </c>
      <c r="D160" s="5" t="s">
        <v>306</v>
      </c>
      <c r="E160" s="5" t="s">
        <v>307</v>
      </c>
      <c r="F160" s="5">
        <v>1062351</v>
      </c>
      <c r="G160" s="7" t="s">
        <v>412</v>
      </c>
      <c r="H160" s="137">
        <v>45687.687580899285</v>
      </c>
      <c r="I160" s="137">
        <v>6853.1531371348929</v>
      </c>
      <c r="J160" s="123">
        <v>0</v>
      </c>
      <c r="K160" s="123">
        <v>0</v>
      </c>
      <c r="L160" s="128">
        <v>0</v>
      </c>
      <c r="M160" s="121">
        <v>0</v>
      </c>
      <c r="N160" s="128">
        <v>6853.1531371348929</v>
      </c>
      <c r="O160" s="128">
        <v>0</v>
      </c>
      <c r="P160" s="121">
        <v>0.64330591186059372</v>
      </c>
      <c r="Q160" s="5">
        <v>74929</v>
      </c>
      <c r="R160" s="5">
        <v>0</v>
      </c>
      <c r="S160" s="5">
        <v>74929</v>
      </c>
      <c r="T160" s="5">
        <v>0</v>
      </c>
      <c r="U160" s="5">
        <v>0</v>
      </c>
      <c r="V160" s="5">
        <v>0</v>
      </c>
      <c r="W160" s="5">
        <v>0</v>
      </c>
      <c r="X160" s="123">
        <v>45687.687580899285</v>
      </c>
      <c r="Y160" s="123">
        <v>49.200782946602232</v>
      </c>
      <c r="Z160" s="123">
        <v>-29241.312419100715</v>
      </c>
      <c r="AA160" s="112">
        <v>153510.63</v>
      </c>
      <c r="AB160" s="112">
        <v>251761.44</v>
      </c>
      <c r="AC160" s="8">
        <v>1.6400260982200743</v>
      </c>
      <c r="AD160" s="66"/>
      <c r="AE160" s="66">
        <v>9.4224010042222996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0" t="s">
        <v>1</v>
      </c>
      <c r="BJ160" s="191"/>
    </row>
    <row r="161" spans="1:62" ht="12.75" customHeight="1" x14ac:dyDescent="0.35">
      <c r="A161" s="108"/>
      <c r="B161" s="124" t="s">
        <v>1</v>
      </c>
      <c r="C161" s="5" t="s">
        <v>50</v>
      </c>
      <c r="D161" s="5" t="s">
        <v>320</v>
      </c>
      <c r="E161" s="5" t="s">
        <v>402</v>
      </c>
      <c r="F161" s="56">
        <v>1060798</v>
      </c>
      <c r="G161" s="65" t="s">
        <v>435</v>
      </c>
      <c r="H161" s="137">
        <v>7159.1107418624379</v>
      </c>
      <c r="I161" s="137">
        <v>1288.6399335352387</v>
      </c>
      <c r="J161" s="123">
        <v>0</v>
      </c>
      <c r="K161" s="123">
        <v>0</v>
      </c>
      <c r="L161" s="128">
        <v>0</v>
      </c>
      <c r="M161" s="121">
        <v>0</v>
      </c>
      <c r="N161" s="128">
        <v>1288.6399335352387</v>
      </c>
      <c r="O161" s="128">
        <v>0</v>
      </c>
      <c r="P161" s="121">
        <v>0.66001606609094465</v>
      </c>
      <c r="Q161" s="5">
        <v>12328</v>
      </c>
      <c r="R161" s="5">
        <v>0</v>
      </c>
      <c r="S161" s="5">
        <v>12328</v>
      </c>
      <c r="T161" s="5">
        <v>0</v>
      </c>
      <c r="U161" s="5">
        <v>0</v>
      </c>
      <c r="V161" s="5">
        <v>0</v>
      </c>
      <c r="W161" s="5">
        <v>80</v>
      </c>
      <c r="X161" s="123">
        <v>7159.1107418624379</v>
      </c>
      <c r="Y161" s="123">
        <v>51.66004736277992</v>
      </c>
      <c r="Z161" s="123">
        <v>-5168.8892581375621</v>
      </c>
      <c r="AA161" s="112">
        <v>49111.5</v>
      </c>
      <c r="AB161" s="112">
        <v>85118.88</v>
      </c>
      <c r="AC161" s="8">
        <v>1.7220015787593306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0"/>
      <c r="BJ161" s="191"/>
    </row>
    <row r="162" spans="1:62" ht="12.75" customHeight="1" x14ac:dyDescent="0.35">
      <c r="A162" s="108"/>
      <c r="B162" s="124" t="s">
        <v>1</v>
      </c>
      <c r="C162" s="5" t="s">
        <v>2</v>
      </c>
      <c r="D162" s="5" t="s">
        <v>396</v>
      </c>
      <c r="E162" s="5" t="s">
        <v>397</v>
      </c>
      <c r="F162" s="5">
        <v>1043305</v>
      </c>
      <c r="G162" s="7" t="s">
        <v>128</v>
      </c>
      <c r="H162" s="137">
        <v>6615.6782471334118</v>
      </c>
      <c r="I162" s="137">
        <v>6615.6782471334118</v>
      </c>
      <c r="J162" s="123">
        <v>0</v>
      </c>
      <c r="K162" s="123">
        <v>0</v>
      </c>
      <c r="L162" s="128">
        <v>0</v>
      </c>
      <c r="M162" s="121">
        <v>0</v>
      </c>
      <c r="N162" s="128">
        <v>6615.6782471334118</v>
      </c>
      <c r="O162" s="128">
        <v>0</v>
      </c>
      <c r="P162" s="121">
        <v>0.66094100813353862</v>
      </c>
      <c r="Q162" s="5">
        <v>11451</v>
      </c>
      <c r="R162" s="5">
        <v>0</v>
      </c>
      <c r="S162" s="5">
        <v>11451</v>
      </c>
      <c r="T162" s="5">
        <v>0</v>
      </c>
      <c r="U162" s="5">
        <v>0</v>
      </c>
      <c r="V162" s="5">
        <v>0</v>
      </c>
      <c r="W162" s="5">
        <v>0</v>
      </c>
      <c r="X162" s="123">
        <v>6615.6782471334118</v>
      </c>
      <c r="Y162" s="123">
        <v>51.926648662040407</v>
      </c>
      <c r="Z162" s="123">
        <v>-4835.3217528665882</v>
      </c>
      <c r="AA162" s="112">
        <v>197676.47</v>
      </c>
      <c r="AB162" s="112">
        <v>342155.88</v>
      </c>
      <c r="AC162" s="8">
        <v>1.7308882887346804</v>
      </c>
      <c r="AD162" s="66"/>
      <c r="AE162" s="66">
        <v>75.108571428571437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0" t="s">
        <v>1</v>
      </c>
      <c r="BJ162" s="191"/>
    </row>
    <row r="163" spans="1:62" ht="12.75" customHeight="1" x14ac:dyDescent="0.35">
      <c r="A163" s="108"/>
      <c r="B163" s="124" t="s">
        <v>1</v>
      </c>
      <c r="C163" s="5" t="s">
        <v>50</v>
      </c>
      <c r="D163" s="5" t="s">
        <v>320</v>
      </c>
      <c r="E163" s="5" t="s">
        <v>402</v>
      </c>
      <c r="F163" s="5">
        <v>1060799</v>
      </c>
      <c r="G163" s="7" t="s">
        <v>436</v>
      </c>
      <c r="H163" s="137">
        <v>11510.912418196884</v>
      </c>
      <c r="I163" s="137">
        <v>2071.964235275439</v>
      </c>
      <c r="J163" s="123">
        <v>0</v>
      </c>
      <c r="K163" s="123">
        <v>0</v>
      </c>
      <c r="L163" s="128">
        <v>0</v>
      </c>
      <c r="M163" s="121">
        <v>0</v>
      </c>
      <c r="N163" s="128">
        <v>2071.964235275439</v>
      </c>
      <c r="O163" s="128">
        <v>0</v>
      </c>
      <c r="P163" s="121">
        <v>0.77668046853216244</v>
      </c>
      <c r="Q163" s="5">
        <v>20384</v>
      </c>
      <c r="R163" s="5">
        <v>0</v>
      </c>
      <c r="S163" s="5">
        <v>20384</v>
      </c>
      <c r="T163" s="5">
        <v>0</v>
      </c>
      <c r="U163" s="5">
        <v>0</v>
      </c>
      <c r="V163" s="5">
        <v>0</v>
      </c>
      <c r="W163" s="5">
        <v>0</v>
      </c>
      <c r="X163" s="123">
        <v>11510.912418196884</v>
      </c>
      <c r="Y163" s="123">
        <v>53.125241317385594</v>
      </c>
      <c r="Z163" s="123">
        <v>-8873.0875818031163</v>
      </c>
      <c r="AA163" s="112">
        <v>78504.42</v>
      </c>
      <c r="AB163" s="112">
        <v>139018.88</v>
      </c>
      <c r="AC163" s="8">
        <v>1.7708413772461864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0"/>
      <c r="BJ163" s="191"/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310</v>
      </c>
      <c r="E164" s="5" t="s">
        <v>403</v>
      </c>
      <c r="F164" s="5">
        <v>1061420</v>
      </c>
      <c r="G164" s="7" t="s">
        <v>537</v>
      </c>
      <c r="H164" s="137">
        <v>10111.158699549545</v>
      </c>
      <c r="I164" s="137">
        <v>1314.450630941441</v>
      </c>
      <c r="J164" s="123">
        <v>0</v>
      </c>
      <c r="K164" s="123">
        <v>0</v>
      </c>
      <c r="L164" s="128">
        <v>0</v>
      </c>
      <c r="M164" s="121">
        <v>4.4307483772355244E-2</v>
      </c>
      <c r="N164" s="128">
        <v>1314.450630941441</v>
      </c>
      <c r="O164" s="128">
        <v>0</v>
      </c>
      <c r="P164" s="121">
        <v>0.75876100165846994</v>
      </c>
      <c r="Q164" s="5">
        <v>21270</v>
      </c>
      <c r="R164" s="5">
        <v>448</v>
      </c>
      <c r="S164" s="5">
        <v>20822</v>
      </c>
      <c r="T164" s="5">
        <v>0</v>
      </c>
      <c r="U164" s="5">
        <v>0</v>
      </c>
      <c r="V164" s="5">
        <v>0</v>
      </c>
      <c r="W164" s="5">
        <v>141</v>
      </c>
      <c r="X164" s="123">
        <v>11648</v>
      </c>
      <c r="Y164" s="123">
        <v>53.628090659340657</v>
      </c>
      <c r="Z164" s="123">
        <v>-11158.841300450455</v>
      </c>
      <c r="AA164" s="112">
        <v>45196.88</v>
      </c>
      <c r="AB164" s="112">
        <v>93704.61</v>
      </c>
      <c r="AC164" s="8">
        <v>2.1036164728526696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2"/>
      <c r="BJ164" s="191"/>
    </row>
    <row r="165" spans="1:62" ht="12.75" customHeight="1" x14ac:dyDescent="0.35">
      <c r="A165" s="108"/>
      <c r="B165" s="124" t="s">
        <v>1</v>
      </c>
      <c r="C165" s="5" t="s">
        <v>2</v>
      </c>
      <c r="D165" s="5" t="s">
        <v>310</v>
      </c>
      <c r="E165" s="5" t="s">
        <v>311</v>
      </c>
      <c r="F165" s="147">
        <v>1068295</v>
      </c>
      <c r="G165" s="148" t="s">
        <v>566</v>
      </c>
      <c r="H165" s="137">
        <v>809.10640968349378</v>
      </c>
      <c r="I165" s="137">
        <v>436.91746122908665</v>
      </c>
      <c r="J165" s="123">
        <v>0</v>
      </c>
      <c r="K165" s="123">
        <v>0</v>
      </c>
      <c r="L165" s="128">
        <v>0</v>
      </c>
      <c r="M165" s="121">
        <v>0</v>
      </c>
      <c r="N165" s="128">
        <v>436.91746122908665</v>
      </c>
      <c r="O165" s="128">
        <v>0</v>
      </c>
      <c r="P165" s="121">
        <v>0.92017793885384003</v>
      </c>
      <c r="Q165" s="5">
        <v>1452</v>
      </c>
      <c r="R165" s="5">
        <v>0</v>
      </c>
      <c r="S165" s="5">
        <v>1452</v>
      </c>
      <c r="T165" s="5">
        <v>0</v>
      </c>
      <c r="U165" s="5">
        <v>0</v>
      </c>
      <c r="V165" s="5">
        <v>0</v>
      </c>
      <c r="W165" s="5">
        <v>0</v>
      </c>
      <c r="X165" s="123">
        <v>809.10640968349378</v>
      </c>
      <c r="Y165" s="123">
        <v>53.837170832745969</v>
      </c>
      <c r="Z165" s="123">
        <v>-642.89359031650622</v>
      </c>
      <c r="AA165" s="112">
        <v>6667.04</v>
      </c>
      <c r="AB165" s="112">
        <v>11964.48</v>
      </c>
      <c r="AC165" s="8">
        <v>1.7945723610915323</v>
      </c>
      <c r="AD165" s="66"/>
      <c r="AE165" s="66" t="s">
        <v>574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0" t="s">
        <v>1</v>
      </c>
      <c r="BJ165" s="191"/>
    </row>
    <row r="166" spans="1:62" ht="12.75" customHeight="1" x14ac:dyDescent="0.35">
      <c r="A166" s="108"/>
      <c r="B166" s="124" t="s">
        <v>1</v>
      </c>
      <c r="C166" s="5" t="s">
        <v>2</v>
      </c>
      <c r="D166" s="5" t="s">
        <v>310</v>
      </c>
      <c r="E166" s="5" t="s">
        <v>311</v>
      </c>
      <c r="F166" s="133">
        <v>1080750</v>
      </c>
      <c r="G166" s="134" t="s">
        <v>770</v>
      </c>
      <c r="H166" s="137">
        <v>4640.4433795111436</v>
      </c>
      <c r="I166" s="137">
        <v>2784.2660277066866</v>
      </c>
      <c r="J166" s="123">
        <v>0</v>
      </c>
      <c r="K166" s="123">
        <v>0</v>
      </c>
      <c r="L166" s="128">
        <v>0</v>
      </c>
      <c r="M166" s="121">
        <v>1.7239731951740299E-3</v>
      </c>
      <c r="N166" s="128">
        <v>2784.2660277066866</v>
      </c>
      <c r="O166" s="128">
        <v>2.6838628654062924</v>
      </c>
      <c r="P166" s="121">
        <v>1.1011594382167631</v>
      </c>
      <c r="Q166" s="5">
        <v>8452</v>
      </c>
      <c r="R166" s="5">
        <v>8</v>
      </c>
      <c r="S166" s="5">
        <v>8444</v>
      </c>
      <c r="T166" s="5">
        <v>0</v>
      </c>
      <c r="U166" s="5">
        <v>0</v>
      </c>
      <c r="V166" s="5">
        <v>0</v>
      </c>
      <c r="W166" s="5">
        <v>0</v>
      </c>
      <c r="X166" s="123">
        <v>4640.4433795111436</v>
      </c>
      <c r="Y166" s="123">
        <v>54.589611225185664</v>
      </c>
      <c r="Z166" s="123">
        <v>-3811.5566204888564</v>
      </c>
      <c r="AA166" s="112">
        <v>49235.1</v>
      </c>
      <c r="AB166" s="112">
        <v>89590.84</v>
      </c>
      <c r="AC166" s="8">
        <v>1.8213776807013626</v>
      </c>
      <c r="AD166" s="66"/>
      <c r="AE166" s="66">
        <v>18.339424394700778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0" t="s">
        <v>1</v>
      </c>
      <c r="BJ166" s="191"/>
    </row>
    <row r="167" spans="1:62" ht="12.75" customHeight="1" x14ac:dyDescent="0.35">
      <c r="A167" s="108"/>
      <c r="B167" s="124" t="s">
        <v>15</v>
      </c>
      <c r="C167" s="5" t="s">
        <v>5</v>
      </c>
      <c r="D167" s="5" t="s">
        <v>312</v>
      </c>
      <c r="E167" s="5" t="s">
        <v>315</v>
      </c>
      <c r="F167" s="5">
        <v>1080723</v>
      </c>
      <c r="G167" s="7" t="s">
        <v>737</v>
      </c>
      <c r="H167" s="137">
        <v>240</v>
      </c>
      <c r="I167" s="137">
        <v>11.28</v>
      </c>
      <c r="J167" s="123">
        <v>0</v>
      </c>
      <c r="K167" s="123">
        <v>0</v>
      </c>
      <c r="L167" s="128">
        <v>0</v>
      </c>
      <c r="M167" s="121">
        <v>0</v>
      </c>
      <c r="N167" s="128">
        <v>11.28</v>
      </c>
      <c r="O167" s="128">
        <v>0</v>
      </c>
      <c r="P167" s="121">
        <v>0</v>
      </c>
      <c r="Q167" s="5">
        <v>440</v>
      </c>
      <c r="R167" s="5">
        <v>0</v>
      </c>
      <c r="S167" s="5">
        <v>440</v>
      </c>
      <c r="T167" s="5">
        <v>0</v>
      </c>
      <c r="U167" s="5">
        <v>0</v>
      </c>
      <c r="V167" s="5">
        <v>0</v>
      </c>
      <c r="W167" s="5">
        <v>440</v>
      </c>
      <c r="X167" s="123">
        <v>240</v>
      </c>
      <c r="Y167" s="123">
        <v>55</v>
      </c>
      <c r="Z167" s="123">
        <v>-200</v>
      </c>
      <c r="AA167" s="112">
        <v>156</v>
      </c>
      <c r="AB167" s="112">
        <v>572</v>
      </c>
      <c r="AC167" s="8">
        <v>1.8333333333333335</v>
      </c>
      <c r="AD167" s="66"/>
      <c r="AE167" s="66">
        <v>0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0" t="s">
        <v>1</v>
      </c>
      <c r="BJ167" s="191"/>
    </row>
    <row r="168" spans="1:62" ht="12.75" customHeight="1" x14ac:dyDescent="0.35">
      <c r="A168" s="108"/>
      <c r="B168" s="124" t="s">
        <v>1</v>
      </c>
      <c r="C168" s="5" t="s">
        <v>50</v>
      </c>
      <c r="D168" s="5" t="s">
        <v>320</v>
      </c>
      <c r="E168" s="5" t="s">
        <v>402</v>
      </c>
      <c r="F168" s="5">
        <v>1060797</v>
      </c>
      <c r="G168" s="7" t="s">
        <v>434</v>
      </c>
      <c r="H168" s="137">
        <v>10797.439145593074</v>
      </c>
      <c r="I168" s="137">
        <v>1943.5390462067533</v>
      </c>
      <c r="J168" s="123">
        <v>0</v>
      </c>
      <c r="K168" s="123">
        <v>0</v>
      </c>
      <c r="L168" s="128">
        <v>0</v>
      </c>
      <c r="M168" s="121">
        <v>0</v>
      </c>
      <c r="N168" s="128">
        <v>1943.5390462067533</v>
      </c>
      <c r="O168" s="128">
        <v>0</v>
      </c>
      <c r="P168" s="121">
        <v>0.60203407809892318</v>
      </c>
      <c r="Q168" s="5">
        <v>20221</v>
      </c>
      <c r="R168" s="5">
        <v>0</v>
      </c>
      <c r="S168" s="5">
        <v>20221</v>
      </c>
      <c r="T168" s="5">
        <v>0</v>
      </c>
      <c r="U168" s="5">
        <v>0</v>
      </c>
      <c r="V168" s="5">
        <v>0</v>
      </c>
      <c r="W168" s="5">
        <v>80</v>
      </c>
      <c r="X168" s="123">
        <v>10797.439145593074</v>
      </c>
      <c r="Y168" s="123">
        <v>56.18276628561442</v>
      </c>
      <c r="Z168" s="123">
        <v>-9423.5608544069255</v>
      </c>
      <c r="AA168" s="112">
        <v>74178.41</v>
      </c>
      <c r="AB168" s="112">
        <v>139467.87</v>
      </c>
      <c r="AC168" s="8">
        <v>1.8727588761871474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0" t="s">
        <v>1</v>
      </c>
      <c r="BJ168" s="191" t="s">
        <v>831</v>
      </c>
    </row>
    <row r="169" spans="1:62" ht="12.75" customHeight="1" x14ac:dyDescent="0.35">
      <c r="A169" s="108"/>
      <c r="B169" s="124" t="s">
        <v>21</v>
      </c>
      <c r="C169" s="5" t="s">
        <v>5</v>
      </c>
      <c r="D169" s="5" t="s">
        <v>396</v>
      </c>
      <c r="E169" s="5" t="s">
        <v>307</v>
      </c>
      <c r="F169" s="5">
        <v>1063071</v>
      </c>
      <c r="G169" s="7" t="s">
        <v>444</v>
      </c>
      <c r="H169" s="137">
        <v>1018.8823933846199</v>
      </c>
      <c r="I169" s="137">
        <v>509.44119669230997</v>
      </c>
      <c r="J169" s="123">
        <v>0</v>
      </c>
      <c r="K169" s="123">
        <v>0</v>
      </c>
      <c r="L169" s="128">
        <v>0</v>
      </c>
      <c r="M169" s="121">
        <v>4.7110442099749177E-2</v>
      </c>
      <c r="N169" s="128">
        <v>509.44119669230997</v>
      </c>
      <c r="O169" s="128">
        <v>39.577891487735805</v>
      </c>
      <c r="P169" s="121">
        <v>2.5347497447855813</v>
      </c>
      <c r="Q169" s="5">
        <v>2427</v>
      </c>
      <c r="R169" s="5">
        <v>48</v>
      </c>
      <c r="S169" s="5">
        <v>2379</v>
      </c>
      <c r="T169" s="5">
        <v>0</v>
      </c>
      <c r="U169" s="5">
        <v>0</v>
      </c>
      <c r="V169" s="5">
        <v>0</v>
      </c>
      <c r="W169" s="5">
        <v>0</v>
      </c>
      <c r="X169" s="123">
        <v>1248</v>
      </c>
      <c r="Y169" s="123">
        <v>57.1875</v>
      </c>
      <c r="Z169" s="123">
        <v>-1408.1176066153801</v>
      </c>
      <c r="AA169" s="112">
        <v>5114.79</v>
      </c>
      <c r="AB169" s="112">
        <v>11942.58</v>
      </c>
      <c r="AC169" s="8">
        <v>2.3820217286685677</v>
      </c>
      <c r="AD169" s="66"/>
      <c r="AE169" s="66">
        <v>23.728842851009016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0" t="s">
        <v>1</v>
      </c>
      <c r="BJ169" s="191"/>
    </row>
    <row r="170" spans="1:62" ht="12.75" customHeight="1" x14ac:dyDescent="0.35">
      <c r="A170" s="108"/>
      <c r="B170" s="124" t="s">
        <v>1</v>
      </c>
      <c r="C170" s="5" t="s">
        <v>50</v>
      </c>
      <c r="D170" s="5" t="s">
        <v>316</v>
      </c>
      <c r="E170" s="5" t="s">
        <v>408</v>
      </c>
      <c r="F170" s="5">
        <v>1060662</v>
      </c>
      <c r="G170" s="7" t="s">
        <v>426</v>
      </c>
      <c r="H170" s="137">
        <v>1144.6790890242089</v>
      </c>
      <c r="I170" s="137">
        <v>2609.868322975196</v>
      </c>
      <c r="J170" s="123">
        <v>0</v>
      </c>
      <c r="K170" s="123">
        <v>0</v>
      </c>
      <c r="L170" s="128">
        <v>0</v>
      </c>
      <c r="M170" s="121">
        <v>0</v>
      </c>
      <c r="N170" s="128">
        <v>2609.868322975196</v>
      </c>
      <c r="O170" s="128">
        <v>2.452671751441827</v>
      </c>
      <c r="P170" s="121">
        <v>1.0724101789651748</v>
      </c>
      <c r="Q170" s="5">
        <v>2236</v>
      </c>
      <c r="R170" s="5">
        <v>0</v>
      </c>
      <c r="S170" s="5">
        <v>2236</v>
      </c>
      <c r="T170" s="5">
        <v>0</v>
      </c>
      <c r="U170" s="5">
        <v>0</v>
      </c>
      <c r="V170" s="5">
        <v>0</v>
      </c>
      <c r="W170" s="5">
        <v>0</v>
      </c>
      <c r="X170" s="123">
        <v>1144.6790890242089</v>
      </c>
      <c r="Y170" s="123">
        <v>58.601577195913393</v>
      </c>
      <c r="Z170" s="123">
        <v>-1091.3209109757911</v>
      </c>
      <c r="AA170" s="112">
        <v>14159.68</v>
      </c>
      <c r="AB170" s="112">
        <v>27659.32</v>
      </c>
      <c r="AC170" s="8">
        <v>1.9533859065304466</v>
      </c>
      <c r="AD170" s="66"/>
      <c r="AE170" s="66">
        <v>0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0" t="s">
        <v>1</v>
      </c>
      <c r="BJ170" s="191"/>
    </row>
    <row r="171" spans="1:62" ht="12.75" customHeight="1" x14ac:dyDescent="0.35">
      <c r="A171" s="108"/>
      <c r="B171" s="124" t="s">
        <v>21</v>
      </c>
      <c r="C171" s="5" t="s">
        <v>5</v>
      </c>
      <c r="D171" s="5" t="s">
        <v>308</v>
      </c>
      <c r="E171" s="5" t="s">
        <v>395</v>
      </c>
      <c r="F171" s="5">
        <v>1069126</v>
      </c>
      <c r="G171" s="7" t="s">
        <v>556</v>
      </c>
      <c r="H171" s="137">
        <v>1269.5158407846607</v>
      </c>
      <c r="I171" s="137">
        <v>634.75792039233033</v>
      </c>
      <c r="J171" s="123">
        <v>0</v>
      </c>
      <c r="K171" s="123">
        <v>0</v>
      </c>
      <c r="L171" s="128">
        <v>0</v>
      </c>
      <c r="M171" s="121">
        <v>0</v>
      </c>
      <c r="N171" s="128">
        <v>634.75792039233033</v>
      </c>
      <c r="O171" s="128">
        <v>0</v>
      </c>
      <c r="P171" s="121">
        <v>0.95795559798950702</v>
      </c>
      <c r="Q171" s="5">
        <v>2483</v>
      </c>
      <c r="R171" s="5">
        <v>0</v>
      </c>
      <c r="S171" s="5">
        <v>2483</v>
      </c>
      <c r="T171" s="5">
        <v>0</v>
      </c>
      <c r="U171" s="5">
        <v>0</v>
      </c>
      <c r="V171" s="5">
        <v>0</v>
      </c>
      <c r="W171" s="5">
        <v>0</v>
      </c>
      <c r="X171" s="123">
        <v>1269.5158407846607</v>
      </c>
      <c r="Y171" s="123">
        <v>58.675912191815833</v>
      </c>
      <c r="Z171" s="123">
        <v>-1213.4841592153393</v>
      </c>
      <c r="AA171" s="112">
        <v>19766.36</v>
      </c>
      <c r="AB171" s="112">
        <v>38660.31</v>
      </c>
      <c r="AC171" s="8">
        <v>1.9558637397271945</v>
      </c>
      <c r="AD171" s="66"/>
      <c r="AE171" s="66">
        <v>40.312352692310292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0" t="s">
        <v>1</v>
      </c>
      <c r="BJ171" s="191" t="s">
        <v>839</v>
      </c>
    </row>
    <row r="172" spans="1:62" ht="12.75" customHeight="1" x14ac:dyDescent="0.35">
      <c r="A172" s="108"/>
      <c r="B172" s="124" t="s">
        <v>1</v>
      </c>
      <c r="C172" s="5" t="s">
        <v>50</v>
      </c>
      <c r="D172" s="5" t="s">
        <v>320</v>
      </c>
      <c r="E172" s="5" t="s">
        <v>402</v>
      </c>
      <c r="F172" s="5">
        <v>1060794</v>
      </c>
      <c r="G172" s="7" t="s">
        <v>431</v>
      </c>
      <c r="H172" s="137">
        <v>24910.542082974705</v>
      </c>
      <c r="I172" s="137">
        <v>4483.8975749354468</v>
      </c>
      <c r="J172" s="123">
        <v>0</v>
      </c>
      <c r="K172" s="123">
        <v>0</v>
      </c>
      <c r="L172" s="128">
        <v>0</v>
      </c>
      <c r="M172" s="121">
        <v>0</v>
      </c>
      <c r="N172" s="128">
        <v>4483.8975749354468</v>
      </c>
      <c r="O172" s="128">
        <v>0</v>
      </c>
      <c r="P172" s="121">
        <v>0.72311926194261134</v>
      </c>
      <c r="Q172" s="5">
        <v>49233</v>
      </c>
      <c r="R172" s="5">
        <v>0</v>
      </c>
      <c r="S172" s="5">
        <v>49233</v>
      </c>
      <c r="T172" s="5">
        <v>0</v>
      </c>
      <c r="U172" s="5">
        <v>152</v>
      </c>
      <c r="V172" s="5">
        <v>0</v>
      </c>
      <c r="W172" s="5">
        <v>400</v>
      </c>
      <c r="X172" s="123">
        <v>24910.542082974705</v>
      </c>
      <c r="Y172" s="123">
        <v>59.291764710710964</v>
      </c>
      <c r="Z172" s="123">
        <v>-24322.457917025295</v>
      </c>
      <c r="AA172" s="112">
        <v>171135.42</v>
      </c>
      <c r="AB172" s="112">
        <v>342022.95</v>
      </c>
      <c r="AC172" s="8">
        <v>1.9763921570236986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0"/>
      <c r="BJ172" s="191"/>
    </row>
    <row r="173" spans="1:62" ht="12.75" customHeight="1" x14ac:dyDescent="0.35">
      <c r="A173" s="108"/>
      <c r="B173" s="124" t="s">
        <v>21</v>
      </c>
      <c r="C173" s="5" t="s">
        <v>5</v>
      </c>
      <c r="D173" s="5" t="s">
        <v>396</v>
      </c>
      <c r="E173" s="5" t="s">
        <v>397</v>
      </c>
      <c r="F173" s="5">
        <v>1071793</v>
      </c>
      <c r="G173" s="7" t="s">
        <v>666</v>
      </c>
      <c r="H173" s="137">
        <v>581.66934382842078</v>
      </c>
      <c r="I173" s="137">
        <v>290.83467191421039</v>
      </c>
      <c r="J173" s="123">
        <v>0</v>
      </c>
      <c r="K173" s="123">
        <v>0</v>
      </c>
      <c r="L173" s="128">
        <v>0</v>
      </c>
      <c r="M173" s="121">
        <v>0</v>
      </c>
      <c r="N173" s="128">
        <v>290.83467191421039</v>
      </c>
      <c r="O173" s="128">
        <v>13.615983176751739</v>
      </c>
      <c r="P173" s="121">
        <v>1.528</v>
      </c>
      <c r="Q173" s="5">
        <v>1175</v>
      </c>
      <c r="R173" s="5">
        <v>0</v>
      </c>
      <c r="S173" s="5">
        <v>1175</v>
      </c>
      <c r="T173" s="5">
        <v>440</v>
      </c>
      <c r="U173" s="5">
        <v>0</v>
      </c>
      <c r="V173" s="5">
        <v>0</v>
      </c>
      <c r="W173" s="5">
        <v>0</v>
      </c>
      <c r="X173" s="123">
        <v>581.66934382842078</v>
      </c>
      <c r="Y173" s="123">
        <v>60.601440275315504</v>
      </c>
      <c r="Z173" s="123">
        <v>-1033.3306561715792</v>
      </c>
      <c r="AA173" s="112">
        <v>4170.57</v>
      </c>
      <c r="AB173" s="112">
        <v>11579.55</v>
      </c>
      <c r="AC173" s="8">
        <v>2.7764915189967247</v>
      </c>
      <c r="AD173" s="66"/>
      <c r="AE173" s="66">
        <v>40.776923076923076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0" t="s">
        <v>1</v>
      </c>
      <c r="BJ173" s="191"/>
    </row>
    <row r="174" spans="1:62" ht="12.75" customHeight="1" x14ac:dyDescent="0.35">
      <c r="A174" s="108"/>
      <c r="B174" s="124" t="s">
        <v>1</v>
      </c>
      <c r="C174" s="5" t="s">
        <v>50</v>
      </c>
      <c r="D174" s="5" t="s">
        <v>320</v>
      </c>
      <c r="E174" s="5" t="s">
        <v>402</v>
      </c>
      <c r="F174" s="5">
        <v>1060795</v>
      </c>
      <c r="G174" s="7" t="s">
        <v>432</v>
      </c>
      <c r="H174" s="137">
        <v>11365.124844379594</v>
      </c>
      <c r="I174" s="137">
        <v>2045.7224719883268</v>
      </c>
      <c r="J174" s="123">
        <v>0</v>
      </c>
      <c r="K174" s="123">
        <v>0</v>
      </c>
      <c r="L174" s="128">
        <v>0</v>
      </c>
      <c r="M174" s="121">
        <v>0</v>
      </c>
      <c r="N174" s="128">
        <v>2045.7224719883268</v>
      </c>
      <c r="O174" s="128">
        <v>0</v>
      </c>
      <c r="P174" s="121">
        <v>0.542072901739309</v>
      </c>
      <c r="Q174" s="5">
        <v>24629</v>
      </c>
      <c r="R174" s="5">
        <v>0</v>
      </c>
      <c r="S174" s="5">
        <v>24629</v>
      </c>
      <c r="T174" s="5">
        <v>0</v>
      </c>
      <c r="U174" s="5">
        <v>24</v>
      </c>
      <c r="V174" s="5">
        <v>0</v>
      </c>
      <c r="W174" s="5">
        <v>400</v>
      </c>
      <c r="X174" s="123">
        <v>11365.124844379594</v>
      </c>
      <c r="Y174" s="123">
        <v>65.012044312508721</v>
      </c>
      <c r="Z174" s="123">
        <v>-13263.875155620406</v>
      </c>
      <c r="AA174" s="112">
        <v>78419.360000000001</v>
      </c>
      <c r="AB174" s="112">
        <v>172865.7</v>
      </c>
      <c r="AC174" s="8">
        <v>2.1670681437502908</v>
      </c>
      <c r="AD174" s="66"/>
      <c r="AE174" s="66">
        <v>53.485240371099245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0" t="s">
        <v>1</v>
      </c>
      <c r="BJ174" s="191" t="s">
        <v>837</v>
      </c>
    </row>
    <row r="175" spans="1:62" ht="12.75" customHeight="1" x14ac:dyDescent="0.35">
      <c r="A175" s="108"/>
      <c r="B175" s="124" t="s">
        <v>1</v>
      </c>
      <c r="C175" s="5" t="s">
        <v>24</v>
      </c>
      <c r="D175" s="5" t="s">
        <v>316</v>
      </c>
      <c r="E175" s="5" t="s">
        <v>317</v>
      </c>
      <c r="F175" s="5">
        <v>1032134</v>
      </c>
      <c r="G175" s="7" t="s">
        <v>25</v>
      </c>
      <c r="H175" s="137">
        <v>1590.7728841964802</v>
      </c>
      <c r="I175" s="137">
        <v>270.43139031340166</v>
      </c>
      <c r="J175" s="123">
        <v>0</v>
      </c>
      <c r="K175" s="123">
        <v>0</v>
      </c>
      <c r="L175" s="128">
        <v>0</v>
      </c>
      <c r="M175" s="121">
        <v>3.1431262436470084E-3</v>
      </c>
      <c r="N175" s="128">
        <v>270.43139031340166</v>
      </c>
      <c r="O175" s="128">
        <v>9.1696392483290143</v>
      </c>
      <c r="P175" s="121">
        <v>1.2974279305118943</v>
      </c>
      <c r="Q175" s="5">
        <v>3528</v>
      </c>
      <c r="R175" s="5">
        <v>5</v>
      </c>
      <c r="S175" s="5">
        <v>3523</v>
      </c>
      <c r="T175" s="5">
        <v>0</v>
      </c>
      <c r="U175" s="5">
        <v>0</v>
      </c>
      <c r="V175" s="5">
        <v>0</v>
      </c>
      <c r="W175" s="5">
        <v>0</v>
      </c>
      <c r="X175" s="123">
        <v>1590.7728841964802</v>
      </c>
      <c r="Y175" s="123">
        <v>66.439402538210459</v>
      </c>
      <c r="Z175" s="123">
        <v>-1937.2271158035198</v>
      </c>
      <c r="AA175" s="112">
        <v>18421.150000000001</v>
      </c>
      <c r="AB175" s="112">
        <v>40796.339999999997</v>
      </c>
      <c r="AC175" s="8">
        <v>2.2177898775173288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0" t="s">
        <v>1</v>
      </c>
      <c r="BJ175" s="191" t="s">
        <v>835</v>
      </c>
    </row>
    <row r="176" spans="1:62" ht="12.75" customHeight="1" x14ac:dyDescent="0.35">
      <c r="A176" s="108"/>
      <c r="B176" s="124" t="s">
        <v>27</v>
      </c>
      <c r="C176" s="5" t="s">
        <v>5</v>
      </c>
      <c r="D176" s="5" t="s">
        <v>312</v>
      </c>
      <c r="E176" s="5" t="s">
        <v>313</v>
      </c>
      <c r="F176" s="5">
        <v>1073737</v>
      </c>
      <c r="G176" s="7" t="s">
        <v>619</v>
      </c>
      <c r="H176" s="137">
        <v>9634.5091888845745</v>
      </c>
      <c r="I176" s="137">
        <v>3661.1134917761383</v>
      </c>
      <c r="J176" s="123">
        <v>0</v>
      </c>
      <c r="K176" s="123">
        <v>0</v>
      </c>
      <c r="L176" s="128">
        <v>0</v>
      </c>
      <c r="M176" s="121">
        <v>0</v>
      </c>
      <c r="N176" s="128">
        <v>3661.1134917761383</v>
      </c>
      <c r="O176" s="128">
        <v>33.522096584598295</v>
      </c>
      <c r="P176" s="121">
        <v>1.2412825024416332</v>
      </c>
      <c r="Q176" s="5">
        <v>21612</v>
      </c>
      <c r="R176" s="5">
        <v>0</v>
      </c>
      <c r="S176" s="5">
        <v>21612</v>
      </c>
      <c r="T176" s="5">
        <v>0</v>
      </c>
      <c r="U176" s="5">
        <v>36</v>
      </c>
      <c r="V176" s="5">
        <v>0</v>
      </c>
      <c r="W176" s="5">
        <v>0</v>
      </c>
      <c r="X176" s="123">
        <v>9634.5091888845745</v>
      </c>
      <c r="Y176" s="123">
        <v>67.295592052371404</v>
      </c>
      <c r="Z176" s="123">
        <v>-11977.490811115425</v>
      </c>
      <c r="AA176" s="112">
        <v>37863.620000000003</v>
      </c>
      <c r="AB176" s="112">
        <v>85076.64</v>
      </c>
      <c r="AC176" s="8">
        <v>2.2431864017457133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0" t="s">
        <v>1</v>
      </c>
      <c r="BJ176" s="191"/>
    </row>
    <row r="177" spans="1:62" ht="12.75" customHeight="1" x14ac:dyDescent="0.35">
      <c r="A177" s="108"/>
      <c r="B177" s="124" t="s">
        <v>21</v>
      </c>
      <c r="C177" s="5" t="s">
        <v>5</v>
      </c>
      <c r="D177" s="5" t="s">
        <v>308</v>
      </c>
      <c r="E177" s="5" t="s">
        <v>395</v>
      </c>
      <c r="F177" s="5">
        <v>1069142</v>
      </c>
      <c r="G177" s="7" t="s">
        <v>559</v>
      </c>
      <c r="H177" s="137">
        <v>1268.3405195457424</v>
      </c>
      <c r="I177" s="137">
        <v>634.17025977287119</v>
      </c>
      <c r="J177" s="123">
        <v>0</v>
      </c>
      <c r="K177" s="123">
        <v>0</v>
      </c>
      <c r="L177" s="128">
        <v>0</v>
      </c>
      <c r="M177" s="121">
        <v>0</v>
      </c>
      <c r="N177" s="128">
        <v>634.17025977287119</v>
      </c>
      <c r="O177" s="128">
        <v>12.286361804423869</v>
      </c>
      <c r="P177" s="121">
        <v>1.4363025244699781</v>
      </c>
      <c r="Q177" s="5">
        <v>2911</v>
      </c>
      <c r="R177" s="5">
        <v>0</v>
      </c>
      <c r="S177" s="5">
        <v>2911</v>
      </c>
      <c r="T177" s="5">
        <v>0</v>
      </c>
      <c r="U177" s="5">
        <v>0</v>
      </c>
      <c r="V177" s="5">
        <v>0</v>
      </c>
      <c r="W177" s="5">
        <v>0</v>
      </c>
      <c r="X177" s="123">
        <v>1268.3405195457422</v>
      </c>
      <c r="Y177" s="123">
        <v>68.853749173981569</v>
      </c>
      <c r="Z177" s="123">
        <v>-1642.6594804542576</v>
      </c>
      <c r="AA177" s="112">
        <v>21967.66</v>
      </c>
      <c r="AB177" s="112">
        <v>50418.52</v>
      </c>
      <c r="AC177" s="8">
        <v>2.2951249724660521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0" t="s">
        <v>1</v>
      </c>
      <c r="BJ177" s="191"/>
    </row>
    <row r="178" spans="1:62" ht="12.75" customHeight="1" x14ac:dyDescent="0.35">
      <c r="A178" s="108"/>
      <c r="B178" s="124" t="s">
        <v>1</v>
      </c>
      <c r="C178" s="5" t="s">
        <v>2</v>
      </c>
      <c r="D178" s="5" t="s">
        <v>310</v>
      </c>
      <c r="E178" s="5" t="s">
        <v>311</v>
      </c>
      <c r="F178" s="133">
        <v>1080744</v>
      </c>
      <c r="G178" s="134" t="s">
        <v>765</v>
      </c>
      <c r="H178" s="137">
        <v>11929.948300867307</v>
      </c>
      <c r="I178" s="137">
        <v>1789.4922451300961</v>
      </c>
      <c r="J178" s="123">
        <v>0</v>
      </c>
      <c r="K178" s="123">
        <v>0</v>
      </c>
      <c r="L178" s="128">
        <v>0</v>
      </c>
      <c r="M178" s="121">
        <v>0</v>
      </c>
      <c r="N178" s="128">
        <v>1789.4922451300961</v>
      </c>
      <c r="O178" s="128">
        <v>0</v>
      </c>
      <c r="P178" s="121">
        <v>0.69852822207140974</v>
      </c>
      <c r="Q178" s="5">
        <v>27621</v>
      </c>
      <c r="R178" s="5">
        <v>0</v>
      </c>
      <c r="S178" s="5">
        <v>27621</v>
      </c>
      <c r="T178" s="5">
        <v>0</v>
      </c>
      <c r="U178" s="5">
        <v>0</v>
      </c>
      <c r="V178" s="5">
        <v>0</v>
      </c>
      <c r="W178" s="5">
        <v>0</v>
      </c>
      <c r="X178" s="123">
        <v>11929.948300867307</v>
      </c>
      <c r="Y178" s="123">
        <v>69.457970739048264</v>
      </c>
      <c r="Z178" s="123">
        <v>-15691.051699132693</v>
      </c>
      <c r="AA178" s="112">
        <v>29944.17</v>
      </c>
      <c r="AB178" s="112">
        <v>69328.710000000006</v>
      </c>
      <c r="AC178" s="8">
        <v>2.315265691301609</v>
      </c>
      <c r="AD178" s="66"/>
      <c r="AE178" s="66">
        <v>21.992222251817914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2" t="s">
        <v>1</v>
      </c>
      <c r="BJ178" s="191"/>
    </row>
    <row r="179" spans="1:62" x14ac:dyDescent="0.35">
      <c r="A179" s="108"/>
      <c r="B179" s="124" t="s">
        <v>9</v>
      </c>
      <c r="C179" s="5" t="s">
        <v>5</v>
      </c>
      <c r="D179" s="5" t="s">
        <v>308</v>
      </c>
      <c r="E179" s="5" t="s">
        <v>315</v>
      </c>
      <c r="F179" s="140">
        <v>1080402</v>
      </c>
      <c r="G179" s="141" t="s">
        <v>742</v>
      </c>
      <c r="H179" s="137">
        <v>4608.4992919392007</v>
      </c>
      <c r="I179" s="137">
        <v>921.69985838784021</v>
      </c>
      <c r="J179" s="123">
        <v>0</v>
      </c>
      <c r="K179" s="123">
        <v>0</v>
      </c>
      <c r="L179" s="128">
        <v>0</v>
      </c>
      <c r="M179" s="121">
        <v>0</v>
      </c>
      <c r="N179" s="128">
        <v>921.69985838784021</v>
      </c>
      <c r="O179" s="128">
        <v>0</v>
      </c>
      <c r="P179" s="121">
        <v>0.37253805524812716</v>
      </c>
      <c r="Q179" s="5">
        <v>10893</v>
      </c>
      <c r="R179" s="5">
        <v>0</v>
      </c>
      <c r="S179" s="5">
        <v>10893</v>
      </c>
      <c r="T179" s="5">
        <v>0</v>
      </c>
      <c r="U179" s="5">
        <v>0</v>
      </c>
      <c r="V179" s="5">
        <v>0</v>
      </c>
      <c r="W179" s="5">
        <v>0</v>
      </c>
      <c r="X179" s="123">
        <v>4608.4992919392007</v>
      </c>
      <c r="Y179" s="123">
        <v>70.910285387608411</v>
      </c>
      <c r="Z179" s="123">
        <v>-6284.5007080607993</v>
      </c>
      <c r="AA179" s="112">
        <v>30001.33</v>
      </c>
      <c r="AB179" s="112">
        <v>70913.429999999993</v>
      </c>
      <c r="AC179" s="8">
        <v>2.363676179586947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2"/>
      <c r="BJ179" s="191"/>
    </row>
    <row r="180" spans="1:62" ht="12.75" customHeight="1" x14ac:dyDescent="0.35">
      <c r="A180" s="108"/>
      <c r="B180" s="124" t="s">
        <v>1</v>
      </c>
      <c r="C180" s="5" t="s">
        <v>24</v>
      </c>
      <c r="D180" s="5" t="s">
        <v>316</v>
      </c>
      <c r="E180" s="5" t="s">
        <v>317</v>
      </c>
      <c r="F180" s="5">
        <v>1003495</v>
      </c>
      <c r="G180" s="7" t="s">
        <v>129</v>
      </c>
      <c r="H180" s="137">
        <v>1097.6873297428735</v>
      </c>
      <c r="I180" s="137">
        <v>93.303423028144252</v>
      </c>
      <c r="J180" s="123">
        <v>0</v>
      </c>
      <c r="K180" s="123">
        <v>0</v>
      </c>
      <c r="L180" s="128">
        <v>0</v>
      </c>
      <c r="M180" s="121">
        <v>0</v>
      </c>
      <c r="N180" s="128">
        <v>93.303423028144252</v>
      </c>
      <c r="O180" s="128">
        <v>5.2559412424531065</v>
      </c>
      <c r="P180" s="121">
        <v>1.1751980414151035</v>
      </c>
      <c r="Q180" s="5">
        <v>2649</v>
      </c>
      <c r="R180" s="5">
        <v>0</v>
      </c>
      <c r="S180" s="5">
        <v>2649</v>
      </c>
      <c r="T180" s="5">
        <v>0</v>
      </c>
      <c r="U180" s="5">
        <v>0</v>
      </c>
      <c r="V180" s="5">
        <v>0</v>
      </c>
      <c r="W180" s="5">
        <v>0</v>
      </c>
      <c r="X180" s="123">
        <v>1097.6873297428735</v>
      </c>
      <c r="Y180" s="123">
        <v>72.397665388572307</v>
      </c>
      <c r="Z180" s="123">
        <v>-1551.3126702571265</v>
      </c>
      <c r="AA180" s="112">
        <v>6926.41</v>
      </c>
      <c r="AB180" s="112">
        <v>16715.189999999999</v>
      </c>
      <c r="AC180" s="8">
        <v>2.4132555129524107</v>
      </c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2"/>
      <c r="BJ180" s="191"/>
    </row>
    <row r="181" spans="1:62" ht="12.75" customHeight="1" x14ac:dyDescent="0.35">
      <c r="A181" s="108"/>
      <c r="B181" s="124" t="s">
        <v>1</v>
      </c>
      <c r="C181" s="5" t="s">
        <v>2</v>
      </c>
      <c r="D181" s="5" t="s">
        <v>306</v>
      </c>
      <c r="E181" s="5" t="s">
        <v>401</v>
      </c>
      <c r="F181" s="130">
        <v>1080893</v>
      </c>
      <c r="G181" s="131" t="s">
        <v>755</v>
      </c>
      <c r="H181" s="137">
        <v>3000</v>
      </c>
      <c r="I181" s="137">
        <v>1080</v>
      </c>
      <c r="J181" s="123">
        <v>0</v>
      </c>
      <c r="K181" s="123">
        <v>0</v>
      </c>
      <c r="L181" s="128">
        <v>0</v>
      </c>
      <c r="M181" s="121">
        <v>0</v>
      </c>
      <c r="N181" s="128">
        <v>1080</v>
      </c>
      <c r="O181" s="128">
        <v>0</v>
      </c>
      <c r="P181" s="121">
        <v>0.30282891782667265</v>
      </c>
      <c r="Q181" s="5">
        <v>7391</v>
      </c>
      <c r="R181" s="5">
        <v>0</v>
      </c>
      <c r="S181" s="5">
        <v>7391</v>
      </c>
      <c r="T181" s="5">
        <v>0</v>
      </c>
      <c r="U181" s="5">
        <v>0</v>
      </c>
      <c r="V181" s="5">
        <v>0</v>
      </c>
      <c r="W181" s="5">
        <v>0</v>
      </c>
      <c r="X181" s="123">
        <v>3000</v>
      </c>
      <c r="Y181" s="123">
        <v>73.91</v>
      </c>
      <c r="Z181" s="123">
        <v>-4391</v>
      </c>
      <c r="AA181" s="112">
        <v>16560</v>
      </c>
      <c r="AB181" s="112">
        <v>40798.32</v>
      </c>
      <c r="AC181" s="8">
        <v>2.4636666666666667</v>
      </c>
      <c r="AD181" s="66"/>
      <c r="AE181" s="66">
        <v>44.138526987503326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0" t="s">
        <v>1</v>
      </c>
      <c r="BJ181" s="191"/>
    </row>
    <row r="182" spans="1:62" x14ac:dyDescent="0.35">
      <c r="A182" s="108"/>
      <c r="B182" s="124" t="s">
        <v>1</v>
      </c>
      <c r="C182" s="5" t="s">
        <v>50</v>
      </c>
      <c r="D182" s="5" t="s">
        <v>310</v>
      </c>
      <c r="E182" s="5" t="s">
        <v>403</v>
      </c>
      <c r="F182" s="5">
        <v>1076303</v>
      </c>
      <c r="G182" s="7" t="s">
        <v>693</v>
      </c>
      <c r="H182" s="137">
        <v>7241.0600956478247</v>
      </c>
      <c r="I182" s="137">
        <v>267.9192235389695</v>
      </c>
      <c r="J182" s="123">
        <v>0</v>
      </c>
      <c r="K182" s="123">
        <v>0</v>
      </c>
      <c r="L182" s="128">
        <v>0</v>
      </c>
      <c r="M182" s="121">
        <v>0</v>
      </c>
      <c r="N182" s="128">
        <v>267.9192235389695</v>
      </c>
      <c r="O182" s="128">
        <v>0</v>
      </c>
      <c r="P182" s="121">
        <v>0.7616549563898567</v>
      </c>
      <c r="Q182" s="5">
        <v>19249</v>
      </c>
      <c r="R182" s="5">
        <v>0</v>
      </c>
      <c r="S182" s="5">
        <v>19249</v>
      </c>
      <c r="T182" s="5">
        <v>0</v>
      </c>
      <c r="U182" s="5">
        <v>0</v>
      </c>
      <c r="V182" s="5">
        <v>0</v>
      </c>
      <c r="W182" s="5">
        <v>0</v>
      </c>
      <c r="X182" s="123">
        <v>7241.0600956478247</v>
      </c>
      <c r="Y182" s="123">
        <v>79.749372657062082</v>
      </c>
      <c r="Z182" s="123">
        <v>-12007.939904352175</v>
      </c>
      <c r="AA182" s="112">
        <v>16364.8</v>
      </c>
      <c r="AB182" s="112">
        <v>43502.74</v>
      </c>
      <c r="AC182" s="8">
        <v>2.6583124219020693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0"/>
      <c r="BJ182" s="191"/>
    </row>
    <row r="183" spans="1:62" x14ac:dyDescent="0.35">
      <c r="A183" s="108"/>
      <c r="B183" s="124" t="s">
        <v>1</v>
      </c>
      <c r="C183" s="5" t="s">
        <v>24</v>
      </c>
      <c r="D183" s="5" t="s">
        <v>316</v>
      </c>
      <c r="E183" s="5" t="s">
        <v>317</v>
      </c>
      <c r="F183" s="5">
        <v>1034632</v>
      </c>
      <c r="G183" s="7" t="s">
        <v>57</v>
      </c>
      <c r="H183" s="137">
        <v>3851.4424975206243</v>
      </c>
      <c r="I183" s="137">
        <v>654.74522457850617</v>
      </c>
      <c r="J183" s="123">
        <v>0</v>
      </c>
      <c r="K183" s="123">
        <v>0</v>
      </c>
      <c r="L183" s="128">
        <v>0</v>
      </c>
      <c r="M183" s="121">
        <v>7.7892893427105757E-4</v>
      </c>
      <c r="N183" s="128">
        <v>654.74522457850617</v>
      </c>
      <c r="O183" s="128">
        <v>0</v>
      </c>
      <c r="P183" s="121">
        <v>0.83933296945318769</v>
      </c>
      <c r="Q183" s="5">
        <v>11773</v>
      </c>
      <c r="R183" s="5">
        <v>3</v>
      </c>
      <c r="S183" s="5">
        <v>11770</v>
      </c>
      <c r="T183" s="5">
        <v>0</v>
      </c>
      <c r="U183" s="5">
        <v>0</v>
      </c>
      <c r="V183" s="5">
        <v>0</v>
      </c>
      <c r="W183" s="5">
        <v>0</v>
      </c>
      <c r="X183" s="123">
        <v>3851.4424975206243</v>
      </c>
      <c r="Y183" s="123">
        <v>91.679935563703481</v>
      </c>
      <c r="Z183" s="123">
        <v>-7921.5575024793761</v>
      </c>
      <c r="AA183" s="112">
        <v>40478.660000000003</v>
      </c>
      <c r="AB183" s="112">
        <v>123702.7</v>
      </c>
      <c r="AC183" s="8">
        <v>3.05677678105772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0"/>
      <c r="BJ183" s="191"/>
    </row>
    <row r="184" spans="1:62" ht="12.75" customHeight="1" x14ac:dyDescent="0.35">
      <c r="A184" s="108"/>
      <c r="B184" s="124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7">
        <v>22.748535298438401</v>
      </c>
      <c r="I184" s="137">
        <v>18.198828238750721</v>
      </c>
      <c r="J184" s="123">
        <v>0</v>
      </c>
      <c r="K184" s="123">
        <v>0</v>
      </c>
      <c r="L184" s="128">
        <v>0</v>
      </c>
      <c r="M184" s="121">
        <v>0</v>
      </c>
      <c r="N184" s="128">
        <v>18.198828238750721</v>
      </c>
      <c r="O184" s="128">
        <v>0</v>
      </c>
      <c r="P184" s="121">
        <v>0.96709523102835615</v>
      </c>
      <c r="Q184" s="5">
        <v>75</v>
      </c>
      <c r="R184" s="5">
        <v>0</v>
      </c>
      <c r="S184" s="5">
        <v>75</v>
      </c>
      <c r="T184" s="5">
        <v>0</v>
      </c>
      <c r="U184" s="5">
        <v>0</v>
      </c>
      <c r="V184" s="5">
        <v>0</v>
      </c>
      <c r="W184" s="5">
        <v>0</v>
      </c>
      <c r="X184" s="123">
        <v>22.748535298438401</v>
      </c>
      <c r="Y184" s="123">
        <v>98.907466809718244</v>
      </c>
      <c r="Z184" s="123">
        <v>-52.251464701561602</v>
      </c>
      <c r="AA184" s="112">
        <v>767.54</v>
      </c>
      <c r="AB184" s="112">
        <v>2530.5</v>
      </c>
      <c r="AC184" s="8">
        <v>3.2969155603239413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2"/>
      <c r="BJ184" s="191" t="s">
        <v>841</v>
      </c>
    </row>
    <row r="185" spans="1:62" ht="12.75" customHeight="1" x14ac:dyDescent="0.35">
      <c r="A185" s="108"/>
      <c r="B185" s="124" t="s">
        <v>15</v>
      </c>
      <c r="C185" s="5" t="s">
        <v>5</v>
      </c>
      <c r="D185" s="5" t="s">
        <v>312</v>
      </c>
      <c r="E185" s="5" t="s">
        <v>315</v>
      </c>
      <c r="F185" s="5">
        <v>1078686</v>
      </c>
      <c r="G185" s="7" t="s">
        <v>720</v>
      </c>
      <c r="H185" s="137">
        <v>1864.0244102439024</v>
      </c>
      <c r="I185" s="137">
        <v>195.72256307560974</v>
      </c>
      <c r="J185" s="123">
        <v>0</v>
      </c>
      <c r="K185" s="123">
        <v>0</v>
      </c>
      <c r="L185" s="128">
        <v>0</v>
      </c>
      <c r="M185" s="121">
        <v>0</v>
      </c>
      <c r="N185" s="128">
        <v>195.72256307560974</v>
      </c>
      <c r="O185" s="128">
        <v>14.259077052110658</v>
      </c>
      <c r="P185" s="121">
        <v>1.4271770309838872</v>
      </c>
      <c r="Q185" s="5">
        <v>6270</v>
      </c>
      <c r="R185" s="5">
        <v>0</v>
      </c>
      <c r="S185" s="5">
        <v>6270</v>
      </c>
      <c r="T185" s="5">
        <v>0</v>
      </c>
      <c r="U185" s="5">
        <v>0</v>
      </c>
      <c r="V185" s="5">
        <v>0</v>
      </c>
      <c r="W185" s="5">
        <v>0</v>
      </c>
      <c r="X185" s="123">
        <v>1864.0244102439024</v>
      </c>
      <c r="Y185" s="123">
        <v>100.9106956788123</v>
      </c>
      <c r="Z185" s="123">
        <v>-4405.9755897560972</v>
      </c>
      <c r="AA185" s="112">
        <v>2609.63</v>
      </c>
      <c r="AB185" s="112">
        <v>8778</v>
      </c>
      <c r="AC185" s="8">
        <v>3.3636898559604096</v>
      </c>
      <c r="AD185" s="66"/>
      <c r="AE185" s="66">
        <v>104.89112227805695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0" t="s">
        <v>1</v>
      </c>
      <c r="BJ185" s="191"/>
    </row>
    <row r="186" spans="1:62" ht="12.75" customHeight="1" x14ac:dyDescent="0.35">
      <c r="A186" s="108"/>
      <c r="B186" s="124" t="s">
        <v>27</v>
      </c>
      <c r="C186" s="5" t="s">
        <v>5</v>
      </c>
      <c r="D186" s="5" t="s">
        <v>312</v>
      </c>
      <c r="E186" s="5" t="s">
        <v>319</v>
      </c>
      <c r="F186" s="176">
        <v>1079532</v>
      </c>
      <c r="G186" s="177" t="s">
        <v>846</v>
      </c>
      <c r="H186" s="137">
        <v>2700</v>
      </c>
      <c r="I186" s="137">
        <v>518.4</v>
      </c>
      <c r="J186" s="123">
        <v>0</v>
      </c>
      <c r="K186" s="123">
        <v>0</v>
      </c>
      <c r="L186" s="128">
        <v>0</v>
      </c>
      <c r="M186" s="121">
        <v>0</v>
      </c>
      <c r="N186" s="128">
        <v>518.4</v>
      </c>
      <c r="O186" s="128">
        <v>0</v>
      </c>
      <c r="P186" s="121">
        <v>0.33777777777777779</v>
      </c>
      <c r="Q186" s="5">
        <v>9644</v>
      </c>
      <c r="R186" s="5">
        <v>0</v>
      </c>
      <c r="S186" s="5">
        <v>9644</v>
      </c>
      <c r="T186" s="5">
        <v>0</v>
      </c>
      <c r="U186" s="5">
        <v>0</v>
      </c>
      <c r="V186" s="5">
        <v>0</v>
      </c>
      <c r="W186" s="5">
        <v>0</v>
      </c>
      <c r="X186" s="123">
        <v>2700</v>
      </c>
      <c r="Y186" s="123">
        <v>107.15555555555555</v>
      </c>
      <c r="Z186" s="123">
        <v>-6944</v>
      </c>
      <c r="AA186" s="112">
        <v>6102</v>
      </c>
      <c r="AB186" s="112">
        <v>21795.439999999999</v>
      </c>
      <c r="AC186" s="8">
        <v>3.5718518518518518</v>
      </c>
      <c r="AD186" s="66"/>
      <c r="AE186" s="66">
        <v>29.223956228478066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0" t="s">
        <v>1</v>
      </c>
      <c r="BJ186" s="191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395</v>
      </c>
      <c r="F187" s="5">
        <v>1069116</v>
      </c>
      <c r="G187" s="7" t="s">
        <v>555</v>
      </c>
      <c r="H187" s="137">
        <v>186.0258227180864</v>
      </c>
      <c r="I187" s="137">
        <v>148.82065817446912</v>
      </c>
      <c r="J187" s="123">
        <v>0</v>
      </c>
      <c r="K187" s="123">
        <v>0</v>
      </c>
      <c r="L187" s="128">
        <v>0</v>
      </c>
      <c r="M187" s="121">
        <v>0</v>
      </c>
      <c r="N187" s="128">
        <v>148.82065817446912</v>
      </c>
      <c r="O187" s="128">
        <v>0</v>
      </c>
      <c r="P187" s="121">
        <v>0.8904304834674085</v>
      </c>
      <c r="Q187" s="5">
        <v>715</v>
      </c>
      <c r="R187" s="5">
        <v>0</v>
      </c>
      <c r="S187" s="5">
        <v>715</v>
      </c>
      <c r="T187" s="5">
        <v>0</v>
      </c>
      <c r="U187" s="5">
        <v>0</v>
      </c>
      <c r="V187" s="5">
        <v>0</v>
      </c>
      <c r="W187" s="5">
        <v>0</v>
      </c>
      <c r="X187" s="123">
        <v>186.0258227180864</v>
      </c>
      <c r="Y187" s="123">
        <v>115.30657242412249</v>
      </c>
      <c r="Z187" s="123">
        <v>-528.97417728191363</v>
      </c>
      <c r="AA187" s="112">
        <v>6957.37</v>
      </c>
      <c r="AB187" s="112">
        <v>26741</v>
      </c>
      <c r="AC187" s="8">
        <v>3.8435524141374162</v>
      </c>
      <c r="AD187" s="66"/>
      <c r="AE187" s="66" t="s">
        <v>574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2" t="s">
        <v>1</v>
      </c>
      <c r="BJ187" s="191" t="s">
        <v>842</v>
      </c>
    </row>
    <row r="188" spans="1:62" ht="12.75" customHeight="1" x14ac:dyDescent="0.35">
      <c r="A188" s="108"/>
      <c r="B188" s="124" t="s">
        <v>27</v>
      </c>
      <c r="C188" s="5" t="s">
        <v>5</v>
      </c>
      <c r="D188" s="5" t="s">
        <v>312</v>
      </c>
      <c r="E188" s="5" t="s">
        <v>319</v>
      </c>
      <c r="F188" s="5">
        <v>1030816</v>
      </c>
      <c r="G188" s="7" t="s">
        <v>61</v>
      </c>
      <c r="H188" s="137">
        <v>2500</v>
      </c>
      <c r="I188" s="137">
        <v>480</v>
      </c>
      <c r="J188" s="123">
        <v>0</v>
      </c>
      <c r="K188" s="123">
        <v>0</v>
      </c>
      <c r="L188" s="128">
        <v>0</v>
      </c>
      <c r="M188" s="121">
        <v>0</v>
      </c>
      <c r="N188" s="128">
        <v>480</v>
      </c>
      <c r="O188" s="128">
        <v>8.3039999999999985</v>
      </c>
      <c r="P188" s="121">
        <v>1.2767999999999999</v>
      </c>
      <c r="Q188" s="5">
        <v>10128</v>
      </c>
      <c r="R188" s="5">
        <v>0</v>
      </c>
      <c r="S188" s="5">
        <v>10128</v>
      </c>
      <c r="T188" s="5">
        <v>0</v>
      </c>
      <c r="U188" s="5">
        <v>0</v>
      </c>
      <c r="V188" s="5">
        <v>0</v>
      </c>
      <c r="W188" s="5">
        <v>0</v>
      </c>
      <c r="X188" s="123">
        <v>2500</v>
      </c>
      <c r="Y188" s="123">
        <v>121.53599999999999</v>
      </c>
      <c r="Z188" s="123">
        <v>-7628</v>
      </c>
      <c r="AA188" s="112">
        <v>5600</v>
      </c>
      <c r="AB188" s="112">
        <v>22686.720000000001</v>
      </c>
      <c r="AC188" s="8">
        <v>4.0511999999999997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0"/>
      <c r="BJ188" s="191"/>
    </row>
    <row r="189" spans="1:62" ht="12.75" customHeight="1" x14ac:dyDescent="0.35">
      <c r="A189" s="108"/>
      <c r="B189" s="124" t="s">
        <v>21</v>
      </c>
      <c r="C189" s="5" t="s">
        <v>5</v>
      </c>
      <c r="D189" s="5" t="s">
        <v>308</v>
      </c>
      <c r="E189" s="5" t="s">
        <v>372</v>
      </c>
      <c r="F189" s="5">
        <v>1089904</v>
      </c>
      <c r="G189" s="165" t="s">
        <v>796</v>
      </c>
      <c r="H189" s="137">
        <v>980</v>
      </c>
      <c r="I189" s="137">
        <v>423.36</v>
      </c>
      <c r="J189" s="123">
        <v>0</v>
      </c>
      <c r="K189" s="123">
        <v>0</v>
      </c>
      <c r="L189" s="128">
        <v>0</v>
      </c>
      <c r="M189" s="121">
        <v>0</v>
      </c>
      <c r="N189" s="128">
        <v>423.36</v>
      </c>
      <c r="O189" s="128">
        <v>0</v>
      </c>
      <c r="P189" s="121">
        <v>0</v>
      </c>
      <c r="Q189" s="5">
        <v>4096</v>
      </c>
      <c r="R189" s="5">
        <v>0</v>
      </c>
      <c r="S189" s="5">
        <v>4096</v>
      </c>
      <c r="T189" s="5">
        <v>0</v>
      </c>
      <c r="U189" s="5">
        <v>0</v>
      </c>
      <c r="V189" s="5">
        <v>0</v>
      </c>
      <c r="W189" s="5">
        <v>0</v>
      </c>
      <c r="X189" s="123">
        <v>980</v>
      </c>
      <c r="Y189" s="123">
        <v>125.38775510204083</v>
      </c>
      <c r="Z189" s="123">
        <v>-3116</v>
      </c>
      <c r="AA189" s="112">
        <v>11417</v>
      </c>
      <c r="AB189" s="112">
        <v>47718.400000000001</v>
      </c>
      <c r="AC189" s="8">
        <v>4.1795918367346943</v>
      </c>
      <c r="AD189" s="66"/>
      <c r="AE189" s="66">
        <v>62.451143451143452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0" t="s">
        <v>1</v>
      </c>
      <c r="BJ189" s="191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135">
        <v>1068294</v>
      </c>
      <c r="G190" s="136" t="s">
        <v>565</v>
      </c>
      <c r="H190" s="137">
        <v>726.22346161944824</v>
      </c>
      <c r="I190" s="137">
        <v>108.93351924291723</v>
      </c>
      <c r="J190" s="123">
        <v>0</v>
      </c>
      <c r="K190" s="123">
        <v>0</v>
      </c>
      <c r="L190" s="128">
        <v>0</v>
      </c>
      <c r="M190" s="121">
        <v>0</v>
      </c>
      <c r="N190" s="128">
        <v>108.93351924291723</v>
      </c>
      <c r="O190" s="128">
        <v>0</v>
      </c>
      <c r="P190" s="121">
        <v>4.783901208974415E-2</v>
      </c>
      <c r="Q190" s="5">
        <v>3312</v>
      </c>
      <c r="R190" s="5">
        <v>0</v>
      </c>
      <c r="S190" s="5">
        <v>3312</v>
      </c>
      <c r="T190" s="5">
        <v>0</v>
      </c>
      <c r="U190" s="5">
        <v>0</v>
      </c>
      <c r="V190" s="5">
        <v>0</v>
      </c>
      <c r="W190" s="5">
        <v>2503</v>
      </c>
      <c r="X190" s="123">
        <v>726.22346161944824</v>
      </c>
      <c r="Y190" s="123">
        <v>136.81739196146501</v>
      </c>
      <c r="Z190" s="123">
        <v>-2585.7765383805518</v>
      </c>
      <c r="AA190" s="112">
        <v>1481.5</v>
      </c>
      <c r="AB190" s="112">
        <v>11862.6</v>
      </c>
      <c r="AC190" s="8">
        <v>4.5605797320488346</v>
      </c>
      <c r="AD190" s="66"/>
      <c r="AE190" s="66">
        <v>16.66190502303137</v>
      </c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0" t="s">
        <v>1</v>
      </c>
      <c r="BJ190" s="191"/>
    </row>
    <row r="191" spans="1:62" ht="12.75" customHeight="1" x14ac:dyDescent="0.35">
      <c r="A191" s="108"/>
      <c r="B191" s="124" t="s">
        <v>1</v>
      </c>
      <c r="C191" s="5" t="s">
        <v>24</v>
      </c>
      <c r="D191" s="5" t="s">
        <v>316</v>
      </c>
      <c r="E191" s="5" t="s">
        <v>317</v>
      </c>
      <c r="F191" s="5">
        <v>1003496</v>
      </c>
      <c r="G191" s="7" t="s">
        <v>280</v>
      </c>
      <c r="H191" s="137">
        <v>3717.5693446179553</v>
      </c>
      <c r="I191" s="137">
        <v>185.87846723089777</v>
      </c>
      <c r="J191" s="123">
        <v>0</v>
      </c>
      <c r="K191" s="123">
        <v>0</v>
      </c>
      <c r="L191" s="128">
        <v>0</v>
      </c>
      <c r="M191" s="121">
        <v>0</v>
      </c>
      <c r="N191" s="128">
        <v>185.87846723089777</v>
      </c>
      <c r="O191" s="128">
        <v>0</v>
      </c>
      <c r="P191" s="121">
        <v>0.96097007624952091</v>
      </c>
      <c r="Q191" s="5">
        <v>17443</v>
      </c>
      <c r="R191" s="5">
        <v>0</v>
      </c>
      <c r="S191" s="5">
        <v>17443</v>
      </c>
      <c r="T191" s="5">
        <v>0</v>
      </c>
      <c r="U191" s="5">
        <v>0</v>
      </c>
      <c r="V191" s="5">
        <v>0</v>
      </c>
      <c r="W191" s="5">
        <v>0</v>
      </c>
      <c r="X191" s="123">
        <v>3717.5693446179553</v>
      </c>
      <c r="Y191" s="123">
        <v>140.76132857012709</v>
      </c>
      <c r="Z191" s="123">
        <v>-13725.430655382044</v>
      </c>
      <c r="AA191" s="112">
        <v>16059.9</v>
      </c>
      <c r="AB191" s="112">
        <v>75353.759999999995</v>
      </c>
      <c r="AC191" s="8">
        <v>4.692044285670903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0" t="s">
        <v>1</v>
      </c>
      <c r="BJ191" s="191"/>
    </row>
    <row r="192" spans="1:62" ht="12.75" customHeight="1" x14ac:dyDescent="0.35">
      <c r="A192" s="108"/>
      <c r="B192" s="124" t="s">
        <v>15</v>
      </c>
      <c r="C192" s="5" t="s">
        <v>5</v>
      </c>
      <c r="D192" s="5" t="s">
        <v>308</v>
      </c>
      <c r="E192" s="5" t="s">
        <v>315</v>
      </c>
      <c r="F192" s="5">
        <v>1078734</v>
      </c>
      <c r="G192" s="7" t="s">
        <v>707</v>
      </c>
      <c r="H192" s="137">
        <v>567.56325924298801</v>
      </c>
      <c r="I192" s="137">
        <v>137.3503087368031</v>
      </c>
      <c r="J192" s="123">
        <v>0</v>
      </c>
      <c r="K192" s="123">
        <v>0</v>
      </c>
      <c r="L192" s="128">
        <v>0</v>
      </c>
      <c r="M192" s="121">
        <v>0</v>
      </c>
      <c r="N192" s="128">
        <v>137.3503087368031</v>
      </c>
      <c r="O192" s="128">
        <v>0</v>
      </c>
      <c r="P192" s="121">
        <v>6.7015788551746863E-2</v>
      </c>
      <c r="Q192" s="5">
        <v>2670</v>
      </c>
      <c r="R192" s="5">
        <v>0</v>
      </c>
      <c r="S192" s="5">
        <v>2670</v>
      </c>
      <c r="T192" s="5">
        <v>0</v>
      </c>
      <c r="U192" s="5">
        <v>0</v>
      </c>
      <c r="V192" s="5">
        <v>0</v>
      </c>
      <c r="W192" s="5">
        <v>0</v>
      </c>
      <c r="X192" s="123">
        <v>567.56325924298801</v>
      </c>
      <c r="Y192" s="123">
        <v>141.12964272359145</v>
      </c>
      <c r="Z192" s="123">
        <v>-2102.4367407570121</v>
      </c>
      <c r="AA192" s="112">
        <v>2412.14</v>
      </c>
      <c r="AB192" s="112">
        <v>11347.5</v>
      </c>
      <c r="AC192" s="8">
        <v>4.7043214241197147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0" t="s">
        <v>1</v>
      </c>
      <c r="BJ192" s="191"/>
    </row>
    <row r="193" spans="1:62" ht="12.75" customHeight="1" x14ac:dyDescent="0.35">
      <c r="A193" s="108"/>
      <c r="B193" s="124" t="s">
        <v>1</v>
      </c>
      <c r="C193" s="5" t="s">
        <v>2</v>
      </c>
      <c r="D193" s="5" t="s">
        <v>310</v>
      </c>
      <c r="E193" s="5" t="s">
        <v>311</v>
      </c>
      <c r="F193" s="5">
        <v>1080400</v>
      </c>
      <c r="G193" s="7" t="s">
        <v>753</v>
      </c>
      <c r="H193" s="137">
        <v>3428.609012466693</v>
      </c>
      <c r="I193" s="137">
        <v>0</v>
      </c>
      <c r="J193" s="123">
        <v>0</v>
      </c>
      <c r="K193" s="123">
        <v>0</v>
      </c>
      <c r="L193" s="128">
        <v>0</v>
      </c>
      <c r="M193" s="121">
        <v>2.3333077556849931E-3</v>
      </c>
      <c r="N193" s="128">
        <v>0</v>
      </c>
      <c r="O193" s="128">
        <v>0</v>
      </c>
      <c r="P193" s="121">
        <v>0.36922424756252648</v>
      </c>
      <c r="Q193" s="5">
        <v>16151</v>
      </c>
      <c r="R193" s="5">
        <v>8</v>
      </c>
      <c r="S193" s="5">
        <v>16143</v>
      </c>
      <c r="T193" s="5">
        <v>0</v>
      </c>
      <c r="U193" s="5">
        <v>0</v>
      </c>
      <c r="V193" s="5">
        <v>0</v>
      </c>
      <c r="W193" s="5">
        <v>4318</v>
      </c>
      <c r="X193" s="123">
        <v>3428.609012466693</v>
      </c>
      <c r="Y193" s="123">
        <v>141.24970162508566</v>
      </c>
      <c r="Z193" s="123">
        <v>-12722.390987533307</v>
      </c>
      <c r="AA193" s="112">
        <v>23623.119999999999</v>
      </c>
      <c r="AB193" s="112">
        <v>140976.29</v>
      </c>
      <c r="AC193" s="8">
        <v>4.7106566952585407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2"/>
      <c r="BJ193" s="191"/>
    </row>
    <row r="194" spans="1:62" ht="12.75" customHeight="1" x14ac:dyDescent="0.35">
      <c r="A194" s="108"/>
      <c r="B194" s="124" t="s">
        <v>1</v>
      </c>
      <c r="C194" s="5" t="s">
        <v>24</v>
      </c>
      <c r="D194" s="5" t="s">
        <v>316</v>
      </c>
      <c r="E194" s="5" t="s">
        <v>317</v>
      </c>
      <c r="F194" s="5">
        <v>1059902</v>
      </c>
      <c r="G194" s="7" t="s">
        <v>766</v>
      </c>
      <c r="H194" s="137">
        <v>1555</v>
      </c>
      <c r="I194" s="137">
        <v>77.75</v>
      </c>
      <c r="J194" s="123">
        <v>0</v>
      </c>
      <c r="K194" s="123">
        <v>0</v>
      </c>
      <c r="L194" s="128">
        <v>0</v>
      </c>
      <c r="M194" s="121">
        <v>0</v>
      </c>
      <c r="N194" s="128">
        <v>77.75</v>
      </c>
      <c r="O194" s="128">
        <v>0</v>
      </c>
      <c r="P194" s="121">
        <v>0.21114369501466276</v>
      </c>
      <c r="Q194" s="5">
        <v>7488</v>
      </c>
      <c r="R194" s="5">
        <v>0</v>
      </c>
      <c r="S194" s="5">
        <v>7488</v>
      </c>
      <c r="T194" s="5">
        <v>0</v>
      </c>
      <c r="U194" s="5">
        <v>0</v>
      </c>
      <c r="V194" s="5">
        <v>0</v>
      </c>
      <c r="W194" s="5">
        <v>0</v>
      </c>
      <c r="X194" s="123">
        <v>1554.9999999999998</v>
      </c>
      <c r="Y194" s="123">
        <v>144.46302250803859</v>
      </c>
      <c r="Z194" s="123">
        <v>-5933</v>
      </c>
      <c r="AA194" s="112">
        <v>7775</v>
      </c>
      <c r="AB194" s="112">
        <v>37440</v>
      </c>
      <c r="AC194" s="8">
        <v>4.8154340836012857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0"/>
      <c r="BJ194" s="191"/>
    </row>
    <row r="195" spans="1:62" ht="12.75" customHeight="1" x14ac:dyDescent="0.35">
      <c r="A195" s="108"/>
      <c r="B195" s="124" t="s">
        <v>1</v>
      </c>
      <c r="C195" s="5" t="s">
        <v>50</v>
      </c>
      <c r="D195" s="5" t="s">
        <v>320</v>
      </c>
      <c r="E195" s="5" t="s">
        <v>402</v>
      </c>
      <c r="F195" s="140">
        <v>1060961</v>
      </c>
      <c r="G195" s="141" t="s">
        <v>726</v>
      </c>
      <c r="H195" s="137">
        <v>8812.4391868635212</v>
      </c>
      <c r="I195" s="137">
        <v>1586.2390536354337</v>
      </c>
      <c r="J195" s="123">
        <v>0</v>
      </c>
      <c r="K195" s="123">
        <v>0</v>
      </c>
      <c r="L195" s="128">
        <v>0</v>
      </c>
      <c r="M195" s="121">
        <v>0</v>
      </c>
      <c r="N195" s="128">
        <v>1586.2390536354337</v>
      </c>
      <c r="O195" s="128">
        <v>0</v>
      </c>
      <c r="P195" s="121">
        <v>0.16065851015014998</v>
      </c>
      <c r="Q195" s="5">
        <v>44800</v>
      </c>
      <c r="R195" s="5">
        <v>0</v>
      </c>
      <c r="S195" s="5">
        <v>44800</v>
      </c>
      <c r="T195" s="5">
        <v>0</v>
      </c>
      <c r="U195" s="5">
        <v>0</v>
      </c>
      <c r="V195" s="5">
        <v>0</v>
      </c>
      <c r="W195" s="5">
        <v>0</v>
      </c>
      <c r="X195" s="123">
        <v>8812.4391868635212</v>
      </c>
      <c r="Y195" s="123">
        <v>152.51169074771792</v>
      </c>
      <c r="Z195" s="123">
        <v>-35987.560813136479</v>
      </c>
      <c r="AA195" s="112">
        <v>60100.84</v>
      </c>
      <c r="AB195" s="112">
        <v>305536</v>
      </c>
      <c r="AC195" s="8">
        <v>5.0837230249239305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0"/>
      <c r="BJ195" s="191" t="s">
        <v>845</v>
      </c>
    </row>
    <row r="196" spans="1:62" ht="12.75" customHeight="1" x14ac:dyDescent="0.35">
      <c r="A196" s="108"/>
      <c r="B196" s="124" t="s">
        <v>21</v>
      </c>
      <c r="C196" s="5" t="s">
        <v>5</v>
      </c>
      <c r="D196" s="5" t="s">
        <v>308</v>
      </c>
      <c r="E196" s="5" t="s">
        <v>395</v>
      </c>
      <c r="F196" s="5">
        <v>1069938</v>
      </c>
      <c r="G196" s="7" t="s">
        <v>567</v>
      </c>
      <c r="H196" s="137">
        <v>1120.4557589531519</v>
      </c>
      <c r="I196" s="137">
        <v>212.88659420109886</v>
      </c>
      <c r="J196" s="123">
        <v>0</v>
      </c>
      <c r="K196" s="123">
        <v>0</v>
      </c>
      <c r="L196" s="128">
        <v>0</v>
      </c>
      <c r="M196" s="121">
        <v>0</v>
      </c>
      <c r="N196" s="128">
        <v>212.88659420109886</v>
      </c>
      <c r="O196" s="128">
        <v>19.292441543253524</v>
      </c>
      <c r="P196" s="121">
        <v>1.6362670111836626</v>
      </c>
      <c r="Q196" s="5">
        <v>5719</v>
      </c>
      <c r="R196" s="5">
        <v>0</v>
      </c>
      <c r="S196" s="5">
        <v>5719</v>
      </c>
      <c r="T196" s="5">
        <v>0</v>
      </c>
      <c r="U196" s="5">
        <v>0</v>
      </c>
      <c r="V196" s="5">
        <v>0</v>
      </c>
      <c r="W196" s="5">
        <v>0</v>
      </c>
      <c r="X196" s="123">
        <v>1120.4557589531521</v>
      </c>
      <c r="Y196" s="123">
        <v>153.12518912866204</v>
      </c>
      <c r="Z196" s="123">
        <v>-4598.5442410468477</v>
      </c>
      <c r="AA196" s="112">
        <v>8817.99</v>
      </c>
      <c r="AB196" s="112">
        <v>45008.53</v>
      </c>
      <c r="AC196" s="8">
        <v>5.1041729709554025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2"/>
      <c r="BJ196" s="191"/>
    </row>
    <row r="197" spans="1:62" ht="12.75" customHeight="1" x14ac:dyDescent="0.35">
      <c r="A197" s="108"/>
      <c r="B197" s="124" t="s">
        <v>21</v>
      </c>
      <c r="C197" s="5" t="s">
        <v>5</v>
      </c>
      <c r="D197" s="5" t="s">
        <v>308</v>
      </c>
      <c r="E197" s="5" t="s">
        <v>395</v>
      </c>
      <c r="F197" s="56">
        <v>1069936</v>
      </c>
      <c r="G197" s="65" t="s">
        <v>610</v>
      </c>
      <c r="H197" s="137">
        <v>255.069321854912</v>
      </c>
      <c r="I197" s="137">
        <v>48.463171152433283</v>
      </c>
      <c r="J197" s="123">
        <v>0</v>
      </c>
      <c r="K197" s="123">
        <v>0</v>
      </c>
      <c r="L197" s="128">
        <v>0</v>
      </c>
      <c r="M197" s="121">
        <v>0</v>
      </c>
      <c r="N197" s="128">
        <v>48.463171152433283</v>
      </c>
      <c r="O197" s="128">
        <v>20.692101684242587</v>
      </c>
      <c r="P197" s="121">
        <v>1.5655674339597687</v>
      </c>
      <c r="Q197" s="5">
        <v>1317</v>
      </c>
      <c r="R197" s="5">
        <v>0</v>
      </c>
      <c r="S197" s="5">
        <v>1317</v>
      </c>
      <c r="T197" s="5">
        <v>0</v>
      </c>
      <c r="U197" s="5">
        <v>0</v>
      </c>
      <c r="V197" s="5">
        <v>0</v>
      </c>
      <c r="W197" s="5">
        <v>0</v>
      </c>
      <c r="X197" s="123">
        <v>255.069321854912</v>
      </c>
      <c r="Y197" s="123">
        <v>154.8990670954698</v>
      </c>
      <c r="Z197" s="123">
        <v>-1061.930678145088</v>
      </c>
      <c r="AA197" s="112">
        <v>2083.92</v>
      </c>
      <c r="AB197" s="112">
        <v>10759.89</v>
      </c>
      <c r="AC197" s="8">
        <v>5.1633022365156602</v>
      </c>
      <c r="AD197" s="66"/>
      <c r="AE197" s="66">
        <v>33.495568685376661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0" t="s">
        <v>1</v>
      </c>
      <c r="BJ197" s="191"/>
    </row>
    <row r="198" spans="1:62" ht="12.75" customHeight="1" x14ac:dyDescent="0.35">
      <c r="A198" s="108"/>
      <c r="B198" s="124" t="s">
        <v>1</v>
      </c>
      <c r="C198" s="5" t="s">
        <v>2</v>
      </c>
      <c r="D198" s="5" t="s">
        <v>310</v>
      </c>
      <c r="E198" s="5" t="s">
        <v>311</v>
      </c>
      <c r="F198" s="5">
        <v>1080399</v>
      </c>
      <c r="G198" s="7" t="s">
        <v>752</v>
      </c>
      <c r="H198" s="137">
        <v>7241.2039788742222</v>
      </c>
      <c r="I198" s="137">
        <v>0</v>
      </c>
      <c r="J198" s="123">
        <v>0</v>
      </c>
      <c r="K198" s="123">
        <v>0</v>
      </c>
      <c r="L198" s="128">
        <v>0</v>
      </c>
      <c r="M198" s="121">
        <v>0</v>
      </c>
      <c r="N198" s="128">
        <v>0</v>
      </c>
      <c r="O198" s="128">
        <v>0</v>
      </c>
      <c r="P198" s="121">
        <v>0.40200379952958204</v>
      </c>
      <c r="Q198" s="5">
        <v>38656</v>
      </c>
      <c r="R198" s="5">
        <v>0</v>
      </c>
      <c r="S198" s="5">
        <v>38656</v>
      </c>
      <c r="T198" s="5">
        <v>0</v>
      </c>
      <c r="U198" s="5">
        <v>0</v>
      </c>
      <c r="V198" s="5">
        <v>0</v>
      </c>
      <c r="W198" s="5">
        <v>1164</v>
      </c>
      <c r="X198" s="123">
        <v>7241.2039788742222</v>
      </c>
      <c r="Y198" s="123">
        <v>160.15016334069537</v>
      </c>
      <c r="Z198" s="123">
        <v>-31414.796021125778</v>
      </c>
      <c r="AA198" s="112">
        <v>16220.3</v>
      </c>
      <c r="AB198" s="112">
        <v>89196.800000000003</v>
      </c>
      <c r="AC198" s="8">
        <v>5.3383387780231795</v>
      </c>
      <c r="AD198" s="66"/>
      <c r="AE198" s="66">
        <v>0</v>
      </c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0" t="s">
        <v>1</v>
      </c>
      <c r="BJ198" s="191"/>
    </row>
    <row r="199" spans="1:62" ht="12.75" customHeight="1" x14ac:dyDescent="0.35">
      <c r="A199" s="108"/>
      <c r="B199" s="124" t="s">
        <v>1</v>
      </c>
      <c r="C199" s="5" t="s">
        <v>50</v>
      </c>
      <c r="D199" s="5" t="s">
        <v>320</v>
      </c>
      <c r="E199" s="5" t="s">
        <v>402</v>
      </c>
      <c r="F199" s="140">
        <v>1060962</v>
      </c>
      <c r="G199" s="141" t="s">
        <v>727</v>
      </c>
      <c r="H199" s="137">
        <v>8403.7801201614129</v>
      </c>
      <c r="I199" s="137">
        <v>1512.6804216290543</v>
      </c>
      <c r="J199" s="123">
        <v>0</v>
      </c>
      <c r="K199" s="123">
        <v>0</v>
      </c>
      <c r="L199" s="128">
        <v>0</v>
      </c>
      <c r="M199" s="121">
        <v>0</v>
      </c>
      <c r="N199" s="128">
        <v>1512.6804216290543</v>
      </c>
      <c r="O199" s="128">
        <v>0</v>
      </c>
      <c r="P199" s="121">
        <v>0.12578463818575336</v>
      </c>
      <c r="Q199" s="5">
        <v>48527</v>
      </c>
      <c r="R199" s="5">
        <v>0</v>
      </c>
      <c r="S199" s="5">
        <v>48527</v>
      </c>
      <c r="T199" s="5">
        <v>0</v>
      </c>
      <c r="U199" s="5">
        <v>0</v>
      </c>
      <c r="V199" s="5">
        <v>0</v>
      </c>
      <c r="W199" s="5">
        <v>0</v>
      </c>
      <c r="X199" s="123">
        <v>8403.7801201614129</v>
      </c>
      <c r="Y199" s="123">
        <v>173.23275706695168</v>
      </c>
      <c r="Z199" s="123">
        <v>-40123.219879838587</v>
      </c>
      <c r="AA199" s="112">
        <v>57313.78</v>
      </c>
      <c r="AB199" s="112">
        <v>330954.14</v>
      </c>
      <c r="AC199" s="8">
        <v>5.7744252355650563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2"/>
      <c r="BJ199" s="191"/>
    </row>
    <row r="200" spans="1:62" ht="12.75" customHeight="1" x14ac:dyDescent="0.35">
      <c r="A200" s="108"/>
      <c r="B200" s="124" t="s">
        <v>1</v>
      </c>
      <c r="C200" s="5" t="s">
        <v>24</v>
      </c>
      <c r="D200" s="5" t="s">
        <v>316</v>
      </c>
      <c r="E200" s="5" t="s">
        <v>317</v>
      </c>
      <c r="F200" s="5">
        <v>1032132</v>
      </c>
      <c r="G200" s="7" t="s">
        <v>96</v>
      </c>
      <c r="H200" s="137">
        <v>2655.7492789714947</v>
      </c>
      <c r="I200" s="137">
        <v>132.78746394857475</v>
      </c>
      <c r="J200" s="123">
        <v>0</v>
      </c>
      <c r="K200" s="123">
        <v>0</v>
      </c>
      <c r="L200" s="128">
        <v>0</v>
      </c>
      <c r="M200" s="121">
        <v>0</v>
      </c>
      <c r="N200" s="128">
        <v>132.78746394857475</v>
      </c>
      <c r="O200" s="128">
        <v>0</v>
      </c>
      <c r="P200" s="121">
        <v>0.63282740321142639</v>
      </c>
      <c r="Q200" s="5">
        <v>16222</v>
      </c>
      <c r="R200" s="5">
        <v>0</v>
      </c>
      <c r="S200" s="5">
        <v>16222</v>
      </c>
      <c r="T200" s="5">
        <v>0</v>
      </c>
      <c r="U200" s="5">
        <v>0</v>
      </c>
      <c r="V200" s="5">
        <v>0</v>
      </c>
      <c r="W200" s="5">
        <v>2</v>
      </c>
      <c r="X200" s="123">
        <v>2655.7492789714947</v>
      </c>
      <c r="Y200" s="123">
        <v>183.24771990090542</v>
      </c>
      <c r="Z200" s="123">
        <v>-13566.250721028506</v>
      </c>
      <c r="AA200" s="112">
        <v>11525.95</v>
      </c>
      <c r="AB200" s="112">
        <v>70412.160000000003</v>
      </c>
      <c r="AC200" s="8">
        <v>6.108257330030181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2"/>
      <c r="BJ200" s="191"/>
    </row>
    <row r="201" spans="1:62" ht="12.75" customHeight="1" x14ac:dyDescent="0.35">
      <c r="A201" s="108"/>
      <c r="B201" s="124" t="s">
        <v>31</v>
      </c>
      <c r="C201" s="5" t="s">
        <v>5</v>
      </c>
      <c r="D201" s="5" t="s">
        <v>396</v>
      </c>
      <c r="E201" s="5" t="s">
        <v>397</v>
      </c>
      <c r="F201" s="5">
        <v>1071794</v>
      </c>
      <c r="G201" s="7" t="s">
        <v>660</v>
      </c>
      <c r="H201" s="137">
        <v>290.83467191421039</v>
      </c>
      <c r="I201" s="137">
        <v>145.41733595710519</v>
      </c>
      <c r="J201" s="123">
        <v>0</v>
      </c>
      <c r="K201" s="123">
        <v>0</v>
      </c>
      <c r="L201" s="128">
        <v>0</v>
      </c>
      <c r="M201" s="121">
        <v>0</v>
      </c>
      <c r="N201" s="128">
        <v>145.41733595710519</v>
      </c>
      <c r="O201" s="128">
        <v>39.506981490120573</v>
      </c>
      <c r="P201" s="121">
        <v>2.532</v>
      </c>
      <c r="Q201" s="5">
        <v>1997</v>
      </c>
      <c r="R201" s="5">
        <v>0</v>
      </c>
      <c r="S201" s="5">
        <v>1997</v>
      </c>
      <c r="T201" s="5">
        <v>0</v>
      </c>
      <c r="U201" s="5">
        <v>0</v>
      </c>
      <c r="V201" s="5">
        <v>0</v>
      </c>
      <c r="W201" s="5">
        <v>0</v>
      </c>
      <c r="X201" s="123">
        <v>290.83467191421039</v>
      </c>
      <c r="Y201" s="123">
        <v>205.99332124222138</v>
      </c>
      <c r="Z201" s="123">
        <v>-1706.1653280857895</v>
      </c>
      <c r="AA201" s="112">
        <v>1974.77</v>
      </c>
      <c r="AB201" s="112">
        <v>13559.63</v>
      </c>
      <c r="AC201" s="8">
        <v>6.8664440414073793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0"/>
      <c r="BJ201" s="191"/>
    </row>
    <row r="202" spans="1:62" ht="12.75" customHeight="1" x14ac:dyDescent="0.35">
      <c r="A202" s="108"/>
      <c r="B202" s="124" t="s">
        <v>1</v>
      </c>
      <c r="C202" s="5" t="s">
        <v>2</v>
      </c>
      <c r="D202" s="5" t="s">
        <v>396</v>
      </c>
      <c r="E202" s="5" t="s">
        <v>397</v>
      </c>
      <c r="F202" s="5">
        <v>1067716</v>
      </c>
      <c r="G202" s="7" t="s">
        <v>639</v>
      </c>
      <c r="H202" s="137">
        <v>232.66773753136832</v>
      </c>
      <c r="I202" s="137">
        <v>116.33386876568416</v>
      </c>
      <c r="J202" s="123">
        <v>0</v>
      </c>
      <c r="K202" s="123">
        <v>0</v>
      </c>
      <c r="L202" s="128">
        <v>0</v>
      </c>
      <c r="M202" s="121">
        <v>0</v>
      </c>
      <c r="N202" s="128">
        <v>116.33386876568416</v>
      </c>
      <c r="O202" s="128">
        <v>0</v>
      </c>
      <c r="P202" s="121">
        <v>0.82499999999999996</v>
      </c>
      <c r="Q202" s="5">
        <v>1748</v>
      </c>
      <c r="R202" s="5">
        <v>0</v>
      </c>
      <c r="S202" s="5">
        <v>1748</v>
      </c>
      <c r="T202" s="5">
        <v>0</v>
      </c>
      <c r="U202" s="5">
        <v>0</v>
      </c>
      <c r="V202" s="5">
        <v>0</v>
      </c>
      <c r="W202" s="5">
        <v>0</v>
      </c>
      <c r="X202" s="123">
        <v>232.66773753136832</v>
      </c>
      <c r="Y202" s="123">
        <v>225.38578213032233</v>
      </c>
      <c r="Z202" s="123">
        <v>-1515.3322624686316</v>
      </c>
      <c r="AA202" s="112">
        <v>3524.92</v>
      </c>
      <c r="AB202" s="112">
        <v>26482.2</v>
      </c>
      <c r="AC202" s="8">
        <v>7.5128594043440771</v>
      </c>
      <c r="AD202" s="66"/>
      <c r="AE202" s="66">
        <v>31.022079772079774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0" t="s">
        <v>1</v>
      </c>
      <c r="BJ202" s="191"/>
    </row>
    <row r="203" spans="1:62" ht="12.75" customHeight="1" x14ac:dyDescent="0.35">
      <c r="A203" s="108"/>
      <c r="B203" s="124" t="s">
        <v>1</v>
      </c>
      <c r="C203" s="5" t="s">
        <v>2</v>
      </c>
      <c r="D203" s="5" t="s">
        <v>396</v>
      </c>
      <c r="E203" s="5" t="s">
        <v>397</v>
      </c>
      <c r="F203" s="5">
        <v>1071748</v>
      </c>
      <c r="G203" s="7" t="s">
        <v>640</v>
      </c>
      <c r="H203" s="137">
        <v>290.83467191421039</v>
      </c>
      <c r="I203" s="137">
        <v>145.41733595710519</v>
      </c>
      <c r="J203" s="123">
        <v>0</v>
      </c>
      <c r="K203" s="123">
        <v>0</v>
      </c>
      <c r="L203" s="128">
        <v>0</v>
      </c>
      <c r="M203" s="121">
        <v>1.3753518360355292E-2</v>
      </c>
      <c r="N203" s="128">
        <v>145.41733595710519</v>
      </c>
      <c r="O203" s="128">
        <v>0</v>
      </c>
      <c r="P203" s="121">
        <v>0.53600000000000003</v>
      </c>
      <c r="Q203" s="5">
        <v>3521</v>
      </c>
      <c r="R203" s="5">
        <v>4</v>
      </c>
      <c r="S203" s="5">
        <v>3517</v>
      </c>
      <c r="T203" s="5">
        <v>0</v>
      </c>
      <c r="U203" s="5">
        <v>0</v>
      </c>
      <c r="V203" s="5">
        <v>0</v>
      </c>
      <c r="W203" s="5">
        <v>0</v>
      </c>
      <c r="X203" s="123">
        <v>290.83467191421039</v>
      </c>
      <c r="Y203" s="123">
        <v>362.7834305502717</v>
      </c>
      <c r="Z203" s="123">
        <v>-3230.1653280857895</v>
      </c>
      <c r="AA203" s="112">
        <v>5377.53</v>
      </c>
      <c r="AB203" s="112">
        <v>65029.33</v>
      </c>
      <c r="AC203" s="8">
        <v>12.106534536702744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0" t="s">
        <v>1</v>
      </c>
      <c r="BJ203" s="191"/>
    </row>
    <row r="204" spans="1:62" ht="12.75" customHeight="1" x14ac:dyDescent="0.35">
      <c r="A204" s="108"/>
      <c r="B204" s="124" t="s">
        <v>1</v>
      </c>
      <c r="C204" s="5" t="s">
        <v>2</v>
      </c>
      <c r="D204" s="5" t="s">
        <v>396</v>
      </c>
      <c r="E204" s="5" t="s">
        <v>397</v>
      </c>
      <c r="F204" s="5">
        <v>1067719</v>
      </c>
      <c r="G204" s="7" t="s">
        <v>699</v>
      </c>
      <c r="H204" s="137">
        <v>116.33386876568416</v>
      </c>
      <c r="I204" s="137">
        <v>116.33386876568416</v>
      </c>
      <c r="J204" s="123">
        <v>0</v>
      </c>
      <c r="K204" s="123">
        <v>0</v>
      </c>
      <c r="L204" s="128">
        <v>0</v>
      </c>
      <c r="M204" s="121">
        <v>0</v>
      </c>
      <c r="N204" s="128">
        <v>116.33386876568416</v>
      </c>
      <c r="O204" s="128">
        <v>5.1575693851332334</v>
      </c>
      <c r="P204" s="121">
        <v>1.2</v>
      </c>
      <c r="Q204" s="5">
        <v>1904</v>
      </c>
      <c r="R204" s="5">
        <v>0</v>
      </c>
      <c r="S204" s="5">
        <v>1904</v>
      </c>
      <c r="T204" s="5">
        <v>0</v>
      </c>
      <c r="U204" s="5">
        <v>0</v>
      </c>
      <c r="V204" s="5">
        <v>0</v>
      </c>
      <c r="W204" s="5">
        <v>0</v>
      </c>
      <c r="X204" s="123">
        <v>116.33386876568416</v>
      </c>
      <c r="Y204" s="123">
        <v>491.00060546468387</v>
      </c>
      <c r="Z204" s="123">
        <v>-1787.6661312343158</v>
      </c>
      <c r="AA204" s="112">
        <v>4169.41</v>
      </c>
      <c r="AB204" s="112">
        <v>68239.360000000001</v>
      </c>
      <c r="AC204" s="8">
        <v>16.366686848822795</v>
      </c>
      <c r="AD204" s="66"/>
      <c r="AE204" s="66">
        <v>12.431794871794875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0" t="s">
        <v>1</v>
      </c>
      <c r="BJ204" s="191" t="s">
        <v>843</v>
      </c>
    </row>
    <row r="205" spans="1:62" ht="12.75" customHeight="1" x14ac:dyDescent="0.35">
      <c r="A205" s="108"/>
      <c r="B205" s="124" t="s">
        <v>15</v>
      </c>
      <c r="C205" s="5" t="s">
        <v>5</v>
      </c>
      <c r="D205" s="5" t="s">
        <v>308</v>
      </c>
      <c r="E205" s="5" t="s">
        <v>315</v>
      </c>
      <c r="F205" s="5">
        <v>1058339</v>
      </c>
      <c r="G205" s="7" t="s">
        <v>232</v>
      </c>
      <c r="H205" s="137">
        <v>272.55457483929598</v>
      </c>
      <c r="I205" s="137">
        <v>85.037027349860352</v>
      </c>
      <c r="J205" s="123">
        <v>0</v>
      </c>
      <c r="K205" s="123">
        <v>0</v>
      </c>
      <c r="L205" s="128">
        <v>0</v>
      </c>
      <c r="M205" s="121">
        <v>8.8055759159980762E-2</v>
      </c>
      <c r="N205" s="128">
        <v>85.037027349860352</v>
      </c>
      <c r="O205" s="128">
        <v>130.73013482865505</v>
      </c>
      <c r="P205" s="121">
        <v>5.283148077471675</v>
      </c>
      <c r="Q205" s="5">
        <v>12871</v>
      </c>
      <c r="R205" s="5">
        <v>24</v>
      </c>
      <c r="S205" s="5">
        <v>12847</v>
      </c>
      <c r="T205" s="5">
        <v>2808</v>
      </c>
      <c r="U205" s="5">
        <v>0</v>
      </c>
      <c r="V205" s="5">
        <v>0</v>
      </c>
      <c r="W205" s="5">
        <v>0</v>
      </c>
      <c r="X205" s="123">
        <v>624</v>
      </c>
      <c r="Y205" s="123">
        <v>617.64423076923072</v>
      </c>
      <c r="Z205" s="123">
        <v>-15406.445425160704</v>
      </c>
      <c r="AA205" s="112">
        <v>1324.62</v>
      </c>
      <c r="AB205" s="112">
        <v>76083.3</v>
      </c>
      <c r="AC205" s="8">
        <v>57.526093661222433</v>
      </c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2" t="s">
        <v>1</v>
      </c>
      <c r="BJ205" s="191"/>
    </row>
    <row r="206" spans="1:62" ht="12.75" customHeight="1" x14ac:dyDescent="0.35">
      <c r="A206" s="108"/>
      <c r="B206" s="124" t="s">
        <v>1</v>
      </c>
      <c r="C206" s="5" t="s">
        <v>24</v>
      </c>
      <c r="D206" s="5" t="s">
        <v>316</v>
      </c>
      <c r="E206" s="5" t="s">
        <v>317</v>
      </c>
      <c r="F206" s="5">
        <v>1064331</v>
      </c>
      <c r="G206" s="7" t="s">
        <v>596</v>
      </c>
      <c r="H206" s="137">
        <v>98.994101193753608</v>
      </c>
      <c r="I206" s="137">
        <v>8.4144986014690577</v>
      </c>
      <c r="J206" s="123">
        <v>0</v>
      </c>
      <c r="K206" s="123">
        <v>0</v>
      </c>
      <c r="L206" s="128">
        <v>0</v>
      </c>
      <c r="M206" s="121">
        <v>0</v>
      </c>
      <c r="N206" s="128">
        <v>8.4144986014690577</v>
      </c>
      <c r="O206" s="128">
        <v>156.07169293802608</v>
      </c>
      <c r="P206" s="121">
        <v>6.202389764600869</v>
      </c>
      <c r="Q206" s="5">
        <v>3011</v>
      </c>
      <c r="R206" s="5">
        <v>0</v>
      </c>
      <c r="S206" s="5">
        <v>3011</v>
      </c>
      <c r="T206" s="5">
        <v>0</v>
      </c>
      <c r="U206" s="5">
        <v>12</v>
      </c>
      <c r="V206" s="5">
        <v>0</v>
      </c>
      <c r="W206" s="5">
        <v>0</v>
      </c>
      <c r="X206" s="123">
        <v>98.994101193753608</v>
      </c>
      <c r="Y206" s="123">
        <v>912.47861145992908</v>
      </c>
      <c r="Z206" s="123">
        <v>-2912.0058988062465</v>
      </c>
      <c r="AA206" s="112">
        <v>651.38</v>
      </c>
      <c r="AB206" s="112">
        <v>19891.34</v>
      </c>
      <c r="AC206" s="8">
        <v>30.415953715330971</v>
      </c>
      <c r="AD206" s="66"/>
      <c r="AE206" s="66">
        <v>105.57129340524175</v>
      </c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0" t="s">
        <v>1</v>
      </c>
      <c r="BJ206" s="191" t="s">
        <v>804</v>
      </c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1058893</v>
      </c>
      <c r="G207" s="7" t="s">
        <v>261</v>
      </c>
      <c r="H207" s="137">
        <v>5.0000000000000001E-4</v>
      </c>
      <c r="I207" s="137">
        <v>1.4999999999999999E-4</v>
      </c>
      <c r="J207" s="123">
        <v>0</v>
      </c>
      <c r="K207" s="123">
        <v>0</v>
      </c>
      <c r="L207" s="128">
        <v>0</v>
      </c>
      <c r="M207" s="121">
        <v>0</v>
      </c>
      <c r="N207" s="128">
        <v>1.4999999999999999E-4</v>
      </c>
      <c r="O207" s="128">
        <v>134399974.20233563</v>
      </c>
      <c r="P207" s="121">
        <v>5209773.9582088199</v>
      </c>
      <c r="Q207" s="5">
        <v>8</v>
      </c>
      <c r="R207" s="5">
        <v>0</v>
      </c>
      <c r="S207" s="5">
        <v>8</v>
      </c>
      <c r="T207" s="5">
        <v>0</v>
      </c>
      <c r="U207" s="5">
        <v>40</v>
      </c>
      <c r="V207" s="5">
        <v>0</v>
      </c>
      <c r="W207" s="5">
        <v>0</v>
      </c>
      <c r="X207" s="123">
        <v>5.0000000000000001E-4</v>
      </c>
      <c r="Y207" s="123">
        <v>480000</v>
      </c>
      <c r="Z207" s="123">
        <v>-7.9995000000000003</v>
      </c>
      <c r="AA207" s="112">
        <v>0</v>
      </c>
      <c r="AB207" s="112">
        <v>351.36</v>
      </c>
      <c r="AC207" s="8">
        <v>16000</v>
      </c>
      <c r="AD207" s="66"/>
      <c r="AE207" s="66">
        <v>26.635199999999998</v>
      </c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0" t="s">
        <v>1</v>
      </c>
      <c r="BJ207" s="191" t="s">
        <v>866</v>
      </c>
    </row>
    <row r="208" spans="1:62" ht="12.75" customHeight="1" x14ac:dyDescent="0.35">
      <c r="A208" s="108"/>
      <c r="B208" s="124" t="s">
        <v>148</v>
      </c>
      <c r="C208" s="5" t="s">
        <v>5</v>
      </c>
      <c r="D208" s="5" t="s">
        <v>318</v>
      </c>
      <c r="E208" s="5" t="s">
        <v>307</v>
      </c>
      <c r="F208" s="130">
        <v>1072127</v>
      </c>
      <c r="G208" s="131" t="s">
        <v>762</v>
      </c>
      <c r="H208" s="137">
        <v>0</v>
      </c>
      <c r="I208" s="137">
        <v>0</v>
      </c>
      <c r="J208" s="123">
        <v>0</v>
      </c>
      <c r="K208" s="123">
        <v>0</v>
      </c>
      <c r="L208" s="128">
        <v>0</v>
      </c>
      <c r="M208" s="121">
        <v>0</v>
      </c>
      <c r="N208" s="128">
        <v>0</v>
      </c>
      <c r="O208" s="128">
        <v>0</v>
      </c>
      <c r="P208" s="121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45.489298158287703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0" t="s">
        <v>1</v>
      </c>
      <c r="BJ208" s="191" t="s">
        <v>850</v>
      </c>
    </row>
    <row r="209" spans="1:62" ht="12.75" customHeight="1" x14ac:dyDescent="0.35">
      <c r="A209" s="108"/>
      <c r="B209" s="124" t="s">
        <v>1</v>
      </c>
      <c r="C209" s="5" t="s">
        <v>2</v>
      </c>
      <c r="D209" s="5" t="s">
        <v>310</v>
      </c>
      <c r="E209" s="5" t="s">
        <v>311</v>
      </c>
      <c r="F209" s="135">
        <v>1068804</v>
      </c>
      <c r="G209" s="136" t="s">
        <v>563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1.0819987136611884</v>
      </c>
      <c r="Q209" s="5">
        <v>19</v>
      </c>
      <c r="R209" s="5">
        <v>16</v>
      </c>
      <c r="S209" s="5">
        <v>3</v>
      </c>
      <c r="T209" s="5">
        <v>0</v>
      </c>
      <c r="U209" s="5">
        <v>0</v>
      </c>
      <c r="V209" s="5">
        <v>0</v>
      </c>
      <c r="W209" s="5">
        <v>160</v>
      </c>
      <c r="X209" s="123">
        <v>0</v>
      </c>
      <c r="Y209" s="123" t="s">
        <v>574</v>
      </c>
      <c r="Z209" s="123"/>
      <c r="AA209" s="112">
        <v>0</v>
      </c>
      <c r="AB209" s="112">
        <v>1287.7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2" t="s">
        <v>1</v>
      </c>
      <c r="BJ209" s="179" t="s">
        <v>861</v>
      </c>
    </row>
    <row r="210" spans="1:62" ht="12.75" customHeight="1" x14ac:dyDescent="0.35">
      <c r="A210" s="108"/>
      <c r="B210" s="124" t="s">
        <v>27</v>
      </c>
      <c r="C210" s="5" t="s">
        <v>5</v>
      </c>
      <c r="D210" s="5" t="s">
        <v>312</v>
      </c>
      <c r="E210" s="5" t="s">
        <v>313</v>
      </c>
      <c r="F210" s="135">
        <v>1080361</v>
      </c>
      <c r="G210" s="136" t="s">
        <v>741</v>
      </c>
      <c r="H210" s="137">
        <v>0</v>
      </c>
      <c r="I210" s="137">
        <v>0</v>
      </c>
      <c r="J210" s="123">
        <v>0</v>
      </c>
      <c r="K210" s="123">
        <v>0</v>
      </c>
      <c r="L210" s="128">
        <v>0</v>
      </c>
      <c r="M210" s="121">
        <v>0</v>
      </c>
      <c r="N210" s="128">
        <v>0</v>
      </c>
      <c r="O210" s="128">
        <v>0</v>
      </c>
      <c r="P210" s="121">
        <v>0.78390825013126453</v>
      </c>
      <c r="Q210" s="5">
        <v>1539</v>
      </c>
      <c r="R210" s="5">
        <v>0</v>
      </c>
      <c r="S210" s="5">
        <v>1539</v>
      </c>
      <c r="T210" s="5">
        <v>0</v>
      </c>
      <c r="U210" s="5">
        <v>0</v>
      </c>
      <c r="V210" s="5">
        <v>0</v>
      </c>
      <c r="W210" s="5">
        <v>0</v>
      </c>
      <c r="X210" s="123">
        <v>0</v>
      </c>
      <c r="Y210" s="123" t="s">
        <v>574</v>
      </c>
      <c r="Z210" s="123"/>
      <c r="AA210" s="112">
        <v>0</v>
      </c>
      <c r="AB210" s="112">
        <v>784.89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0"/>
      <c r="BJ210" s="191" t="s">
        <v>819</v>
      </c>
    </row>
    <row r="211" spans="1:62" ht="12.75" customHeight="1" x14ac:dyDescent="0.35">
      <c r="A211" s="108"/>
      <c r="B211" s="124" t="s">
        <v>4</v>
      </c>
      <c r="C211" s="5" t="s">
        <v>5</v>
      </c>
      <c r="D211" s="5" t="s">
        <v>308</v>
      </c>
      <c r="E211" s="5" t="s">
        <v>314</v>
      </c>
      <c r="F211" s="157">
        <v>1083030</v>
      </c>
      <c r="G211" s="158" t="s">
        <v>775</v>
      </c>
      <c r="H211" s="137">
        <v>0</v>
      </c>
      <c r="I211" s="137">
        <v>0</v>
      </c>
      <c r="J211" s="123">
        <v>0</v>
      </c>
      <c r="K211" s="123">
        <v>0</v>
      </c>
      <c r="L211" s="128">
        <v>0</v>
      </c>
      <c r="M211" s="121">
        <v>0</v>
      </c>
      <c r="N211" s="128">
        <v>0</v>
      </c>
      <c r="O211" s="128">
        <v>0</v>
      </c>
      <c r="P211" s="121">
        <v>0.61151319516879299</v>
      </c>
      <c r="Q211" s="5">
        <v>251546</v>
      </c>
      <c r="R211" s="5">
        <v>60</v>
      </c>
      <c r="S211" s="5">
        <v>251486</v>
      </c>
      <c r="T211" s="5">
        <v>0</v>
      </c>
      <c r="U211" s="5">
        <v>0</v>
      </c>
      <c r="V211" s="5">
        <v>0</v>
      </c>
      <c r="W211" s="5">
        <v>750</v>
      </c>
      <c r="X211" s="123">
        <v>0</v>
      </c>
      <c r="Y211" s="123" t="s">
        <v>574</v>
      </c>
      <c r="Z211" s="123"/>
      <c r="AA211" s="112">
        <v>0</v>
      </c>
      <c r="AB211" s="112">
        <v>1064435.92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2"/>
      <c r="BJ211" s="191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70">
        <v>1082951</v>
      </c>
      <c r="G212" s="171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2040</v>
      </c>
      <c r="S212" s="5">
        <v>21270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128470.8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0"/>
      <c r="BJ212" s="191" t="s">
        <v>826</v>
      </c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6" t="s">
        <v>778</v>
      </c>
      <c r="H213" s="137">
        <v>0</v>
      </c>
      <c r="I213" s="137">
        <v>0</v>
      </c>
      <c r="J213" s="123">
        <v>0</v>
      </c>
      <c r="K213" s="123">
        <v>0</v>
      </c>
      <c r="L213" s="128">
        <v>0</v>
      </c>
      <c r="M213" s="121">
        <v>0</v>
      </c>
      <c r="N213" s="128">
        <v>0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0"/>
      <c r="BJ213" s="191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0"/>
      <c r="BJ214" s="191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47">
        <v>1070484</v>
      </c>
      <c r="G215" s="148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0" t="s">
        <v>1</v>
      </c>
      <c r="BJ215" s="191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5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1191</v>
      </c>
      <c r="R216" s="5">
        <v>0</v>
      </c>
      <c r="S216" s="5">
        <v>1191</v>
      </c>
      <c r="T216" s="5">
        <v>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25103.52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2"/>
      <c r="BJ216" s="191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0</v>
      </c>
      <c r="L217" s="128">
        <v>0</v>
      </c>
      <c r="M217" s="121">
        <v>0</v>
      </c>
      <c r="N217" s="128">
        <v>0</v>
      </c>
      <c r="O217" s="128">
        <v>0</v>
      </c>
      <c r="P217" s="121">
        <v>0</v>
      </c>
      <c r="Q217" s="5">
        <v>1016</v>
      </c>
      <c r="R217" s="5">
        <v>40</v>
      </c>
      <c r="S217" s="5">
        <v>976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6958.88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2"/>
      <c r="BJ217" s="191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5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1799</v>
      </c>
      <c r="R218" s="5">
        <v>0</v>
      </c>
      <c r="S218" s="5">
        <v>1799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42582.33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2"/>
      <c r="BJ218" s="191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5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2" t="s">
        <v>1</v>
      </c>
      <c r="BJ219" s="191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5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2" t="s">
        <v>1</v>
      </c>
      <c r="BJ220" s="191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0" t="s">
        <v>1</v>
      </c>
      <c r="BJ221" s="191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2" t="s">
        <v>1</v>
      </c>
      <c r="BJ222" s="191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2" t="s">
        <v>1</v>
      </c>
      <c r="BJ223" s="191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2"/>
      <c r="BJ224" s="191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2" t="s">
        <v>1</v>
      </c>
      <c r="BJ225" s="191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0" t="s">
        <v>1</v>
      </c>
      <c r="BJ226" s="191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2" t="s">
        <v>1</v>
      </c>
      <c r="BJ227" s="191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35">
        <v>1042466</v>
      </c>
      <c r="G228" s="136" t="s">
        <v>114</v>
      </c>
      <c r="H228" s="137">
        <v>0</v>
      </c>
      <c r="I228" s="137">
        <v>0</v>
      </c>
      <c r="J228" s="123">
        <v>0</v>
      </c>
      <c r="K228" s="123">
        <v>0</v>
      </c>
      <c r="L228" s="128">
        <v>0</v>
      </c>
      <c r="M228" s="121">
        <v>0</v>
      </c>
      <c r="N228" s="128">
        <v>0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2" t="s">
        <v>1</v>
      </c>
      <c r="BJ228" s="191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5">
        <v>1057891</v>
      </c>
      <c r="G229" s="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2" t="s">
        <v>1</v>
      </c>
      <c r="BJ229" s="191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2" t="s">
        <v>1</v>
      </c>
      <c r="BJ230" s="191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0</v>
      </c>
      <c r="L231" s="128">
        <v>0</v>
      </c>
      <c r="M231" s="121">
        <v>0</v>
      </c>
      <c r="N231" s="128">
        <v>0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2" t="s">
        <v>1</v>
      </c>
      <c r="BJ231" s="191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0" t="s">
        <v>1</v>
      </c>
      <c r="BJ232" s="191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2"/>
      <c r="BJ233" s="191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0</v>
      </c>
      <c r="L234" s="128">
        <v>0</v>
      </c>
      <c r="M234" s="121">
        <v>0</v>
      </c>
      <c r="N234" s="128">
        <v>0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0"/>
      <c r="BJ234" s="191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35">
        <v>1042079</v>
      </c>
      <c r="G235" s="136" t="s">
        <v>295</v>
      </c>
      <c r="H235" s="137">
        <v>0</v>
      </c>
      <c r="I235" s="137">
        <v>0</v>
      </c>
      <c r="J235" s="123">
        <v>0</v>
      </c>
      <c r="K235" s="123">
        <v>0</v>
      </c>
      <c r="L235" s="128">
        <v>0</v>
      </c>
      <c r="M235" s="121">
        <v>0</v>
      </c>
      <c r="N235" s="128">
        <v>0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0"/>
      <c r="BJ235" s="191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35">
        <v>1051339</v>
      </c>
      <c r="G236" s="136" t="s">
        <v>215</v>
      </c>
      <c r="H236" s="137">
        <v>0</v>
      </c>
      <c r="I236" s="137">
        <v>0</v>
      </c>
      <c r="J236" s="123">
        <v>0</v>
      </c>
      <c r="K236" s="123">
        <v>0</v>
      </c>
      <c r="L236" s="128">
        <v>0</v>
      </c>
      <c r="M236" s="121">
        <v>0</v>
      </c>
      <c r="N236" s="128">
        <v>0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2" t="s">
        <v>1</v>
      </c>
      <c r="BJ236" s="191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5">
        <v>1042076</v>
      </c>
      <c r="G237" s="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2" t="s">
        <v>1</v>
      </c>
      <c r="BJ237" s="191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0" t="s">
        <v>1</v>
      </c>
      <c r="BJ238" s="191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0</v>
      </c>
      <c r="L239" s="128">
        <v>0</v>
      </c>
      <c r="M239" s="121">
        <v>0</v>
      </c>
      <c r="N239" s="128">
        <v>0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0" t="s">
        <v>1</v>
      </c>
      <c r="BJ239" s="191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2" t="s">
        <v>1</v>
      </c>
      <c r="BJ240" s="191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0</v>
      </c>
      <c r="L241" s="128">
        <v>0</v>
      </c>
      <c r="M241" s="121">
        <v>0</v>
      </c>
      <c r="N241" s="128">
        <v>0</v>
      </c>
      <c r="O241" s="128">
        <v>0</v>
      </c>
      <c r="P241" s="121">
        <v>0</v>
      </c>
      <c r="Q241" s="5">
        <v>32</v>
      </c>
      <c r="R241" s="5">
        <v>0</v>
      </c>
      <c r="S241" s="5">
        <v>32</v>
      </c>
      <c r="T241" s="5">
        <v>0</v>
      </c>
      <c r="U241" s="5">
        <v>0</v>
      </c>
      <c r="V241" s="5">
        <v>0</v>
      </c>
      <c r="W241" s="5">
        <v>32</v>
      </c>
      <c r="X241" s="123">
        <v>0</v>
      </c>
      <c r="Y241" s="123" t="s">
        <v>574</v>
      </c>
      <c r="Z241" s="123"/>
      <c r="AA241" s="112">
        <v>0</v>
      </c>
      <c r="AB241" s="112">
        <v>156.16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2" t="s">
        <v>1</v>
      </c>
      <c r="BJ241" s="191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0" t="s">
        <v>1</v>
      </c>
      <c r="BJ242" s="191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0</v>
      </c>
      <c r="L243" s="128">
        <v>0</v>
      </c>
      <c r="M243" s="121">
        <v>0</v>
      </c>
      <c r="N243" s="128">
        <v>0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2"/>
      <c r="BJ243" s="191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">
        <v>1049607</v>
      </c>
      <c r="G244" s="7" t="s">
        <v>136</v>
      </c>
      <c r="H244" s="137">
        <v>0</v>
      </c>
      <c r="I244" s="137">
        <v>0</v>
      </c>
      <c r="J244" s="123">
        <v>0</v>
      </c>
      <c r="K244" s="123">
        <v>0</v>
      </c>
      <c r="L244" s="128">
        <v>0</v>
      </c>
      <c r="M244" s="121">
        <v>0</v>
      </c>
      <c r="N244" s="128">
        <v>0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0" t="s">
        <v>1</v>
      </c>
      <c r="BJ244" s="191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0</v>
      </c>
      <c r="L245" s="128">
        <v>0</v>
      </c>
      <c r="M245" s="121">
        <v>0</v>
      </c>
      <c r="N245" s="128">
        <v>0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0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0" t="s">
        <v>1</v>
      </c>
      <c r="BJ245" s="191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0</v>
      </c>
      <c r="L246" s="128">
        <v>0</v>
      </c>
      <c r="M246" s="121">
        <v>0</v>
      </c>
      <c r="N246" s="128">
        <v>0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0" t="s">
        <v>1</v>
      </c>
      <c r="BJ246" s="191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0</v>
      </c>
      <c r="L247" s="128">
        <v>0</v>
      </c>
      <c r="M247" s="121">
        <v>0</v>
      </c>
      <c r="N247" s="128">
        <v>0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0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2" t="s">
        <v>1</v>
      </c>
      <c r="BJ247" s="191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0</v>
      </c>
      <c r="L248" s="128">
        <v>0</v>
      </c>
      <c r="M248" s="121">
        <v>0</v>
      </c>
      <c r="N248" s="128">
        <v>0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2" t="s">
        <v>1</v>
      </c>
      <c r="BJ248" s="191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0" t="s">
        <v>1</v>
      </c>
      <c r="BJ249" s="191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2" t="s">
        <v>1</v>
      </c>
      <c r="BJ250" s="191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2" t="s">
        <v>1</v>
      </c>
      <c r="BJ251" s="191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2" t="s">
        <v>1</v>
      </c>
      <c r="BJ252" s="191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0" t="s">
        <v>1</v>
      </c>
      <c r="BJ253" s="191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2" t="s">
        <v>1</v>
      </c>
      <c r="BJ254" s="191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2" t="s">
        <v>1</v>
      </c>
      <c r="BJ255" s="191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0" t="s">
        <v>1</v>
      </c>
      <c r="BJ256" s="191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0" t="s">
        <v>1</v>
      </c>
      <c r="BJ257" s="191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0"/>
      <c r="BJ258" s="191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0"/>
      <c r="BJ259" s="191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0" t="s">
        <v>1</v>
      </c>
      <c r="BJ260" s="191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0" t="s">
        <v>1</v>
      </c>
      <c r="BJ261" s="191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0</v>
      </c>
      <c r="L262" s="128">
        <v>0</v>
      </c>
      <c r="M262" s="121">
        <v>0</v>
      </c>
      <c r="N262" s="128">
        <v>0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0" t="s">
        <v>1</v>
      </c>
      <c r="BJ262" s="191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0</v>
      </c>
      <c r="L263" s="128">
        <v>0</v>
      </c>
      <c r="M263" s="121">
        <v>0</v>
      </c>
      <c r="N263" s="128">
        <v>0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0"/>
      <c r="BJ263" s="191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2" t="s">
        <v>1</v>
      </c>
      <c r="BJ264" s="191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0" t="s">
        <v>1</v>
      </c>
      <c r="BJ265" s="191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0" t="s">
        <v>1</v>
      </c>
      <c r="BJ266" s="191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2" t="s">
        <v>1</v>
      </c>
      <c r="BJ267" s="191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2" t="s">
        <v>1</v>
      </c>
      <c r="BJ268" s="191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0" t="s">
        <v>1</v>
      </c>
      <c r="BJ269" s="191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2"/>
      <c r="BJ270" s="191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3">
        <v>1067823</v>
      </c>
      <c r="G271" s="164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2" t="s">
        <v>1</v>
      </c>
      <c r="BJ271" s="191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3">
        <v>1067824</v>
      </c>
      <c r="G272" s="164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2" t="s">
        <v>1</v>
      </c>
      <c r="BJ272" s="191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0" t="s">
        <v>1</v>
      </c>
      <c r="BJ273" s="191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0" t="s">
        <v>1</v>
      </c>
      <c r="BJ274" s="191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0" t="s">
        <v>1</v>
      </c>
      <c r="BJ275" s="191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0" t="s">
        <v>1</v>
      </c>
      <c r="BJ276" s="191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3">
        <v>1068935</v>
      </c>
      <c r="G277" s="164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2" t="s">
        <v>1</v>
      </c>
      <c r="BJ277" s="191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3">
        <v>1065708</v>
      </c>
      <c r="G278" s="164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2" t="s">
        <v>1</v>
      </c>
      <c r="BJ278" s="191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3">
        <v>1076012</v>
      </c>
      <c r="G279" s="164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2" t="s">
        <v>1</v>
      </c>
      <c r="BJ279" s="191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2" t="s">
        <v>1</v>
      </c>
      <c r="BJ280" s="191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2" t="s">
        <v>1</v>
      </c>
      <c r="BJ281" s="191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2" t="s">
        <v>1</v>
      </c>
      <c r="BJ282" s="191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2" t="s">
        <v>1</v>
      </c>
      <c r="BJ283" s="191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2" t="s">
        <v>1</v>
      </c>
      <c r="BJ284" s="191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0" t="s">
        <v>1</v>
      </c>
      <c r="BJ285" s="191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2" t="s">
        <v>1</v>
      </c>
      <c r="BJ286" s="191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2" t="s">
        <v>1</v>
      </c>
      <c r="BJ287" s="191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2" t="s">
        <v>1</v>
      </c>
      <c r="BJ288" s="191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2" t="s">
        <v>1</v>
      </c>
      <c r="BJ289" s="191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2" t="s">
        <v>1</v>
      </c>
      <c r="BJ290" s="191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2" t="s">
        <v>1</v>
      </c>
      <c r="BJ291" s="191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0"/>
      <c r="BJ292" s="191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0" t="s">
        <v>1</v>
      </c>
      <c r="BJ293" s="191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0" t="s">
        <v>1</v>
      </c>
      <c r="BJ294" s="191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490</v>
      </c>
      <c r="X295" s="123">
        <v>0</v>
      </c>
      <c r="Y295" s="123" t="s">
        <v>574</v>
      </c>
      <c r="Z295" s="123"/>
      <c r="AA295" s="112">
        <v>0</v>
      </c>
      <c r="AB295" s="112">
        <v>1871.8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0" t="s">
        <v>1</v>
      </c>
      <c r="BJ295" s="191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0" t="s">
        <v>1</v>
      </c>
      <c r="BJ296" s="191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0</v>
      </c>
      <c r="L297" s="128">
        <v>0</v>
      </c>
      <c r="M297" s="121">
        <v>0</v>
      </c>
      <c r="N297" s="128">
        <v>0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0" t="s">
        <v>1</v>
      </c>
      <c r="BJ297" s="191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0" t="s">
        <v>1</v>
      </c>
      <c r="BJ298" s="191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2" t="s">
        <v>1</v>
      </c>
      <c r="BJ299" s="191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0" t="s">
        <v>1</v>
      </c>
      <c r="BJ300" s="191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57">
        <v>1051958</v>
      </c>
      <c r="G301" s="158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0" t="s">
        <v>1</v>
      </c>
      <c r="BJ301" s="191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2" t="s">
        <v>1</v>
      </c>
      <c r="BJ302" s="191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2" t="s">
        <v>1</v>
      </c>
      <c r="BJ303" s="191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2" t="s">
        <v>1</v>
      </c>
      <c r="BJ304" s="191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0"/>
      <c r="BJ305" s="191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0" t="s">
        <v>1</v>
      </c>
      <c r="BJ306" s="191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2" t="s">
        <v>1</v>
      </c>
      <c r="BJ307" s="191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2" t="s">
        <v>1</v>
      </c>
      <c r="BJ308" s="191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2" t="s">
        <v>1</v>
      </c>
      <c r="BJ309" s="191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0" t="s">
        <v>1</v>
      </c>
      <c r="BJ310" s="191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70">
        <v>1083041</v>
      </c>
      <c r="G311" s="171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2" t="s">
        <v>1</v>
      </c>
      <c r="BJ311" s="191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0" t="s">
        <v>1</v>
      </c>
      <c r="BJ312" s="191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2" t="s">
        <v>1</v>
      </c>
      <c r="BJ313" s="191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0" t="s">
        <v>1</v>
      </c>
      <c r="BJ314" s="191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2" t="s">
        <v>1</v>
      </c>
      <c r="BJ315" s="191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0" t="s">
        <v>1</v>
      </c>
      <c r="BJ316" s="191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2" t="s">
        <v>1</v>
      </c>
      <c r="BJ317" s="191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2" t="s">
        <v>1</v>
      </c>
      <c r="BJ318" s="191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0"/>
      <c r="BJ319" s="191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0" t="s">
        <v>1</v>
      </c>
      <c r="BJ320" s="191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0" t="s">
        <v>1</v>
      </c>
      <c r="BJ321" s="191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2"/>
      <c r="BJ322" s="191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0</v>
      </c>
      <c r="L323" s="128">
        <v>0</v>
      </c>
      <c r="M323" s="121">
        <v>0</v>
      </c>
      <c r="N323" s="128">
        <v>0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0"/>
      <c r="BJ323" s="191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0" t="s">
        <v>1</v>
      </c>
      <c r="BJ324" s="191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2" t="s">
        <v>1</v>
      </c>
      <c r="BJ325" s="191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0</v>
      </c>
      <c r="L326" s="128">
        <v>0</v>
      </c>
      <c r="M326" s="121">
        <v>0</v>
      </c>
      <c r="N326" s="128">
        <v>0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2" t="s">
        <v>1</v>
      </c>
      <c r="BJ326" s="191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2" t="s">
        <v>1</v>
      </c>
      <c r="BJ327" s="191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2" t="s">
        <v>1</v>
      </c>
      <c r="BJ328" s="191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2" t="s">
        <v>1</v>
      </c>
      <c r="BJ329" s="191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2" t="s">
        <v>1</v>
      </c>
      <c r="BJ330" s="191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2" t="s">
        <v>1</v>
      </c>
      <c r="BJ331" s="191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0" t="s">
        <v>1</v>
      </c>
      <c r="BJ332" s="193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2" t="s">
        <v>1</v>
      </c>
      <c r="BJ333" s="191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2" t="s">
        <v>1</v>
      </c>
      <c r="BJ334" s="191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2" t="s">
        <v>1</v>
      </c>
      <c r="BJ335" s="191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5">
        <v>1030173</v>
      </c>
      <c r="G336" s="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0" t="s">
        <v>1</v>
      </c>
      <c r="BJ336" s="191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0"/>
      <c r="BJ337" s="191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0" t="s">
        <v>1</v>
      </c>
      <c r="BJ338" s="191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2" t="s">
        <v>1</v>
      </c>
      <c r="BJ339" s="191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0" t="s">
        <v>1</v>
      </c>
      <c r="BJ340" s="191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0" t="s">
        <v>1</v>
      </c>
      <c r="BJ341" s="191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0</v>
      </c>
      <c r="R342" s="5">
        <v>0</v>
      </c>
      <c r="S342" s="5">
        <v>0</v>
      </c>
      <c r="T342" s="5">
        <v>0</v>
      </c>
      <c r="U342" s="5">
        <v>98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0" t="s">
        <v>1</v>
      </c>
      <c r="BJ342" s="191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2" t="s">
        <v>1</v>
      </c>
      <c r="BJ343" s="191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2" t="s">
        <v>1</v>
      </c>
      <c r="BJ344" s="191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2" t="s">
        <v>1</v>
      </c>
      <c r="BJ345" s="191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0" t="s">
        <v>1</v>
      </c>
      <c r="BJ346" s="191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0" t="s">
        <v>1</v>
      </c>
      <c r="BJ347" s="191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0" t="s">
        <v>1</v>
      </c>
      <c r="BJ348" s="191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2" t="s">
        <v>1</v>
      </c>
      <c r="BJ349" s="191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0</v>
      </c>
      <c r="L350" s="128">
        <v>0</v>
      </c>
      <c r="M350" s="121">
        <v>0</v>
      </c>
      <c r="N350" s="128">
        <v>0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0" t="s">
        <v>1</v>
      </c>
      <c r="BJ350" s="191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2" t="s">
        <v>1</v>
      </c>
      <c r="BJ351" s="191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0" t="s">
        <v>1</v>
      </c>
      <c r="BJ352" s="191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2" t="s">
        <v>1</v>
      </c>
      <c r="BJ353" s="191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2" t="s">
        <v>1</v>
      </c>
      <c r="BJ354" s="191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0" t="s">
        <v>1</v>
      </c>
      <c r="BJ355" s="191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0"/>
      <c r="BJ356" s="191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2" t="s">
        <v>1</v>
      </c>
      <c r="BJ357" s="191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2" t="s">
        <v>1</v>
      </c>
      <c r="BJ358" s="191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0" t="s">
        <v>1</v>
      </c>
      <c r="BJ359" s="191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0" t="s">
        <v>1</v>
      </c>
      <c r="BJ360" s="191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0" t="s">
        <v>1</v>
      </c>
      <c r="BJ361" s="191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2" t="s">
        <v>1</v>
      </c>
      <c r="BJ362" s="191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0" t="s">
        <v>1</v>
      </c>
      <c r="BJ363" s="191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0"/>
      <c r="BJ364" s="191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0" t="s">
        <v>1</v>
      </c>
      <c r="BJ365" s="191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2" t="s">
        <v>1</v>
      </c>
      <c r="BJ366" s="191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2"/>
      <c r="BJ367" s="191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0</v>
      </c>
      <c r="L368" s="128">
        <v>0</v>
      </c>
      <c r="M368" s="121">
        <v>0</v>
      </c>
      <c r="N368" s="128">
        <v>0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2" t="s">
        <v>1</v>
      </c>
      <c r="BJ368" s="191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0</v>
      </c>
      <c r="L369" s="128">
        <v>0</v>
      </c>
      <c r="M369" s="121">
        <v>0</v>
      </c>
      <c r="N369" s="128">
        <v>0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2" t="s">
        <v>1</v>
      </c>
      <c r="BJ369" s="191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2" t="s">
        <v>1</v>
      </c>
      <c r="BJ370" s="191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0" t="s">
        <v>1</v>
      </c>
      <c r="BJ371" s="191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2" t="s">
        <v>1</v>
      </c>
      <c r="BJ372" s="191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2" t="s">
        <v>1</v>
      </c>
      <c r="BJ373" s="191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2" t="s">
        <v>1</v>
      </c>
      <c r="BJ374" s="191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2" t="s">
        <v>1</v>
      </c>
      <c r="BJ375" s="191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2" t="s">
        <v>1</v>
      </c>
      <c r="BJ376" s="191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0" t="s">
        <v>1</v>
      </c>
      <c r="BJ377" s="191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2" t="s">
        <v>1</v>
      </c>
      <c r="BJ378" s="191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0</v>
      </c>
      <c r="L379" s="128">
        <v>0</v>
      </c>
      <c r="M379" s="121">
        <v>0</v>
      </c>
      <c r="N379" s="128">
        <v>0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0" t="s">
        <v>1</v>
      </c>
      <c r="BJ379" s="191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0" t="s">
        <v>1</v>
      </c>
      <c r="BJ380" s="191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2" t="s">
        <v>1</v>
      </c>
      <c r="BJ381" s="191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0" t="s">
        <v>1</v>
      </c>
      <c r="BJ382" s="191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70">
        <v>1083253</v>
      </c>
      <c r="G383" s="171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2" t="s">
        <v>1</v>
      </c>
      <c r="BJ383" s="191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2" t="s">
        <v>1</v>
      </c>
      <c r="BJ384" s="191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2" t="s">
        <v>1</v>
      </c>
      <c r="BJ385" s="191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2" t="s">
        <v>1</v>
      </c>
      <c r="BJ386" s="191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2" t="s">
        <v>1</v>
      </c>
      <c r="BJ387" s="191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2" t="s">
        <v>1</v>
      </c>
      <c r="BJ388" s="191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0" t="s">
        <v>1</v>
      </c>
      <c r="BJ389" s="191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0" t="s">
        <v>1</v>
      </c>
      <c r="BJ390" s="191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0</v>
      </c>
      <c r="L391" s="128">
        <v>0</v>
      </c>
      <c r="M391" s="121">
        <v>0</v>
      </c>
      <c r="N391" s="128">
        <v>0</v>
      </c>
      <c r="O391" s="128">
        <v>0</v>
      </c>
      <c r="P391" s="121">
        <v>0</v>
      </c>
      <c r="Q391" s="5">
        <v>969</v>
      </c>
      <c r="R391" s="5">
        <v>0</v>
      </c>
      <c r="S391" s="5">
        <v>969</v>
      </c>
      <c r="T391" s="5">
        <v>0</v>
      </c>
      <c r="U391" s="5">
        <v>0</v>
      </c>
      <c r="V391" s="5">
        <v>0</v>
      </c>
      <c r="W391" s="5">
        <v>0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2" t="s">
        <v>1</v>
      </c>
      <c r="BJ391" s="191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2" t="s">
        <v>1</v>
      </c>
      <c r="BJ392" s="191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2" t="s">
        <v>1</v>
      </c>
      <c r="BJ393" s="191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0" t="s">
        <v>1</v>
      </c>
      <c r="BJ394" s="191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2" t="s">
        <v>1</v>
      </c>
      <c r="BJ395" s="191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0" t="s">
        <v>1</v>
      </c>
      <c r="BJ396" s="191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2" t="s">
        <v>1</v>
      </c>
      <c r="BJ397" s="191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2" t="s">
        <v>1</v>
      </c>
      <c r="BJ398" s="191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0" t="s">
        <v>1</v>
      </c>
      <c r="BJ399" s="191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0"/>
      <c r="BJ400" s="191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2" t="s">
        <v>1</v>
      </c>
      <c r="BJ401" s="191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2" t="s">
        <v>1</v>
      </c>
      <c r="BJ402" s="191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2" t="s">
        <v>1</v>
      </c>
      <c r="BJ403" s="191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5">
        <v>1083107</v>
      </c>
      <c r="G404" s="166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2" t="s">
        <v>1</v>
      </c>
      <c r="BJ404" s="191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2" t="s">
        <v>1</v>
      </c>
      <c r="BJ405" s="191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0" t="s">
        <v>1</v>
      </c>
      <c r="BJ406" s="191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0" t="s">
        <v>1</v>
      </c>
      <c r="BJ407" s="191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2" t="s">
        <v>1</v>
      </c>
      <c r="BJ408" s="191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2" t="s">
        <v>1</v>
      </c>
      <c r="BJ409" s="191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2"/>
      <c r="BJ410" s="191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2" t="s">
        <v>1</v>
      </c>
      <c r="BJ411" s="191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0" t="s">
        <v>1</v>
      </c>
      <c r="BJ412" s="191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2"/>
      <c r="BJ413" s="191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2" t="s">
        <v>1</v>
      </c>
      <c r="BJ414" s="191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65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2" t="s">
        <v>1</v>
      </c>
      <c r="BJ415" s="191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2" t="s">
        <v>1</v>
      </c>
      <c r="BJ416" s="191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0" t="s">
        <v>1</v>
      </c>
      <c r="BJ417" s="191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0" t="s">
        <v>1</v>
      </c>
      <c r="BJ418" s="191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0</v>
      </c>
      <c r="L419" s="128">
        <v>0</v>
      </c>
      <c r="M419" s="121">
        <v>0</v>
      </c>
      <c r="N419" s="128">
        <v>0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2" t="s">
        <v>1</v>
      </c>
      <c r="BJ419" s="191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2" t="s">
        <v>1</v>
      </c>
      <c r="BJ420" s="191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0" t="s">
        <v>1</v>
      </c>
      <c r="BJ421" s="191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0" t="s">
        <v>1</v>
      </c>
      <c r="BJ422" s="191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0" t="s">
        <v>1</v>
      </c>
      <c r="BJ423" s="191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2" t="s">
        <v>1</v>
      </c>
      <c r="BJ424" s="191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0" t="s">
        <v>1</v>
      </c>
      <c r="BJ425" s="191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2" t="s">
        <v>1</v>
      </c>
      <c r="BJ426" s="191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0" t="s">
        <v>1</v>
      </c>
      <c r="BJ427" s="191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2" t="s">
        <v>1</v>
      </c>
      <c r="BJ428" s="191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2"/>
      <c r="BJ429" s="191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0" t="s">
        <v>1</v>
      </c>
      <c r="BJ430" s="191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0"/>
      <c r="BJ431" s="191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2" t="s">
        <v>1</v>
      </c>
      <c r="BJ432" s="191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0" t="s">
        <v>1</v>
      </c>
      <c r="BJ433" s="191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0" t="s">
        <v>1</v>
      </c>
      <c r="BJ434" s="191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0" t="s">
        <v>1</v>
      </c>
      <c r="BJ435" s="191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0" t="s">
        <v>1</v>
      </c>
      <c r="BJ436" s="191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2" t="s">
        <v>1</v>
      </c>
      <c r="BJ437" s="191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0" t="s">
        <v>1</v>
      </c>
      <c r="BJ438" s="191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2" t="s">
        <v>1</v>
      </c>
      <c r="BJ439" s="191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2" t="s">
        <v>1</v>
      </c>
      <c r="BJ440" s="191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0"/>
      <c r="BJ441" s="191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0"/>
      <c r="BJ442" s="191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0" t="s">
        <v>1</v>
      </c>
      <c r="BJ443" s="191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0" t="s">
        <v>1</v>
      </c>
      <c r="BJ444" s="191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0" t="s">
        <v>1</v>
      </c>
      <c r="BJ445" s="191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0" t="s">
        <v>1</v>
      </c>
      <c r="BJ446" s="191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0" t="s">
        <v>1</v>
      </c>
      <c r="BJ447" s="191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0" t="s">
        <v>1</v>
      </c>
      <c r="BJ448" s="191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0" t="s">
        <v>1</v>
      </c>
      <c r="BJ449" s="191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0" t="s">
        <v>1</v>
      </c>
      <c r="BJ450" s="191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2" t="s">
        <v>1</v>
      </c>
      <c r="BJ451" s="191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2" t="s">
        <v>1</v>
      </c>
      <c r="BJ452" s="191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0" t="s">
        <v>1</v>
      </c>
      <c r="BJ453" s="191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0">
        <v>1083117</v>
      </c>
      <c r="G454" s="161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0" t="s">
        <v>1</v>
      </c>
      <c r="BJ454" s="191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0</v>
      </c>
      <c r="L455" s="128">
        <v>0</v>
      </c>
      <c r="M455" s="121">
        <v>0</v>
      </c>
      <c r="N455" s="128">
        <v>0</v>
      </c>
      <c r="O455" s="128">
        <v>0</v>
      </c>
      <c r="P455" s="121">
        <v>0</v>
      </c>
      <c r="Q455" s="5">
        <v>708</v>
      </c>
      <c r="R455" s="5">
        <v>0</v>
      </c>
      <c r="S455" s="5">
        <v>708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3136.44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2" t="s">
        <v>1</v>
      </c>
      <c r="BJ455" s="191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2" t="s">
        <v>1</v>
      </c>
      <c r="BJ456" s="191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2" t="s">
        <v>1</v>
      </c>
      <c r="BJ457" s="191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0" t="s">
        <v>1</v>
      </c>
      <c r="BJ458" s="191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2" t="s">
        <v>1</v>
      </c>
      <c r="BJ459" s="191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2" t="s">
        <v>1</v>
      </c>
      <c r="BJ460" s="191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0" t="s">
        <v>1</v>
      </c>
      <c r="BJ461" s="191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0" t="s">
        <v>1</v>
      </c>
      <c r="BJ462" s="191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0"/>
      <c r="BJ463" s="191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0"/>
      <c r="BJ464" s="191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0" t="s">
        <v>1</v>
      </c>
      <c r="BJ465" s="191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0</v>
      </c>
      <c r="L466" s="128">
        <v>0</v>
      </c>
      <c r="M466" s="121">
        <v>0</v>
      </c>
      <c r="N466" s="128">
        <v>0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0" t="s">
        <v>1</v>
      </c>
      <c r="BJ466" s="191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0" t="s">
        <v>1</v>
      </c>
      <c r="BJ467" s="191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0</v>
      </c>
      <c r="L468" s="128">
        <v>0</v>
      </c>
      <c r="M468" s="121">
        <v>0</v>
      </c>
      <c r="N468" s="128">
        <v>0</v>
      </c>
      <c r="O468" s="128">
        <v>0</v>
      </c>
      <c r="P468" s="121">
        <v>0</v>
      </c>
      <c r="Q468" s="5">
        <v>1751</v>
      </c>
      <c r="R468" s="5">
        <v>0</v>
      </c>
      <c r="S468" s="5">
        <v>1751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12834.86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0" t="s">
        <v>1</v>
      </c>
      <c r="BJ468" s="191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0</v>
      </c>
      <c r="L469" s="128">
        <v>0</v>
      </c>
      <c r="M469" s="121">
        <v>0</v>
      </c>
      <c r="N469" s="128">
        <v>0</v>
      </c>
      <c r="O469" s="128">
        <v>0</v>
      </c>
      <c r="P469" s="121">
        <v>0</v>
      </c>
      <c r="Q469" s="5">
        <v>7559</v>
      </c>
      <c r="R469" s="5">
        <v>0</v>
      </c>
      <c r="S469" s="5">
        <v>7559</v>
      </c>
      <c r="T469" s="5">
        <v>0</v>
      </c>
      <c r="U469" s="5">
        <v>0</v>
      </c>
      <c r="V469" s="5">
        <v>0</v>
      </c>
      <c r="W469" s="5">
        <v>506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0" t="s">
        <v>1</v>
      </c>
      <c r="BJ469" s="191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0" t="s">
        <v>1</v>
      </c>
      <c r="BJ470" s="191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0</v>
      </c>
      <c r="L471" s="128">
        <v>0</v>
      </c>
      <c r="M471" s="121">
        <v>0</v>
      </c>
      <c r="N471" s="128">
        <v>0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0"/>
      <c r="BJ471" s="191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2" t="s">
        <v>1</v>
      </c>
      <c r="BJ472" s="191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0" t="s">
        <v>1</v>
      </c>
      <c r="BJ473" s="191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2" t="s">
        <v>1</v>
      </c>
      <c r="BJ474" s="191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2" t="s">
        <v>1</v>
      </c>
      <c r="BJ475" s="191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0" t="s">
        <v>1</v>
      </c>
      <c r="BJ476" s="191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2" t="s">
        <v>1</v>
      </c>
      <c r="BJ477" s="191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2" t="s">
        <v>1</v>
      </c>
      <c r="BJ478" s="191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0</v>
      </c>
      <c r="L479" s="128">
        <v>0</v>
      </c>
      <c r="M479" s="121">
        <v>0</v>
      </c>
      <c r="N479" s="128">
        <v>0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0" t="s">
        <v>1</v>
      </c>
      <c r="BJ479" s="191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2" t="s">
        <v>1</v>
      </c>
      <c r="BJ480" s="191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0" t="s">
        <v>1</v>
      </c>
      <c r="BJ481" s="191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2"/>
      <c r="BJ482" s="191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2" t="s">
        <v>1</v>
      </c>
      <c r="BJ483" s="191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2" t="s">
        <v>1</v>
      </c>
      <c r="BJ484" s="191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2" t="s">
        <v>1</v>
      </c>
      <c r="BJ485" s="191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2" t="s">
        <v>1</v>
      </c>
      <c r="BJ486" s="191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2" t="s">
        <v>1</v>
      </c>
      <c r="BJ487" s="191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2" t="s">
        <v>1</v>
      </c>
      <c r="BJ488" s="191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2" t="s">
        <v>1</v>
      </c>
      <c r="BJ489" s="191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2" t="s">
        <v>1</v>
      </c>
      <c r="BJ490" s="191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2" t="s">
        <v>1</v>
      </c>
      <c r="BJ491" s="191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2" t="s">
        <v>1</v>
      </c>
      <c r="BJ492" s="191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2" t="s">
        <v>1</v>
      </c>
      <c r="BJ493" s="191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0" t="s">
        <v>1</v>
      </c>
      <c r="BJ494" s="191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2" t="s">
        <v>1</v>
      </c>
      <c r="BJ495" s="191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3">
        <v>1077284</v>
      </c>
      <c r="G496" s="134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9120</v>
      </c>
      <c r="R496" s="5">
        <v>0</v>
      </c>
      <c r="S496" s="5">
        <v>9120</v>
      </c>
      <c r="T496" s="5">
        <v>0</v>
      </c>
      <c r="U496" s="5">
        <v>0</v>
      </c>
      <c r="V496" s="5">
        <v>0</v>
      </c>
      <c r="W496" s="5">
        <v>15150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2" t="s">
        <v>1</v>
      </c>
      <c r="BJ496" s="191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0" t="s">
        <v>1</v>
      </c>
      <c r="BJ497" s="191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2" t="s">
        <v>1</v>
      </c>
      <c r="BJ498" s="191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0</v>
      </c>
      <c r="L499" s="128">
        <v>0</v>
      </c>
      <c r="M499" s="121">
        <v>0</v>
      </c>
      <c r="N499" s="128">
        <v>0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0" t="s">
        <v>1</v>
      </c>
      <c r="BJ499" s="191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2" t="s">
        <v>1</v>
      </c>
      <c r="BJ500" s="191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0" t="s">
        <v>1</v>
      </c>
      <c r="BJ501" s="191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0" t="s">
        <v>1</v>
      </c>
      <c r="BJ502" s="191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2" t="s">
        <v>1</v>
      </c>
      <c r="BJ503" s="191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2" t="s">
        <v>1</v>
      </c>
      <c r="BJ504" s="191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2" t="s">
        <v>1</v>
      </c>
      <c r="BJ505" s="191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2" t="s">
        <v>1</v>
      </c>
      <c r="BJ506" s="191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2" t="s">
        <v>1</v>
      </c>
      <c r="BJ507" s="191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2"/>
      <c r="BJ508" s="191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0</v>
      </c>
      <c r="L509" s="128">
        <v>0</v>
      </c>
      <c r="M509" s="121">
        <v>0</v>
      </c>
      <c r="N509" s="128">
        <v>0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2" t="s">
        <v>1</v>
      </c>
      <c r="BJ509" s="191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2" t="s">
        <v>1</v>
      </c>
      <c r="BJ510" s="191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2" t="s">
        <v>1</v>
      </c>
      <c r="BJ511" s="191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0"/>
      <c r="BJ512" s="191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2" t="s">
        <v>1</v>
      </c>
      <c r="BJ513" s="191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2" t="s">
        <v>1</v>
      </c>
      <c r="BJ514" s="191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2" t="s">
        <v>1</v>
      </c>
      <c r="BJ515" s="191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0" t="s">
        <v>1</v>
      </c>
      <c r="BJ516" s="191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2" t="s">
        <v>1</v>
      </c>
      <c r="BJ517" s="191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0" t="s">
        <v>1</v>
      </c>
      <c r="BJ518" s="191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2"/>
      <c r="BJ519" s="191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2" t="s">
        <v>1</v>
      </c>
      <c r="BJ520" s="191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2" t="s">
        <v>1</v>
      </c>
      <c r="BJ521" s="191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2" t="s">
        <v>1</v>
      </c>
      <c r="BJ522" s="191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2" t="s">
        <v>1</v>
      </c>
      <c r="BJ523" s="191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0" t="s">
        <v>1</v>
      </c>
      <c r="BJ524" s="191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2" t="s">
        <v>1</v>
      </c>
      <c r="BJ525" s="191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2" t="s">
        <v>1</v>
      </c>
      <c r="BJ526" s="191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2" t="s">
        <v>1</v>
      </c>
      <c r="BJ527" s="191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2" t="s">
        <v>1</v>
      </c>
      <c r="BJ528" s="191"/>
    </row>
    <row r="529" spans="2:62" x14ac:dyDescent="0.35">
      <c r="B529" s="124" t="s">
        <v>1</v>
      </c>
      <c r="C529" s="5" t="s">
        <v>24</v>
      </c>
      <c r="D529" s="5" t="s">
        <v>316</v>
      </c>
      <c r="E529" s="162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2" t="s">
        <v>1</v>
      </c>
      <c r="BJ529" s="191"/>
    </row>
    <row r="530" spans="2:62" x14ac:dyDescent="0.35">
      <c r="B530" s="124" t="s">
        <v>1</v>
      </c>
      <c r="C530" s="5" t="s">
        <v>24</v>
      </c>
      <c r="D530" s="5" t="s">
        <v>316</v>
      </c>
      <c r="E530" s="162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2" t="s">
        <v>1</v>
      </c>
      <c r="BJ530" s="191"/>
    </row>
    <row r="531" spans="2:62" x14ac:dyDescent="0.35">
      <c r="B531" s="124" t="s">
        <v>1</v>
      </c>
      <c r="C531" s="5" t="s">
        <v>24</v>
      </c>
      <c r="D531" s="5" t="s">
        <v>316</v>
      </c>
      <c r="E531" s="162" t="s">
        <v>317</v>
      </c>
      <c r="F531" s="168">
        <v>1053203</v>
      </c>
      <c r="G531" s="169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2" t="s">
        <v>1</v>
      </c>
      <c r="BJ531" s="191"/>
    </row>
    <row r="532" spans="2:62" x14ac:dyDescent="0.35">
      <c r="B532" s="124" t="s">
        <v>1</v>
      </c>
      <c r="C532" s="5" t="s">
        <v>24</v>
      </c>
      <c r="D532" s="5" t="s">
        <v>316</v>
      </c>
      <c r="E532" s="162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0" t="s">
        <v>1</v>
      </c>
      <c r="BJ532" s="191"/>
    </row>
    <row r="533" spans="2:62" x14ac:dyDescent="0.35">
      <c r="B533" s="124" t="s">
        <v>1</v>
      </c>
      <c r="C533" s="5" t="s">
        <v>24</v>
      </c>
      <c r="D533" s="5" t="s">
        <v>316</v>
      </c>
      <c r="E533" s="162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0" t="s">
        <v>1</v>
      </c>
      <c r="BJ533" s="191"/>
    </row>
    <row r="534" spans="2:62" x14ac:dyDescent="0.35">
      <c r="B534" s="124" t="s">
        <v>1</v>
      </c>
      <c r="C534" s="5" t="s">
        <v>24</v>
      </c>
      <c r="D534" s="5" t="s">
        <v>316</v>
      </c>
      <c r="E534" s="162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2" t="s">
        <v>1</v>
      </c>
      <c r="BJ534" s="191"/>
    </row>
    <row r="535" spans="2:62" x14ac:dyDescent="0.35">
      <c r="B535" s="124" t="s">
        <v>1</v>
      </c>
      <c r="C535" s="5" t="s">
        <v>24</v>
      </c>
      <c r="D535" s="5" t="s">
        <v>316</v>
      </c>
      <c r="E535" s="162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0" t="s">
        <v>1</v>
      </c>
      <c r="BJ535" s="191"/>
    </row>
    <row r="536" spans="2:62" x14ac:dyDescent="0.35">
      <c r="B536" s="124" t="s">
        <v>1</v>
      </c>
      <c r="C536" s="5" t="s">
        <v>24</v>
      </c>
      <c r="D536" s="5" t="s">
        <v>316</v>
      </c>
      <c r="E536" s="162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2" t="s">
        <v>1</v>
      </c>
      <c r="BJ536" s="191"/>
    </row>
    <row r="537" spans="2:62" x14ac:dyDescent="0.35">
      <c r="B537" s="124" t="s">
        <v>1</v>
      </c>
      <c r="C537" s="5" t="s">
        <v>24</v>
      </c>
      <c r="D537" s="5" t="s">
        <v>316</v>
      </c>
      <c r="E537" s="162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0" t="s">
        <v>1</v>
      </c>
      <c r="BJ537" s="191"/>
    </row>
    <row r="538" spans="2:62" x14ac:dyDescent="0.35">
      <c r="B538" s="124" t="s">
        <v>1</v>
      </c>
      <c r="C538" s="5" t="s">
        <v>24</v>
      </c>
      <c r="D538" s="5" t="s">
        <v>316</v>
      </c>
      <c r="E538" s="162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0</v>
      </c>
      <c r="L538" s="128">
        <v>0</v>
      </c>
      <c r="M538" s="121">
        <v>0</v>
      </c>
      <c r="N538" s="128">
        <v>0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2" t="s">
        <v>1</v>
      </c>
      <c r="BJ538" s="191"/>
    </row>
    <row r="539" spans="2:62" x14ac:dyDescent="0.35">
      <c r="B539" s="124" t="s">
        <v>1</v>
      </c>
      <c r="C539" s="5" t="s">
        <v>24</v>
      </c>
      <c r="D539" s="5" t="s">
        <v>316</v>
      </c>
      <c r="E539" s="162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2" t="s">
        <v>1</v>
      </c>
      <c r="BJ539" s="191"/>
    </row>
    <row r="540" spans="2:62" x14ac:dyDescent="0.35">
      <c r="B540" s="144" t="s">
        <v>1</v>
      </c>
      <c r="C540" s="5" t="s">
        <v>24</v>
      </c>
      <c r="D540" s="5" t="s">
        <v>316</v>
      </c>
      <c r="E540" s="162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7">
        <v>0</v>
      </c>
      <c r="M540" s="121">
        <v>0</v>
      </c>
      <c r="N540" s="167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2">
        <v>0</v>
      </c>
      <c r="AB540" s="172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1" t="s">
        <v>1</v>
      </c>
      <c r="BJ540" s="191"/>
    </row>
    <row r="541" spans="2:62" x14ac:dyDescent="0.35">
      <c r="B541" s="144" t="s">
        <v>148</v>
      </c>
      <c r="C541" s="5" t="s">
        <v>5</v>
      </c>
      <c r="D541" s="5" t="s">
        <v>318</v>
      </c>
      <c r="E541" s="162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7">
        <v>0</v>
      </c>
      <c r="M541" s="121">
        <v>0</v>
      </c>
      <c r="N541" s="167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2">
        <v>0</v>
      </c>
      <c r="AB541" s="172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1" t="s">
        <v>1</v>
      </c>
      <c r="BJ541" s="191"/>
    </row>
    <row r="542" spans="2:62" x14ac:dyDescent="0.35">
      <c r="B542" s="124" t="s">
        <v>1</v>
      </c>
      <c r="C542" s="5" t="s">
        <v>2</v>
      </c>
      <c r="D542" s="5" t="s">
        <v>409</v>
      </c>
      <c r="E542" s="162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2" t="s">
        <v>1</v>
      </c>
      <c r="BJ542" s="191"/>
    </row>
    <row r="543" spans="2:62" x14ac:dyDescent="0.35">
      <c r="B543" s="124" t="s">
        <v>1</v>
      </c>
      <c r="C543" s="5" t="s">
        <v>2</v>
      </c>
      <c r="D543" s="5" t="s">
        <v>409</v>
      </c>
      <c r="E543" s="162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2" t="s">
        <v>1</v>
      </c>
      <c r="BJ543" s="191"/>
    </row>
    <row r="544" spans="2:62" x14ac:dyDescent="0.35">
      <c r="B544" s="124" t="s">
        <v>1</v>
      </c>
      <c r="C544" s="5" t="s">
        <v>2</v>
      </c>
      <c r="D544" s="5" t="s">
        <v>409</v>
      </c>
      <c r="E544" s="162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0" t="s">
        <v>1</v>
      </c>
      <c r="BJ544" s="191"/>
    </row>
    <row r="545" spans="2:62" x14ac:dyDescent="0.35">
      <c r="B545" s="124" t="s">
        <v>1</v>
      </c>
      <c r="C545" s="5" t="s">
        <v>2</v>
      </c>
      <c r="D545" s="5" t="s">
        <v>409</v>
      </c>
      <c r="E545" s="162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0" t="s">
        <v>1</v>
      </c>
      <c r="BJ545" s="191"/>
    </row>
    <row r="546" spans="2:62" x14ac:dyDescent="0.35">
      <c r="B546" s="124" t="s">
        <v>1</v>
      </c>
      <c r="C546" s="5" t="s">
        <v>2</v>
      </c>
      <c r="D546" s="5" t="s">
        <v>409</v>
      </c>
      <c r="E546" s="162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2" t="s">
        <v>1</v>
      </c>
      <c r="BJ546" s="191"/>
    </row>
    <row r="547" spans="2:62" x14ac:dyDescent="0.35">
      <c r="B547" s="144" t="s">
        <v>27</v>
      </c>
      <c r="C547" s="5" t="s">
        <v>5</v>
      </c>
      <c r="D547" s="5" t="s">
        <v>312</v>
      </c>
      <c r="E547" s="162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7">
        <v>0</v>
      </c>
      <c r="M547" s="121">
        <v>0</v>
      </c>
      <c r="N547" s="167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2">
        <v>0</v>
      </c>
      <c r="AB547" s="172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2"/>
      <c r="BJ547" s="191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2"/>
      <c r="BJ548" s="191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203"/>
      <c r="BJ549" s="193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3">
        <v>1075202</v>
      </c>
      <c r="G550" s="174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203"/>
      <c r="BJ550" s="19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4" priority="1325"/>
  </conditionalFormatting>
  <conditionalFormatting sqref="F18">
    <cfRule type="duplicateValues" dxfId="123" priority="1553"/>
  </conditionalFormatting>
  <conditionalFormatting sqref="M18:O18">
    <cfRule type="expression" dxfId="95" priority="1459" stopIfTrue="1">
      <formula>"g4&gt;1"</formula>
    </cfRule>
  </conditionalFormatting>
  <conditionalFormatting sqref="P18">
    <cfRule type="expression" dxfId="94" priority="1458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1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13C95AEA-7123-4144-B775-9DF465C8B29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FA96E2D0-D473-44BC-B9C0-6E1B631467F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7006198F-5EC4-4B23-ABDC-753C884192D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2026-06-01T15:33:42Z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