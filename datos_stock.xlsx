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pjmojeda\Downloads\"/>
    </mc:Choice>
  </mc:AlternateContent>
  <xr:revisionPtr revIDLastSave="0" documentId="13_ncr:1_{DF85A490-6DD5-4D35-B073-BEB08A3AACD0}" xr6:coauthVersionLast="47" xr6:coauthVersionMax="47" xr10:uidLastSave="{00000000-0000-0000-0000-000000000000}"/>
  <bookViews>
    <workbookView xWindow="-110" yWindow="-110" windowWidth="19420" windowHeight="12300" tabRatio="813" firstSheet="2" activeTab="2" xr2:uid="{00000000-000D-0000-FFFF-FFFF00000000}"/>
  </bookViews>
  <sheets>
    <sheet name="TMR" sheetId="24" state="hidden" r:id="rId1"/>
    <sheet name="Codigos Descontinuados" sheetId="23" state="hidden" r:id="rId2"/>
    <sheet name="PRINCIPAL" sheetId="2" r:id="rId3"/>
  </sheets>
  <definedNames>
    <definedName name="_xlnm._FilterDatabase" localSheetId="2" hidden="1">PRINCIPAL!$H$7:$H$8</definedName>
    <definedName name="_xlnm.Print_Area" localSheetId="2">PRINCIPAL!$A$1:$BJ$516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2" i="24" l="1"/>
  <c r="G222" i="24"/>
  <c r="K221" i="24"/>
  <c r="G221" i="24"/>
  <c r="K220" i="24"/>
  <c r="G220" i="24"/>
  <c r="K219" i="24"/>
  <c r="G219" i="24"/>
  <c r="K218" i="24"/>
  <c r="G218" i="24"/>
  <c r="K217" i="24"/>
  <c r="G217" i="24"/>
  <c r="K216" i="24"/>
  <c r="G216" i="24"/>
  <c r="K215" i="24"/>
  <c r="G215" i="24"/>
  <c r="K214" i="24"/>
  <c r="G214" i="24"/>
  <c r="K213" i="24"/>
  <c r="G213" i="24"/>
  <c r="K212" i="24"/>
  <c r="G212" i="24"/>
  <c r="K211" i="24"/>
  <c r="G211" i="24"/>
  <c r="K210" i="24"/>
  <c r="G210" i="24"/>
  <c r="K209" i="24"/>
  <c r="G209" i="24"/>
  <c r="K208" i="24"/>
  <c r="G208" i="24"/>
  <c r="K207" i="24"/>
  <c r="G207" i="24"/>
  <c r="K206" i="24"/>
  <c r="G206" i="24"/>
  <c r="K205" i="24"/>
  <c r="G205" i="24"/>
  <c r="K204" i="24"/>
  <c r="G204" i="24"/>
  <c r="K203" i="24"/>
  <c r="G203" i="24"/>
  <c r="K202" i="24"/>
  <c r="G202" i="24"/>
  <c r="K201" i="24"/>
  <c r="G201" i="24"/>
  <c r="K200" i="24"/>
  <c r="G200" i="24"/>
  <c r="K199" i="24"/>
  <c r="G199" i="24"/>
  <c r="K198" i="24"/>
  <c r="G198" i="24"/>
  <c r="K197" i="24"/>
  <c r="G197" i="24"/>
  <c r="K196" i="24"/>
  <c r="G196" i="24"/>
  <c r="K195" i="24"/>
  <c r="G195" i="24"/>
  <c r="K194" i="24"/>
  <c r="G194" i="24"/>
  <c r="K193" i="24"/>
  <c r="G193" i="24"/>
  <c r="K192" i="24"/>
  <c r="G192" i="24"/>
  <c r="K191" i="24"/>
  <c r="G191" i="24"/>
  <c r="K190" i="24"/>
  <c r="G190" i="24"/>
  <c r="K189" i="24"/>
  <c r="G189" i="24"/>
  <c r="K188" i="24"/>
  <c r="G188" i="24"/>
  <c r="K187" i="24"/>
  <c r="G187" i="24"/>
  <c r="K186" i="24"/>
  <c r="G186" i="24"/>
  <c r="K185" i="24"/>
  <c r="G185" i="24"/>
  <c r="K184" i="24"/>
  <c r="G184" i="24"/>
  <c r="K183" i="24"/>
  <c r="G183" i="24"/>
  <c r="K182" i="24"/>
  <c r="G182" i="24"/>
  <c r="K181" i="24"/>
  <c r="G181" i="24"/>
  <c r="K180" i="24"/>
  <c r="G180" i="24"/>
  <c r="K179" i="24"/>
  <c r="G179" i="24"/>
  <c r="K178" i="24"/>
  <c r="G178" i="24"/>
  <c r="K177" i="24"/>
  <c r="G177" i="24"/>
  <c r="K176" i="24"/>
  <c r="G176" i="24"/>
  <c r="K175" i="24"/>
  <c r="G175" i="24"/>
  <c r="K174" i="24"/>
  <c r="G174" i="24"/>
  <c r="K173" i="24"/>
  <c r="G173" i="24"/>
  <c r="K172" i="24"/>
  <c r="G172" i="24"/>
  <c r="K171" i="24"/>
  <c r="G171" i="24"/>
  <c r="K170" i="24"/>
  <c r="G170" i="24"/>
  <c r="K169" i="24"/>
  <c r="G169" i="24"/>
  <c r="K168" i="24"/>
  <c r="G168" i="24"/>
  <c r="K167" i="24"/>
  <c r="G167" i="24"/>
  <c r="K166" i="24"/>
  <c r="G166" i="24"/>
  <c r="K165" i="24"/>
  <c r="G165" i="24"/>
  <c r="K164" i="24"/>
  <c r="G164" i="24"/>
  <c r="K163" i="24"/>
  <c r="G163" i="24"/>
  <c r="K162" i="24"/>
  <c r="G162" i="24"/>
  <c r="K161" i="24"/>
  <c r="G161" i="24"/>
  <c r="K160" i="24"/>
  <c r="G160" i="24"/>
  <c r="K159" i="24"/>
  <c r="G159" i="24"/>
  <c r="K158" i="24"/>
  <c r="G158" i="24"/>
  <c r="K157" i="24"/>
  <c r="G157" i="24"/>
  <c r="K156" i="24"/>
  <c r="G156" i="24"/>
  <c r="K155" i="24"/>
  <c r="G155" i="24"/>
  <c r="K154" i="24"/>
  <c r="G154" i="24"/>
  <c r="K153" i="24"/>
  <c r="G153" i="24"/>
  <c r="K152" i="24"/>
  <c r="G152" i="24"/>
  <c r="K151" i="24"/>
  <c r="G151" i="24"/>
  <c r="K150" i="24"/>
  <c r="G150" i="24"/>
  <c r="K149" i="24"/>
  <c r="G149" i="24"/>
  <c r="K148" i="24"/>
  <c r="G148" i="24"/>
  <c r="K147" i="24"/>
  <c r="G147" i="24"/>
  <c r="K146" i="24"/>
  <c r="G146" i="24"/>
  <c r="K145" i="24"/>
  <c r="G145" i="24"/>
  <c r="K144" i="24"/>
  <c r="G144" i="24"/>
  <c r="K143" i="24"/>
  <c r="G143" i="24"/>
  <c r="K142" i="24"/>
  <c r="G142" i="24"/>
  <c r="K141" i="24"/>
  <c r="G141" i="24"/>
  <c r="K140" i="24"/>
  <c r="G140" i="24"/>
  <c r="K139" i="24"/>
  <c r="G139" i="24"/>
  <c r="K138" i="24"/>
  <c r="G138" i="24"/>
  <c r="K137" i="24"/>
  <c r="G137" i="24"/>
  <c r="K136" i="24"/>
  <c r="G136" i="24"/>
  <c r="K135" i="24"/>
  <c r="G135" i="24"/>
  <c r="K134" i="24"/>
  <c r="G134" i="24"/>
  <c r="K133" i="24"/>
  <c r="G133" i="24"/>
  <c r="K132" i="24"/>
  <c r="G132" i="24"/>
  <c r="K131" i="24"/>
  <c r="G131" i="24"/>
  <c r="K130" i="24"/>
  <c r="G130" i="24"/>
  <c r="K129" i="24"/>
  <c r="G129" i="24"/>
  <c r="K128" i="24"/>
  <c r="G128" i="24"/>
  <c r="K127" i="24"/>
  <c r="G127" i="24"/>
  <c r="K126" i="24"/>
  <c r="G126" i="24"/>
  <c r="K125" i="24"/>
  <c r="G125" i="24"/>
  <c r="K124" i="24"/>
  <c r="G124" i="24"/>
  <c r="K123" i="24"/>
  <c r="G123" i="24"/>
  <c r="K122" i="24"/>
  <c r="G122" i="24"/>
  <c r="K121" i="24"/>
  <c r="G121" i="24"/>
  <c r="K120" i="24"/>
  <c r="G120" i="24"/>
  <c r="K119" i="24"/>
  <c r="G119" i="24"/>
  <c r="K118" i="24"/>
  <c r="G118" i="24"/>
  <c r="K117" i="24"/>
  <c r="G117" i="24"/>
  <c r="K116" i="24"/>
  <c r="G116" i="24"/>
  <c r="K115" i="24"/>
  <c r="G115" i="24"/>
  <c r="K114" i="24"/>
  <c r="G114" i="24"/>
  <c r="K113" i="24"/>
  <c r="G113" i="24"/>
  <c r="K112" i="24"/>
  <c r="G112" i="24"/>
  <c r="K111" i="24"/>
  <c r="G111" i="24"/>
  <c r="K110" i="24"/>
  <c r="G110" i="24"/>
  <c r="K109" i="24"/>
  <c r="G109" i="24"/>
  <c r="K108" i="24"/>
  <c r="G108" i="24"/>
  <c r="K107" i="24"/>
  <c r="G107" i="24"/>
  <c r="K106" i="24"/>
  <c r="G106" i="24"/>
  <c r="K105" i="24"/>
  <c r="G105" i="24"/>
  <c r="K104" i="24"/>
  <c r="G104" i="24"/>
  <c r="K103" i="24"/>
  <c r="G103" i="24"/>
  <c r="K102" i="24"/>
  <c r="G102" i="24"/>
  <c r="K101" i="24"/>
  <c r="G101" i="24"/>
  <c r="K100" i="24"/>
  <c r="G100" i="24"/>
  <c r="K99" i="24"/>
  <c r="G99" i="24"/>
  <c r="K98" i="24"/>
  <c r="G98" i="24"/>
  <c r="K97" i="24"/>
  <c r="G97" i="24"/>
  <c r="K96" i="24"/>
  <c r="G96" i="24"/>
  <c r="K95" i="24"/>
  <c r="G95" i="24"/>
  <c r="K94" i="24"/>
  <c r="G94" i="24"/>
  <c r="K93" i="24"/>
  <c r="G93" i="24"/>
  <c r="K92" i="24"/>
  <c r="G92" i="24"/>
  <c r="K91" i="24"/>
  <c r="G91" i="24"/>
  <c r="K90" i="24"/>
  <c r="G90" i="24"/>
  <c r="K89" i="24"/>
  <c r="G89" i="24"/>
  <c r="K88" i="24"/>
  <c r="G88" i="24"/>
  <c r="K87" i="24"/>
  <c r="G87" i="24"/>
  <c r="K86" i="24"/>
  <c r="G86" i="24"/>
  <c r="K85" i="24"/>
  <c r="G85" i="24"/>
  <c r="K84" i="24"/>
  <c r="G84" i="24"/>
  <c r="K83" i="24"/>
  <c r="G83" i="24"/>
  <c r="K82" i="24"/>
  <c r="G82" i="24"/>
  <c r="K81" i="24"/>
  <c r="G81" i="24"/>
  <c r="K80" i="24"/>
  <c r="G80" i="24"/>
  <c r="K79" i="24"/>
  <c r="G79" i="24"/>
  <c r="K78" i="24"/>
  <c r="G78" i="24"/>
  <c r="K77" i="24"/>
  <c r="G77" i="24"/>
  <c r="K76" i="24"/>
  <c r="G76" i="24"/>
  <c r="K75" i="24"/>
  <c r="G75" i="24"/>
  <c r="K74" i="24"/>
  <c r="G74" i="24"/>
  <c r="K73" i="24"/>
  <c r="G73" i="24"/>
  <c r="K72" i="24"/>
  <c r="G72" i="24"/>
  <c r="K71" i="24"/>
  <c r="G71" i="24"/>
  <c r="K70" i="24"/>
  <c r="G70" i="24"/>
  <c r="K69" i="24"/>
  <c r="G69" i="24"/>
  <c r="K68" i="24"/>
  <c r="G68" i="24"/>
  <c r="K67" i="24"/>
  <c r="G67" i="24"/>
  <c r="K66" i="24"/>
  <c r="G66" i="24"/>
  <c r="K65" i="24"/>
  <c r="G65" i="24"/>
  <c r="K64" i="24"/>
  <c r="G64" i="24"/>
  <c r="K63" i="24"/>
  <c r="G63" i="24"/>
  <c r="K62" i="24"/>
  <c r="G62" i="24"/>
  <c r="K61" i="24"/>
  <c r="G61" i="24"/>
  <c r="K60" i="24"/>
  <c r="G60" i="24"/>
  <c r="K59" i="24"/>
  <c r="G59" i="24"/>
  <c r="K58" i="24"/>
  <c r="G58" i="24"/>
  <c r="K57" i="24"/>
  <c r="G57" i="24"/>
  <c r="K56" i="24"/>
  <c r="G56" i="24"/>
  <c r="K55" i="24"/>
  <c r="G55" i="24"/>
  <c r="K54" i="24"/>
  <c r="G54" i="24"/>
  <c r="K53" i="24"/>
  <c r="G53" i="24"/>
  <c r="K52" i="24"/>
  <c r="G52" i="24"/>
  <c r="K51" i="24"/>
  <c r="G51" i="24"/>
  <c r="K50" i="24"/>
  <c r="G50" i="24"/>
  <c r="K49" i="24"/>
  <c r="G49" i="24"/>
  <c r="K48" i="24"/>
  <c r="G48" i="24"/>
  <c r="K47" i="24"/>
  <c r="G47" i="24"/>
  <c r="K46" i="24"/>
  <c r="G46" i="24"/>
  <c r="K45" i="24"/>
  <c r="G45" i="24"/>
  <c r="K44" i="24"/>
  <c r="G44" i="24"/>
  <c r="K43" i="24"/>
  <c r="G43" i="24"/>
  <c r="K42" i="24"/>
  <c r="G42" i="24"/>
  <c r="K41" i="24"/>
  <c r="G41" i="24"/>
  <c r="K40" i="24"/>
  <c r="G40" i="24"/>
  <c r="K39" i="24"/>
  <c r="G39" i="24"/>
  <c r="K38" i="24"/>
  <c r="G38" i="24"/>
  <c r="K37" i="24"/>
  <c r="G37" i="24"/>
  <c r="K36" i="24"/>
  <c r="G36" i="24"/>
  <c r="K35" i="24"/>
  <c r="G35" i="24"/>
  <c r="K34" i="24"/>
  <c r="G34" i="24"/>
  <c r="K33" i="24"/>
  <c r="G33" i="24"/>
  <c r="K32" i="24"/>
  <c r="G32" i="24"/>
  <c r="K31" i="24"/>
  <c r="G31" i="24"/>
  <c r="K30" i="24"/>
  <c r="G30" i="24"/>
  <c r="K29" i="24"/>
  <c r="G29" i="24"/>
  <c r="K28" i="24"/>
  <c r="G28" i="24"/>
  <c r="K27" i="24"/>
  <c r="G27" i="24"/>
  <c r="K26" i="24"/>
  <c r="G26" i="24"/>
  <c r="K25" i="24"/>
  <c r="G25" i="24"/>
  <c r="K24" i="24"/>
  <c r="G24" i="24"/>
  <c r="K23" i="24"/>
  <c r="G23" i="24"/>
  <c r="K22" i="24"/>
  <c r="G22" i="24"/>
  <c r="K21" i="24"/>
  <c r="G21" i="24"/>
  <c r="K20" i="24"/>
  <c r="G20" i="24"/>
  <c r="K19" i="24"/>
  <c r="G19" i="24"/>
  <c r="K18" i="24"/>
  <c r="G18" i="24"/>
  <c r="K17" i="24"/>
  <c r="G17" i="24"/>
  <c r="K16" i="24"/>
  <c r="G16" i="24"/>
  <c r="K15" i="24"/>
  <c r="G15" i="24"/>
  <c r="K14" i="24"/>
  <c r="G14" i="24"/>
  <c r="K13" i="24"/>
  <c r="G13" i="24"/>
  <c r="K12" i="24"/>
  <c r="G12" i="24"/>
  <c r="K11" i="24"/>
  <c r="G11" i="24"/>
  <c r="K10" i="24"/>
  <c r="G10" i="24"/>
  <c r="K9" i="24"/>
  <c r="G9" i="24"/>
  <c r="K8" i="24"/>
  <c r="G8" i="24"/>
  <c r="K7" i="24"/>
  <c r="G7" i="24"/>
  <c r="K6" i="24"/>
  <c r="G6" i="24"/>
  <c r="K5" i="24"/>
  <c r="G5" i="24"/>
  <c r="K4" i="24"/>
  <c r="G4" i="24"/>
  <c r="K3" i="24"/>
  <c r="G3" i="24"/>
</calcChain>
</file>

<file path=xl/sharedStrings.xml><?xml version="1.0" encoding="utf-8"?>
<sst xmlns="http://schemas.openxmlformats.org/spreadsheetml/2006/main" count="4544" uniqueCount="867">
  <si>
    <t>GLINA. MONTBLANC ESTUCHE16ESTX7UN INT NG GEMA</t>
  </si>
  <si>
    <t>-</t>
  </si>
  <si>
    <t>CNCH-COL</t>
  </si>
  <si>
    <t>GLINA.MONTBLANC ESTUCHE12ESTX12UN INT NG GEMA</t>
  </si>
  <si>
    <t>Z01</t>
  </si>
  <si>
    <t>CNCH-PERU</t>
  </si>
  <si>
    <t>Glina. Winters C&amp;C 12Plegx6unx38g PE</t>
  </si>
  <si>
    <t>GLINA. FOCHIS PASAS 14 BSX1KG</t>
  </si>
  <si>
    <t>Z10</t>
  </si>
  <si>
    <t>Z09</t>
  </si>
  <si>
    <t>Cober.Cordillera 32% Dep 10bolx1kg PE</t>
  </si>
  <si>
    <t>CNCH-MEX</t>
  </si>
  <si>
    <t>Glina. Chin Chin Mini CN 16bsx32ux8g</t>
  </si>
  <si>
    <t>GLINA. MINI CORDILLERA 9BSX1KG</t>
  </si>
  <si>
    <t>Glina. Mini ChocoPunch 66dispx12ux8g</t>
  </si>
  <si>
    <t>Z06</t>
  </si>
  <si>
    <t>Crackers DUCALES Tc. x2 -33</t>
  </si>
  <si>
    <t>NOEL</t>
  </si>
  <si>
    <t>Gta. DUCALES Original Tc.  x4 588 g -33</t>
  </si>
  <si>
    <t>GRANUTS CHOCOLATE CON PASAS 12DYPX120G  </t>
  </si>
  <si>
    <t>GLINA. MAXI MANI 20DISPX24UX20G</t>
  </si>
  <si>
    <t>Z05</t>
  </si>
  <si>
    <t>Z08</t>
  </si>
  <si>
    <t>GLINA. CORDILLERA CAPUCCINO 9BSX1KG</t>
  </si>
  <si>
    <t>COLCAFÉ</t>
  </si>
  <si>
    <t>CAFE COLCAFE GRANULADO FCO 12X170G  EXP</t>
  </si>
  <si>
    <t>CAFE SELLO ROJO TYM 1000G 10PAQ INT</t>
  </si>
  <si>
    <t>Z03</t>
  </si>
  <si>
    <t>GLINA.CHIN CHIN PUNCH 70BSX6UX15G</t>
  </si>
  <si>
    <t>GLINA. MONTBLANC BAR BITTER 73% 280G GEMA</t>
  </si>
  <si>
    <t>COCOA DOYPACK 12U X 400G</t>
  </si>
  <si>
    <t>Z07</t>
  </si>
  <si>
    <t>GLINA. DOLCE DLEITE 35DISPX30UX8G</t>
  </si>
  <si>
    <t>Modifr. CHOCOLISTO 6 tarx1000g OCT PE</t>
  </si>
  <si>
    <t>GLINA. OLE OLE VAINILLA 15BSX60UX4.5G</t>
  </si>
  <si>
    <t xml:space="preserve">TABLET TAZA CANELAYCLAVO 18DX12UX80G </t>
  </si>
  <si>
    <t xml:space="preserve">TABLET.TAZA TRADICIONAL  18DX12UX80G </t>
  </si>
  <si>
    <t>GLINA. MAXI TOFFEE 10BS X 50U X 10G</t>
  </si>
  <si>
    <t>Z02</t>
  </si>
  <si>
    <t>GTA. CHINCHIN CHOCOFORMAS CJX10X6UX21G</t>
  </si>
  <si>
    <t>GLINA.CHIN CHIN PUNCH 24DPX24UX15G</t>
  </si>
  <si>
    <t>GLINA. OLE OLE VAINILLA 15BSX50UX4.5G</t>
  </si>
  <si>
    <t>COCOA WINTERS REPOSTERA CJX6UX1KG</t>
  </si>
  <si>
    <t>GLINA.TIKYS MUSTAFA 16DPX28UX20G</t>
  </si>
  <si>
    <t>COB. WINTERS LAU.BITTER 16UNDX600G</t>
  </si>
  <si>
    <t>GLINA. FOCHIS PASAS 18DPX12UX28G</t>
  </si>
  <si>
    <t>Glina. ChinChinmix CN 24dpx12ux20g</t>
  </si>
  <si>
    <t>GLINA. TOFFEE D.DLEITE15BSX110UX3.8G</t>
  </si>
  <si>
    <t>Chips Cordillera 9000 SCH SS 10bolx1kgPE</t>
  </si>
  <si>
    <t xml:space="preserve"> BEBIDA ZUKO CHICHA MORADA 2L 8X12X15G</t>
  </si>
  <si>
    <t>TMLUC</t>
  </si>
  <si>
    <t>Modifr. CHOCOLISTO OCT 12 tarx300g PE</t>
  </si>
  <si>
    <t>PASAB. GRANUTS MANI PASA8PLEX12UX50G INT</t>
  </si>
  <si>
    <t>PASAB.GRANUTS ORIENTAL 8PLEX12X50G PER</t>
  </si>
  <si>
    <t>GLINA. FINOS 56DISPX80X3.6GR</t>
  </si>
  <si>
    <t>PASAB. GRANUTS ORIENTAL 18DPCKX180G PE</t>
  </si>
  <si>
    <t>CHOC. TAZA WINTERS DIST. 12DX10UX90G</t>
  </si>
  <si>
    <t>CAFE COLCAFE CLASICO POLVO 12FCO. 170CAM</t>
  </si>
  <si>
    <t>Glina. Bolsa piñatera Cjx8undx610g</t>
  </si>
  <si>
    <t>WINTER´S KREMANI 43GR DPX6 UNI CAJX12 DP</t>
  </si>
  <si>
    <t>BEBIDA ZUKO 2L MANGO CRIOLLO 8DISPX12UNX15G</t>
  </si>
  <si>
    <t>GTA. SEMIBAÑADA BELLS CJ8PACKSX6UX32G</t>
  </si>
  <si>
    <t>CAFE SELLO ROJO TYM 20X212G PN</t>
  </si>
  <si>
    <t>PASAB. GRANUTS MEZARAND 18DYPCKX200G INT</t>
  </si>
  <si>
    <t>CAFE MONTERREY LATA 12X190GR</t>
  </si>
  <si>
    <t>Glina. Chin Chin bs CN 24pckx6ux16g</t>
  </si>
  <si>
    <t>BEBIDA ZUKO NARANJA 2L   8X12X15G</t>
  </si>
  <si>
    <t>GLINA. FOCHIS PASAS 04 BSX1KG</t>
  </si>
  <si>
    <t>Crema de Avellana Cordillera Peru 1/4.5</t>
  </si>
  <si>
    <t>GLINA. MINIMERENGUITO 37BSX60G</t>
  </si>
  <si>
    <t>CAFE SELLO  ROJO TYM 10X425G PN</t>
  </si>
  <si>
    <t>CAFE MONTERREY 4X50X6GR</t>
  </si>
  <si>
    <t> CAFE COLCAFE POLVO ST 24 FCO X 50G EC</t>
  </si>
  <si>
    <t>Glina. Mini Chin Chin CN 9bsx1kg</t>
  </si>
  <si>
    <t>Glina. Reg Chin Chin CN 9bsx1kg</t>
  </si>
  <si>
    <t>Glina. Winters Cookies 6Plegx12unx38g PE</t>
  </si>
  <si>
    <t>COCOA WINTERS NI CJX24UX220G</t>
  </si>
  <si>
    <t>3 EN 1 COLCAFE FCO. 380G X12 CAM AND</t>
  </si>
  <si>
    <t>COLCAFÉ CAPPUCINO CARAMELO 12X6X18GR</t>
  </si>
  <si>
    <t>PASAB. GRANUTS MEZCNUEC 8PLEX12UX40G INT</t>
  </si>
  <si>
    <t>Modifr.CHOCOLISTO OCT 24bolx400gFTROP PE</t>
  </si>
  <si>
    <t>PASAB. GRANUTS MANI PASA18DYPCKX200G INT</t>
  </si>
  <si>
    <t>Glina.chinchin bol 24dpx16ux32g</t>
  </si>
  <si>
    <t>ZUKO MARACUYA 2L 8DISPX12UNDX15G</t>
  </si>
  <si>
    <t>COB. CORDILLERA BLANCA 10UNDX1KG</t>
  </si>
  <si>
    <t>COB. CORDILLERA BITTER 10UNDX1KG</t>
  </si>
  <si>
    <t>ZUKO FRESA 2L 8DISPX12UNDX15G</t>
  </si>
  <si>
    <t>GLINA. MONTBLANC BAR BITTER 73% 190G GEMA</t>
  </si>
  <si>
    <t>COCOA WINTERS NI BSX60UX45G</t>
  </si>
  <si>
    <t>ModCHOCOLISTOchoc OCT 18bolx200gFrTr PE</t>
  </si>
  <si>
    <t>GLINA. TIKYS MERENGUITO HASBRO 12BLX200G</t>
  </si>
  <si>
    <t>BEBIDA ZUKO 2L EMOLIENTE 8DISPX12UNX15G</t>
  </si>
  <si>
    <t>Pasab. GRANUTS MezYogur 18Dpx180g PE</t>
  </si>
  <si>
    <t>GLINA. FOCHIS PASAS 18DISPX24UX16G</t>
  </si>
  <si>
    <t>COCOA WINTERS NI 160GR DOYPAC</t>
  </si>
  <si>
    <t>COCOA WINTERS NI BSX30UX160G</t>
  </si>
  <si>
    <t>CAFE COLCAFE GRANULADO FCO 24X50G EXP</t>
  </si>
  <si>
    <t>Gta. Chin Chin Cjx11bsx40undx10g</t>
  </si>
  <si>
    <t>Glina. Chin Chin bol CN 24dpx24ux16g</t>
  </si>
  <si>
    <t>PASB.GRANUTS PARTY MIX 8PLEX12UNX50G INT</t>
  </si>
  <si>
    <t>PASAB. GRANUTS MEZARAND 8PLEX12UX50G INT</t>
  </si>
  <si>
    <t>GRANUTS CHOCOLATE ARANDANO 12DYPX120G</t>
  </si>
  <si>
    <t>FOCHIS PASAS BOLSA 36BSX70G</t>
  </si>
  <si>
    <t>CAFE COLCAFE GRANULADO FCO 24X85G EXP</t>
  </si>
  <si>
    <t>ZUKO MANZANA 2L 8DISPX12UNDX15G</t>
  </si>
  <si>
    <t>ZUKO PIÑA 2L 8DISPX12UNDX15G</t>
  </si>
  <si>
    <t>GTA. TOTTUS CHOCOLATE CJ42PX6UX32G</t>
  </si>
  <si>
    <t>GRANUTS CHOCOLATE ALMENDRA 12DYPX120G</t>
  </si>
  <si>
    <t>Gta. Picaras Cjx12bsx20undx20g </t>
  </si>
  <si>
    <t>ZUKO LIMONADA 2L 8DISPX12UNDX15G</t>
  </si>
  <si>
    <t>PASAB. GRANUTS MANICERVEZA 16DPX180G PE</t>
  </si>
  <si>
    <t>ZUKO DURAZNO 2L 8DISPX12UNDX15G</t>
  </si>
  <si>
    <t>WINTER´S FLOW 48G DPX6 UNI CAJX12 DP</t>
  </si>
  <si>
    <t>CAFE COLCAFE DESCAF GR1L1D 24FCOX50G ECU</t>
  </si>
  <si>
    <t>Pasab.GRANUTS MezYogur 4plegx12unx40g PE</t>
  </si>
  <si>
    <t>WINTER´S KREMANI 43GR DPX12 UNI CAJX6 DP</t>
  </si>
  <si>
    <t>GLINA. MONTBLANC BAR BITTER 73% 80G GEMA</t>
  </si>
  <si>
    <t>COCOA LA ABUELITA BSX30UX160G</t>
  </si>
  <si>
    <t>CHIN CHIN GRAG CN 24DPSX10UNDX50G</t>
  </si>
  <si>
    <t>CAFE COLCAFE DESC GR1L1D CJ 24FCO X 85G</t>
  </si>
  <si>
    <t>GLINA. MONTBLANC BAR LECHE 44% 50G GEMA</t>
  </si>
  <si>
    <t>Glina. ChinChinmix pack CN 30pkx4undx20g</t>
  </si>
  <si>
    <t>Modifr. CHOCOLISTO 8bolx1500g PE</t>
  </si>
  <si>
    <t>Cober.Cordillera 30% Dep 10bolx1kg PE</t>
  </si>
  <si>
    <t>GLINA. MONTBLANC BAR LECHE 44% 80G GEMA</t>
  </si>
  <si>
    <t>Pasab. GRANUTS Oriental 12risx6unx25gPE</t>
  </si>
  <si>
    <t>CAPPUCCINO FRENCH VAINILLA 18G D06 C12</t>
  </si>
  <si>
    <t>COCOA LA ABUELITA 12DISPX50X11G</t>
  </si>
  <si>
    <t>Cober.Cordillera 53% Dep 10bolx1kg PE</t>
  </si>
  <si>
    <t>CAFE COLCAFE POLVO ST CJ.24 FCO X 85G EC</t>
  </si>
  <si>
    <t>Glina. Winters Flow 18packsx3undx48g</t>
  </si>
  <si>
    <t>Modifr CHOCOLISTO croc 24bsx200g PE</t>
  </si>
  <si>
    <t>COBERTURA WINTERS LAU.BLANCA CJX16X500G</t>
  </si>
  <si>
    <t>GLINA. MONTBLANC BAR LECHE C/ALME 44% 190G GEMA</t>
  </si>
  <si>
    <t>COB. CORDILLERA LAU BITTER 9.6KG</t>
  </si>
  <si>
    <t>Pasab. GRANUTS habas mix 18dpcx150g PE</t>
  </si>
  <si>
    <t>Pasab. GRANUTS Arandamix 12risx6unx25gPE</t>
  </si>
  <si>
    <t>Chips Cordillera 9000 SCH BL 10bolx1kgPE</t>
  </si>
  <si>
    <t>GLINA. MONTBLANC BAR LECHE C/ALME 44% 80G GEMA</t>
  </si>
  <si>
    <t>Glina. Montblanc Bar Leche 44% 190g Gema</t>
  </si>
  <si>
    <t>MODIFR. CHOCOLISTO 48RISX6SOBX20G PER</t>
  </si>
  <si>
    <t>Glina. Montblanc BarBitter 73% 380g Gema</t>
  </si>
  <si>
    <t>Chips SCH WINTER´S 12UX500G</t>
  </si>
  <si>
    <t>GRANUTS CHOCOLATE CON PIÑA 12DYPX120G</t>
  </si>
  <si>
    <t>Glina. WINTERS Arequi 24Bolx8ux14g PE</t>
  </si>
  <si>
    <t>Cafe SELLO ROJO TyM 10 x 490g EC</t>
  </si>
  <si>
    <t>Gta. Navidad NOEL Bolsa 220g -33</t>
  </si>
  <si>
    <t>Paneton WONG navidad bolsa 900g</t>
  </si>
  <si>
    <t>Z04</t>
  </si>
  <si>
    <t>Gta. Navidad NOEL Plegadiza 215g -33</t>
  </si>
  <si>
    <t>Paneton METRO navidad bolsa 900g</t>
  </si>
  <si>
    <t>Paneton Winters Navidad CJ 900G</t>
  </si>
  <si>
    <t>Paneton WINTERS caja institucional 1kg</t>
  </si>
  <si>
    <t>Paneton Winters Navidad BS 900G</t>
  </si>
  <si>
    <t>Gta. NAV Bs. Peq. 150gr -33</t>
  </si>
  <si>
    <t>COCOA WINTERS NI PARA SUR CJX30UX160G</t>
  </si>
  <si>
    <t>Paneton Winters Chocochispas 6ux500gr</t>
  </si>
  <si>
    <t>Gta. NAV Muñeco Navideño Cf. 160gr -33</t>
  </si>
  <si>
    <t>Paneton METRO ffpp bolsa 900g</t>
  </si>
  <si>
    <t>Manteca de Cacao 25bqx25kg EXP PE</t>
  </si>
  <si>
    <t>Modifr. CHOCOLISTO Crocante DEG 50g</t>
  </si>
  <si>
    <t>Paneton VARESI Me 6doyx900g</t>
  </si>
  <si>
    <t>Glina. Winters Flow 144unx48g GN</t>
  </si>
  <si>
    <t>Snack KRYZPO original  8paqx6ux37g</t>
  </si>
  <si>
    <t>Snack KRYZPO crema cebolla 8paqx6ux37g</t>
  </si>
  <si>
    <t>Paneton W/M Naranja 900 g Campaña</t>
  </si>
  <si>
    <t>CREMA DE AVELLANA WINTERS1/12/350GPERU</t>
  </si>
  <si>
    <t>Cocoa CORDILLERA bolsa x 5kg</t>
  </si>
  <si>
    <t>Cocoa CORDILLERA potasada saco x 25 kg</t>
  </si>
  <si>
    <t>Grageas Cordillera roja 9undx1kg</t>
  </si>
  <si>
    <t>Modifr. CHOCOLISTO Choc 24bx440g EXT PE</t>
  </si>
  <si>
    <t>Modifr. CHOCOLISTO Choc 44bx220g EXT PE</t>
  </si>
  <si>
    <t>Cafe COLCAFE granulado 24x12x9g sobre</t>
  </si>
  <si>
    <t>Cafe SELLO ROJO molido granel 20gx350un</t>
  </si>
  <si>
    <t>Chocolisto 18bol x200g gtis croc 50g PE</t>
  </si>
  <si>
    <t>Premez. WINTERS Brownie 12bolx380g</t>
  </si>
  <si>
    <t>Premez. WINTERS Torta chocol 12bolx500g</t>
  </si>
  <si>
    <t>Glina.Tikys Gomas HASBRO 24blx100g</t>
  </si>
  <si>
    <t>Glina.Montblanc Bar Almendras 44% 190g</t>
  </si>
  <si>
    <t>Paneton WONG ffpp bolsa 900g</t>
  </si>
  <si>
    <t>Paneton WINTERS ffpp bs 900g.</t>
  </si>
  <si>
    <t>Snack KRYZPO original 14ux130g</t>
  </si>
  <si>
    <t>Snack KRYZPO crema cebolla 14ux130g</t>
  </si>
  <si>
    <t>Gta. PICARAS Mini Extrema NI 14risx6ux46</t>
  </si>
  <si>
    <t>Gta. PICARAS MINI Extr AASS NICJx44ux46g</t>
  </si>
  <si>
    <t>GLINA.OLE OLE 60BSX7UX4.5G NE</t>
  </si>
  <si>
    <t>Gta.PICARAS XL Clasicas NI CJx12x4ux60g</t>
  </si>
  <si>
    <t>Cocoa CORDILLERA cjx6ux1kg</t>
  </si>
  <si>
    <t>Gta.PICARAS Clasicas NI CJx8x6ux40g</t>
  </si>
  <si>
    <t>Gta.Picaras Extremas NI Cjx8x6ux40g</t>
  </si>
  <si>
    <t>Gta.Picaras Fresa NI CJx8x6ux40g</t>
  </si>
  <si>
    <t>Gta. Picaras Chips NI CJx8x6ux42g</t>
  </si>
  <si>
    <t>Gta. PICARAS Mini Clasica NI 14risx6x46g</t>
  </si>
  <si>
    <t>(AASS) Gta.PICARAS Clasicas NI 30bsx6ux4</t>
  </si>
  <si>
    <t>(AASS) Gta.Picaras Extremas NI 30bsx6ux4</t>
  </si>
  <si>
    <t>Gta.Picaras Fresa NI 30bsx6ux40g</t>
  </si>
  <si>
    <t>Gta. PICARAS MINI Clas AASS NICJx44ux46g</t>
  </si>
  <si>
    <t>GTA.CHINCHIN CHOCOAVENTURA 14RISX6UX46G</t>
  </si>
  <si>
    <t>GTA.CHINCHIN CHOCOAVENTURA CJX44UX46G</t>
  </si>
  <si>
    <t>GLINA.OLE OLE 12RISX6UX31.5G NE</t>
  </si>
  <si>
    <t>Gta. PICARAS Mini Clasica 14risx6x50g</t>
  </si>
  <si>
    <t>Paneton de Campana M bs x 850 g</t>
  </si>
  <si>
    <t>PANETON ZIPLOC X900 GR CUISINE &amp; CO</t>
  </si>
  <si>
    <t>Paneton de Campana W 850 g</t>
  </si>
  <si>
    <t>Paneton de Campana Wo bs x 850 g</t>
  </si>
  <si>
    <t>Bizcocho campana M Wo choco 450g cristal</t>
  </si>
  <si>
    <t>Bizcocho campana W choco 450g cristal</t>
  </si>
  <si>
    <t>Paneton Campana W 450 g cristal</t>
  </si>
  <si>
    <t>Paneton Repsol Lata 12 x 700 g</t>
  </si>
  <si>
    <t>PANETON de campaña W 850G EXP</t>
  </si>
  <si>
    <t>Beb. BENET Vlla 6udsx400g EXP PERU</t>
  </si>
  <si>
    <t>Beb. BENET Choco 6udsx400g EXP PERU</t>
  </si>
  <si>
    <t>Beb. BENET Vlla 6udsx800g EXP PERU</t>
  </si>
  <si>
    <t>Galleta DUCALES salada Bs.x6. 162g -33</t>
  </si>
  <si>
    <t>Paneton Campaña Rep 650 g -cristal</t>
  </si>
  <si>
    <t>Pasab. GRANUTS MezNue 18dpkx160g PE</t>
  </si>
  <si>
    <t>Batido BENET Inmune 8udsx200g PERU EXP</t>
  </si>
  <si>
    <t>Batido BENET Energia 8udsx200g PERU EXP</t>
  </si>
  <si>
    <t>Pasab. GRANUTS PartyMix 18dpkx180g PE</t>
  </si>
  <si>
    <t>Glina.Chin Chin chocopaleton 18dX10uX18g</t>
  </si>
  <si>
    <t>Cocoa WINTERS NI 8DSX20UX21G</t>
  </si>
  <si>
    <t>Grageas de corazones 20 g</t>
  </si>
  <si>
    <t>Cocoa WINTERS 12dispx50ux10g</t>
  </si>
  <si>
    <t>Glina. Montblanc s.azu anad44% 6Dx10U40g</t>
  </si>
  <si>
    <t>Glina. Montblanc s.azu anad44% 18Px3U40g</t>
  </si>
  <si>
    <t>Glina. Chin Chin Mini 16bsx32ux7g</t>
  </si>
  <si>
    <t>Cocoa WINTERS bsx60ux43g</t>
  </si>
  <si>
    <t>Glina. Chin Chin NI 18BSX20UX16G</t>
  </si>
  <si>
    <t>Glina. Chin Chin fiesta top CN 63bx200G</t>
  </si>
  <si>
    <t>Gta.PICARAS Clasicas NI CJx8x8ux40g</t>
  </si>
  <si>
    <t>Glina. Chin Chin bol CN NI 24dpx24ux16g</t>
  </si>
  <si>
    <t>Gta.Picaras Menta 30bsx6ux40g</t>
  </si>
  <si>
    <t>Glina.Chin Chin Punch 24Dpx24ux13g</t>
  </si>
  <si>
    <t>Glina.Chin Chin Punch 70BSX6UX13G</t>
  </si>
  <si>
    <t>Glina. Chin Chin bs CN NI 24pckx6ux16g</t>
  </si>
  <si>
    <t>Glina.chinchin bol NI 24dpx16ux32g</t>
  </si>
  <si>
    <t>Glina. ChinChinmix CN 24dpx12ux20g NI</t>
  </si>
  <si>
    <t>COLCAFE Capp ClasicoNatural 12x6x13gES</t>
  </si>
  <si>
    <t>COLCAFE Capp Mocca Natural 12x6x13gES</t>
  </si>
  <si>
    <t>Modifr. CHOCOLISTO choco 24undx600g PE</t>
  </si>
  <si>
    <t>COLCAFE CappCaramelo Natural 12x6x13gES</t>
  </si>
  <si>
    <t>Cocoa WINTERS NI cjx24ux200g</t>
  </si>
  <si>
    <t>Chocol. Winters Best 12dpckx200g PE</t>
  </si>
  <si>
    <t>Glina. ChinChinmix NI pack CN 30pkx4undx</t>
  </si>
  <si>
    <t>Beb. BENET Vlla sin az 28udx50gGN EXP PE</t>
  </si>
  <si>
    <t>COLCAFE Capp VainillaNatural 12x6x13gES</t>
  </si>
  <si>
    <t>Sampling Crema de avellana 10 g</t>
  </si>
  <si>
    <t>Glina.MontblancCaram.Surt.Est.x7undPE</t>
  </si>
  <si>
    <t>Manteca de cacao 25kg nacional PE</t>
  </si>
  <si>
    <t>Cob. WINTERS Lau.Bitter 16undx500g</t>
  </si>
  <si>
    <t>Pasab.GRANUTS MezAra 18DPCK.x180g PE</t>
  </si>
  <si>
    <t>Chocol. Winters Best 20g x 7kg GRL. PE</t>
  </si>
  <si>
    <t>Paneton WintersChocochispas Doy 6ux500gr</t>
  </si>
  <si>
    <t>Granulado 170g grt. Vaso Vjero.x8un INT</t>
  </si>
  <si>
    <t>Paneton Winters tradicional Nav CJ 900G</t>
  </si>
  <si>
    <t>Glina.MontblancCaram.Surt.Dpck.x8undPE</t>
  </si>
  <si>
    <t>Glina.MontblancCaram.Surt.Est.x12undPE</t>
  </si>
  <si>
    <t>Glina. Ole Ole mani 60bsx5ux6.1g</t>
  </si>
  <si>
    <t>Glina. Ole Ole mani 12risx6ux30.5g</t>
  </si>
  <si>
    <t>Cf. MONTERREY Peru Sachet 10-20x6g</t>
  </si>
  <si>
    <t>Glina. Mini Chin Chin CN 10bsx750g</t>
  </si>
  <si>
    <t>Cocoa WINTERS NI 20dispx30ux10g</t>
  </si>
  <si>
    <t>Glina. Reg Chin Chin CN 10bsx750g</t>
  </si>
  <si>
    <t>Cappuccino COLCAFE Mocca 13g x450un INT</t>
  </si>
  <si>
    <t>Cappuccino COLCAFE Vainlla13gx450u INT</t>
  </si>
  <si>
    <t>Glina.Chin Chin Chocopop 8dpx10ux20g</t>
  </si>
  <si>
    <t>Glina.Chin Chin Chocopop 3dpx10ux90g</t>
  </si>
  <si>
    <t>Gta.Picaras Menta CJx8x6ux40g</t>
  </si>
  <si>
    <t>Galleta Salada DUCALES Tc x 2 241g -33</t>
  </si>
  <si>
    <t>Glina. Maxi Toffee NF 10bs x 50u x 10g</t>
  </si>
  <si>
    <t>Chin Chin grag CN NI 24dpsX10undX50g</t>
  </si>
  <si>
    <t>CÓDIGO</t>
  </si>
  <si>
    <t>DESCRIPCIÓN</t>
  </si>
  <si>
    <t>RESPONSABLE DE PRODUCCIÓN</t>
  </si>
  <si>
    <t>Causal / Observado</t>
  </si>
  <si>
    <t>%V Mes pasado</t>
  </si>
  <si>
    <t>Vta. Proy.</t>
  </si>
  <si>
    <t>Días De Inventario</t>
  </si>
  <si>
    <t>Faltante</t>
  </si>
  <si>
    <t>% Cob.</t>
  </si>
  <si>
    <t>Cafe COLCAFE polvo ST 24 fco x 50g EC</t>
  </si>
  <si>
    <t>Cafe COLCAFE granulado fco 12x85g  exp</t>
  </si>
  <si>
    <t>Glina. Chin Chin Gallemellow12Dpx12ux18g</t>
  </si>
  <si>
    <t>Glina. Ole Ole Vainilla 15bsx50ux4.5g</t>
  </si>
  <si>
    <t>Glina. MERENGUITO colores 12bsx200g</t>
  </si>
  <si>
    <t>Glina. Ole Ole Mustafa 16dpx28ux20gr</t>
  </si>
  <si>
    <t>Glina.Maxi mani 20DISPx24Ux20G</t>
  </si>
  <si>
    <t>Glina.Fochis Pasas 18dpx24ux16g</t>
  </si>
  <si>
    <t>Tablet.Taza Tradicional AASS 18dx12ux80g</t>
  </si>
  <si>
    <t>Tablet Taza CanelayClavoAASS 18dx12ux80g</t>
  </si>
  <si>
    <t>Cocoa WINTERS NI 12dispx50ux11g</t>
  </si>
  <si>
    <t>Cob. WINTERS Lau.Leche 16undx600g</t>
  </si>
  <si>
    <t>Cocoa Winters doypack 12u x 400g</t>
  </si>
  <si>
    <t>Glina. Winters Flow 12Plegx6unx48g PE</t>
  </si>
  <si>
    <t>Pasab. GRANUTS MezArand 8 Plex12ux50g PE</t>
  </si>
  <si>
    <t>Pasab. GRANUTS MezNueces 8 Plex12ux40gPE</t>
  </si>
  <si>
    <t>Pasab. GRANUTS ManiPasas 8 Plex12ux50gPE</t>
  </si>
  <si>
    <t>Pasab. GRANUTS ManiPasas 18Dypckx200g PE</t>
  </si>
  <si>
    <t>Glina.Montblanc Bitter 73% 3dspx10ux80g</t>
  </si>
  <si>
    <t>Glina. Montblanc Almendras 44%3dsp10u80g</t>
  </si>
  <si>
    <t>Glina. Montblanc Leche 44% 3dspx10ux80g</t>
  </si>
  <si>
    <t>Glina.Montblanc Bitter 73% 32ux280g</t>
  </si>
  <si>
    <t>Glina.Montblanc Bar Bitter 73% 30ux190g</t>
  </si>
  <si>
    <t>Glina. Montblanc Bar Almendras44%30u190g</t>
  </si>
  <si>
    <t>Glina. Montblanc bar leche44%6Dx10U50gNI</t>
  </si>
  <si>
    <t>Gta.Picaras Extremas NI 30bsx6ux40g</t>
  </si>
  <si>
    <t>Bebidas de chocolate</t>
  </si>
  <si>
    <t>Winters</t>
  </si>
  <si>
    <t>Golosinas</t>
  </si>
  <si>
    <t>Fochis</t>
  </si>
  <si>
    <t>Pasabocas</t>
  </si>
  <si>
    <t>Granuts</t>
  </si>
  <si>
    <t>Galletas</t>
  </si>
  <si>
    <t>Pícaras</t>
  </si>
  <si>
    <t>Ole Ole</t>
  </si>
  <si>
    <t>Chin Chin</t>
  </si>
  <si>
    <t>Café</t>
  </si>
  <si>
    <t>Colcafé</t>
  </si>
  <si>
    <t>Pastelería</t>
  </si>
  <si>
    <t>Marca Privada</t>
  </si>
  <si>
    <t>Bebidas instantáneas frías</t>
  </si>
  <si>
    <t>CAFE SELLO ROJO TYM 10X425G PN</t>
  </si>
  <si>
    <t>Gta. Picaras Chips NI CJx8x6ux42</t>
  </si>
  <si>
    <t>GLINA. MONTBLANC DOYPACK 12DOYX8UN GEMA</t>
  </si>
  <si>
    <t>Shippers para bolsa 220gr (Makro)</t>
  </si>
  <si>
    <t>STOCK TOTAL</t>
  </si>
  <si>
    <t>STOCK POR FACTURAR</t>
  </si>
  <si>
    <t>PLANTA</t>
  </si>
  <si>
    <t>TRANSITO</t>
  </si>
  <si>
    <t>CALIDAD</t>
  </si>
  <si>
    <t>BLOQUEADO</t>
  </si>
  <si>
    <t>HISTORICO - DIAS DE INVENTARIO</t>
  </si>
  <si>
    <t>Código descontinuado.</t>
  </si>
  <si>
    <t>Código In &amp; Out.</t>
  </si>
  <si>
    <t>Nuevo código en Noviembre: 1062451 - Glina. Bolsa piñatera Cjx8undx560g.</t>
  </si>
  <si>
    <t xml:space="preserve">PRES. VENTAS SOLES </t>
  </si>
  <si>
    <t>Avance Venta Soles Bruto</t>
  </si>
  <si>
    <t>Devoluciones</t>
  </si>
  <si>
    <t xml:space="preserve">Avance Venta Soles </t>
  </si>
  <si>
    <t>% Avance Venta</t>
  </si>
  <si>
    <t>% Dias</t>
  </si>
  <si>
    <t>REPORTE DE STOCKS CRÍTICOS</t>
  </si>
  <si>
    <t>STOCK EN CEDI</t>
  </si>
  <si>
    <t>Gta.PICARAS Clasicas NI 8bsx8ux40g</t>
  </si>
  <si>
    <t>Cob. WINTERS Lau.Leche 16undx500g</t>
  </si>
  <si>
    <t>AASS Gta.PICARAS Menta 30bsx6ux40g</t>
  </si>
  <si>
    <t>Glina.Chin Chin Chocopop 4dpx10ux90g</t>
  </si>
  <si>
    <t>Pasab. GRANUTS Tarro mix 12TRx390g PE</t>
  </si>
  <si>
    <t>Paneton WINTERS tradicional inst 1kg</t>
  </si>
  <si>
    <t>Choc. Taza real Winters. 12dx10ux90g</t>
  </si>
  <si>
    <t>Paneton Winters SIN agregados 6undx500g</t>
  </si>
  <si>
    <t>Cocoa WINTERS 21RISX24UX11G</t>
  </si>
  <si>
    <t>Glina.Chin Chin Chocopop 6dpx10ux20g</t>
  </si>
  <si>
    <t>CAFE MONTERREY 10X20X6GR</t>
  </si>
  <si>
    <t>Paneton Winters tradicional Nav BS 900G VS 001</t>
  </si>
  <si>
    <t>Paneton Cuisine &amp; Co CJ x 900g</t>
  </si>
  <si>
    <t>Paneton Winters tradicional Nav CJ 900G VS 001</t>
  </si>
  <si>
    <t>Paneton WINTERS tradicional inst 1kg  VS 001</t>
  </si>
  <si>
    <t>PANETÓN CAPUCHÓN X900 GR CUISINE &amp; CO</t>
  </si>
  <si>
    <t>PANETÓN ZIPLOC X900 GR CUISINE &amp; CO</t>
  </si>
  <si>
    <t>Paneton BELMONT BSx900g</t>
  </si>
  <si>
    <t>PANETÓN CHOCOCHIPS X500GR CUISINE &amp; CO</t>
  </si>
  <si>
    <t>Paneton Repsol Capuchon 6 x 700grs</t>
  </si>
  <si>
    <t>Glina. Chin Chin 18BSX20UX16G</t>
  </si>
  <si>
    <t>Grageas CORDILLERA roja 9undx1kg</t>
  </si>
  <si>
    <t>Gta.PICARAS Clasicas CJx8x6ux40g</t>
  </si>
  <si>
    <t>Código In &amp; Out descontinuado.</t>
  </si>
  <si>
    <t>Muestra</t>
  </si>
  <si>
    <t>Muestras chocolisto.</t>
  </si>
  <si>
    <t>Extra contenido - por el momento descontinuado.</t>
  </si>
  <si>
    <t>Muestras de Benet</t>
  </si>
  <si>
    <t>Sampling</t>
  </si>
  <si>
    <t>Maxi Dolce Finos Suce</t>
  </si>
  <si>
    <t>Cocoa WINTERS NI bsx60ux45g</t>
  </si>
  <si>
    <t>Modifr. CHOCOLISTO 12bolx1160g PE</t>
  </si>
  <si>
    <t>Gta.Picaras Extremas Cjx8x6ux40g</t>
  </si>
  <si>
    <t>Glina.Chin CHin chocopaleton 12dx20ux15g</t>
  </si>
  <si>
    <t>Cap. COLCAFE Clasico 12x6x18g ESP</t>
  </si>
  <si>
    <t>Cap. COLCAFE F. Vainilla 12x6x18g ESP</t>
  </si>
  <si>
    <t>Gta.CHINCHIN CHOCOAVENTURA 14risx6ux50gr</t>
  </si>
  <si>
    <t>Gta. PICARAS Mini Extrema 14risx6ux50g</t>
  </si>
  <si>
    <t>Gta. DUCALES Bs. x6 -33</t>
  </si>
  <si>
    <t>Cob. WINTERS Lau.Bitter 16undx600g</t>
  </si>
  <si>
    <t>Pasb.GRANUTS Party Mix 18Bx200g INT</t>
  </si>
  <si>
    <t>Glina.Chin Chin Punch 24Dpx24ux15g</t>
  </si>
  <si>
    <t>Picaras Chips CJx8x6ux42g</t>
  </si>
  <si>
    <t>Cafe COLCAFE Reservado 12x170g Int Esp</t>
  </si>
  <si>
    <t>Glina. MONTBLANC Surt 12ex12u PE</t>
  </si>
  <si>
    <t>Pasab. GRANUTS MezNueces 18Dpckx200g PE</t>
  </si>
  <si>
    <t>Paneton Winters Chocochispas Doypack 6ux500gr VS 001</t>
  </si>
  <si>
    <t>Panetón Winters SIN agregados 6undx500g</t>
  </si>
  <si>
    <t>Paneton Win pas frut confi 500gCJ6 1CJ E</t>
  </si>
  <si>
    <t>NUEVO CÓDIGO</t>
  </si>
  <si>
    <t>CATEGORÍA</t>
  </si>
  <si>
    <t>Repostería</t>
  </si>
  <si>
    <t>MontBlanc</t>
  </si>
  <si>
    <t>Reposteria</t>
  </si>
  <si>
    <t>Cordillera</t>
  </si>
  <si>
    <t>Ducales</t>
  </si>
  <si>
    <t>Noel</t>
  </si>
  <si>
    <t>Sello Rojo</t>
  </si>
  <si>
    <t>Chocolisto</t>
  </si>
  <si>
    <t>Zuko</t>
  </si>
  <si>
    <t>Kryzpo</t>
  </si>
  <si>
    <t>La Abuelita</t>
  </si>
  <si>
    <t>Golden Toffee</t>
  </si>
  <si>
    <t>Varesi</t>
  </si>
  <si>
    <t>Tikys</t>
  </si>
  <si>
    <t>Monterrey</t>
  </si>
  <si>
    <t>Nutricion experta</t>
  </si>
  <si>
    <t>Bénet</t>
  </si>
  <si>
    <t>Pasab. GRANUTS Habas mix 12risx6unx25gPE</t>
  </si>
  <si>
    <t>Cocoa WINTERS NI 150gr Doypac</t>
  </si>
  <si>
    <t>MARCA</t>
  </si>
  <si>
    <t>Gta.Picaras Fresa NI corazon 30bsx6ux40g</t>
  </si>
  <si>
    <t>Tiempo de Vida</t>
  </si>
  <si>
    <t>Tottus</t>
  </si>
  <si>
    <t>Cencosud</t>
  </si>
  <si>
    <t>Tambo</t>
  </si>
  <si>
    <t>Oxxo</t>
  </si>
  <si>
    <t>SPSA / MAKRO</t>
  </si>
  <si>
    <t>Canal Tradicional / Otros</t>
  </si>
  <si>
    <t>ORIGEN</t>
  </si>
  <si>
    <t>IMPORTADO</t>
  </si>
  <si>
    <t>LOCAL</t>
  </si>
  <si>
    <t>Adicionar a FF</t>
  </si>
  <si>
    <t>Cf. MONTERREY Peru 12x190g</t>
  </si>
  <si>
    <t>Cf. MONTERREY Peru Sachet 4-50x6g</t>
  </si>
  <si>
    <t>Beb. ZUKO Peru Sdmt Emoliente 8-12x15g</t>
  </si>
  <si>
    <t>Beb ZUKO Peru Sdmt 2L Mang Crio 8-12x15g</t>
  </si>
  <si>
    <t>Beb. ZUKO Peru 2L Nja. 8-12x15g</t>
  </si>
  <si>
    <t>Beb. ZUKO Peru 2L Piña 8-12x15g</t>
  </si>
  <si>
    <t>Beb. ZUKO Peru 2L Dzno. 8-12x15g</t>
  </si>
  <si>
    <t>Beb. ZUKO Peru 2L Maracuya 8-12x15g</t>
  </si>
  <si>
    <t>Beb. ZUKO Peru 2L Fresa 8-12x15g</t>
  </si>
  <si>
    <t>Beb. ZUKO Peru 2L Mzna. 8-12x15g</t>
  </si>
  <si>
    <t>Beb. ZUKO Peru 2L Limonada 8-12x15g</t>
  </si>
  <si>
    <t>Beb. ZUKO Peru 2L Chicha Morada 8-12x15g</t>
  </si>
  <si>
    <t>Papas KRYZPO Sam Original 14x130g</t>
  </si>
  <si>
    <t>Papas KRYZPO Sam Crema Cebolla 14x130g</t>
  </si>
  <si>
    <t>Papas KRYZPO Sam Original 48x37g</t>
  </si>
  <si>
    <t>Papas KRYZPO Sam Crema Cebolla 48x37g</t>
  </si>
  <si>
    <t>Glina. Bolsa pinatera Cjx8undx690g</t>
  </si>
  <si>
    <t>Chips SCH WINTERS 16 und x 200 g</t>
  </si>
  <si>
    <t>Cob. WINTERS DISP Lau.Leche 16undx500g</t>
  </si>
  <si>
    <t>Gta. Picaras Chips NI 30bsx6ux40g</t>
  </si>
  <si>
    <t>Glina. WINTERS Kremani 12Plegx6unx42g PE</t>
  </si>
  <si>
    <t>Codigo descontinuado</t>
  </si>
  <si>
    <t>Cob. WINTERS DISP Lau.Bitter 16undx500g</t>
  </si>
  <si>
    <t>Cafe COLCAFE granulado DP 24x50g exp</t>
  </si>
  <si>
    <t>Cafe SELLO ROJO 850g Inter</t>
  </si>
  <si>
    <t>Cafe COLCAFE Granulado Doypack 85g CAM</t>
  </si>
  <si>
    <t>Plan Demanda (Kg)</t>
  </si>
  <si>
    <t>Avance 
Vta. (Kg)</t>
  </si>
  <si>
    <t>Error ABS
(KG)</t>
  </si>
  <si>
    <t>Error Absoluto (KG)</t>
  </si>
  <si>
    <t>Cocoa WINTERS NI bsx30ux150g</t>
  </si>
  <si>
    <t>Cocoa WINTERS NI sur cjx30ux150g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</si>
  <si>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</si>
  <si>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</si>
  <si>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</si>
  <si>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</si>
  <si>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</si>
  <si>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</si>
  <si>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</si>
  <si>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</si>
  <si>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</si>
  <si>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</si>
  <si>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</si>
  <si>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</si>
  <si>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</si>
  <si>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</si>
  <si>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</si>
  <si>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</si>
  <si>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</si>
  <si>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</si>
  <si>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</si>
  <si>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</si>
  <si>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</si>
  <si>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</si>
  <si>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</si>
  <si>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</si>
  <si>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</si>
  <si>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</si>
  <si>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</si>
  <si>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</si>
  <si>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</si>
  <si>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</si>
  <si>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</si>
  <si>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Cocoa Winters doypack 12u x 380g</t>
  </si>
  <si>
    <t>Leyenda</t>
  </si>
  <si>
    <t>Descontinuado</t>
  </si>
  <si>
    <t>Nuevo código</t>
  </si>
  <si>
    <t>Códigos pareto</t>
  </si>
  <si>
    <t>En proceso de descontinuación</t>
  </si>
  <si>
    <t>Campaña</t>
  </si>
  <si>
    <t>Muestras</t>
  </si>
  <si>
    <t>STOCKS EN:</t>
  </si>
  <si>
    <t>Cappuccino COLCAFE Clasico 13gx450u INT</t>
  </si>
  <si>
    <t>Cappuccino COLCAFE Caramelo13gx450u INT</t>
  </si>
  <si>
    <t>GEOGRAFÍA</t>
  </si>
  <si>
    <t>Cocoa WINTERS POTE cjx24ux200g</t>
  </si>
  <si>
    <t>Glina. Fochis pasas 18dpx12ux28g NE</t>
  </si>
  <si>
    <t>Gta.CHINCHIN Chocoformas NI CJx10x6ux21g</t>
  </si>
  <si>
    <t>Salidas varias</t>
  </si>
  <si>
    <t>Cafe COLCAFE Clasico Doypack 85g CAM</t>
  </si>
  <si>
    <t>Panetón METRO bolsa 800 g</t>
  </si>
  <si>
    <t>Panetón  Wong 800g Bolsa</t>
  </si>
  <si>
    <t>Paneton winter´s Fiest Patri BS 900 g</t>
  </si>
  <si>
    <t>Gta.PICARAS Clasicas NI 20bsx8ux40g</t>
  </si>
  <si>
    <t>Pasab. GRANUTS MezArand 18Dypckx200g PE</t>
  </si>
  <si>
    <t>Glina.Fochis Pasas 18dpx24ux16g NE</t>
  </si>
  <si>
    <t>Gta.PICARAS XL Clasicas NI CJx24ux60g</t>
  </si>
  <si>
    <t>Paneton campana M 750 g</t>
  </si>
  <si>
    <t>Paneton Winter´s Fiest Patri Cj 900 g</t>
  </si>
  <si>
    <t>Paneton campana Wo 750 g</t>
  </si>
  <si>
    <t>Gta. Chin Chin Cjx11bsx40undx10g NI</t>
  </si>
  <si>
    <t>Glina.chinchin bol NI 24dpx16ux30g</t>
  </si>
  <si>
    <t>Cf. MONTERREY Peru Sachet 4-50x5g</t>
  </si>
  <si>
    <t>Gta.Picaras Prom Clasicas NI 30bsx6ux40g</t>
  </si>
  <si>
    <t>Gta.Picaras Prom Clasicas NI 20bsx8ux40g</t>
  </si>
  <si>
    <t>Gta.Picaras Prom XL Clas. NI CJx24ux60g</t>
  </si>
  <si>
    <t>Gta.Picaras Prom Extremas NI 30bsx6ux40g</t>
  </si>
  <si>
    <t>Gta.Picaras Prom Fresa NI 30bsx6ux40g</t>
  </si>
  <si>
    <t>Gta. Picaras Prom Chips NI 30bsx6ux40g</t>
  </si>
  <si>
    <t>Glina.Maxi mani 20DISPx24Ux18g</t>
  </si>
  <si>
    <t>Paneton Winter's doy 8M 6undx900g</t>
  </si>
  <si>
    <t>Chin Chin grag CN NI 24dpsX10undX45g</t>
  </si>
  <si>
    <t>PANETON ZIPLOC X800 GR CUISINE &amp; CO</t>
  </si>
  <si>
    <t>Glina.ChinChin fiestaCN 63bx200G HalloNM</t>
  </si>
  <si>
    <t>Glina.ChinChin chocopale 18bX20uX18g Nar</t>
  </si>
  <si>
    <t>Glina.ChinChin NI 18BSX20UX16G Hallow NM</t>
  </si>
  <si>
    <t>Glina.chinchin NI 24dpx16ux30g Hallow NM</t>
  </si>
  <si>
    <t>Paneton de Campana W 8M 850 g</t>
  </si>
  <si>
    <t>Panetones de segunda</t>
  </si>
  <si>
    <t>Modifr. CHOCOLISTO sinazucar24dpkx180gPE</t>
  </si>
  <si>
    <t>Galleta DUCALES Tc 120g -33</t>
  </si>
  <si>
    <t>Papas KRYZPO Sam Picante 14x130g</t>
  </si>
  <si>
    <t>Paneton VARESI sn asa 6doyx900g</t>
  </si>
  <si>
    <t>Paneton Repsol Caja 6 x 800 g</t>
  </si>
  <si>
    <t>Paneton Winters trad  BS 6ux800G</t>
  </si>
  <si>
    <t>Premezcla WINTERS Tort choc 12undx500g</t>
  </si>
  <si>
    <t>Premezcla WINTERS Brownie 12undx380g</t>
  </si>
  <si>
    <t>Panetón Gourmet Wong x 800g</t>
  </si>
  <si>
    <t>Panetón especial Cuisine&amp;Co 800g</t>
  </si>
  <si>
    <t>Paneton Winters Doypack 500G</t>
  </si>
  <si>
    <t>Glina. Ole Ole Vainilla 15bsx55ux4.5g</t>
  </si>
  <si>
    <t>Paneton Repsol Lata 12 x 800 g</t>
  </si>
  <si>
    <t>Glina.ChinChin chocopale 200ux18g Nar</t>
  </si>
  <si>
    <t>Cob. Cordillera Blanca granel x 9.6 kg</t>
  </si>
  <si>
    <t>Glina.chinchin NI 24dpx16ux30g Navid RV</t>
  </si>
  <si>
    <t>Glina.ChinChin 18BSX20UX16G Navid RV</t>
  </si>
  <si>
    <t>Glina. Chin Chin Mini 16bsx32ux7g NaviRV</t>
  </si>
  <si>
    <t>Glina.ChinChin fiestaCN 63bx200G Navi RV</t>
  </si>
  <si>
    <t>Glina. Ole Ole navidad 12bsx15ux11g</t>
  </si>
  <si>
    <t>Glina.Montblanc Bitter 73% 3dx10ux80g NI</t>
  </si>
  <si>
    <t>Glina.Montblanc leche44%6Dx10U50g NII</t>
  </si>
  <si>
    <t>Glina.Montblanc Leche 44% 3dx10ux80g NI</t>
  </si>
  <si>
    <t>Glina.Montblanc Almendras 44%3d10u80g N</t>
  </si>
  <si>
    <t>Glina.Montblanc s.azu anad44% 6D10U50gNI</t>
  </si>
  <si>
    <t>Paneton GDM Capuch 6x800 g</t>
  </si>
  <si>
    <t>Pasab.GRANUTS kraks orie 12rix6unx25gPE</t>
  </si>
  <si>
    <t>Paneton Varesi BS 6x900G PP</t>
  </si>
  <si>
    <t>Pasab.GRANUTS kraks orie 8Plex12x50gPE</t>
  </si>
  <si>
    <t>Pasab.GRANUTS Kraks orie 18Dpckx180gPE</t>
  </si>
  <si>
    <t>Pasab.GRANUTS kraks limon 12rix6ux25gPE</t>
  </si>
  <si>
    <t>Pasab.GRANUTS kraks limon 8Plex12x45gPE</t>
  </si>
  <si>
    <t>Glina.Montblanc Bitter 73% 30ux190g NI</t>
  </si>
  <si>
    <t>Glina. Ole Ole festival 15bsx45ux4.5g</t>
  </si>
  <si>
    <t>Glina. Montblanc Chocolovers 6Dx10U50g</t>
  </si>
  <si>
    <t>Glina. Montblanc Chocolovers 3Dx10U80g</t>
  </si>
  <si>
    <t>Pasab. GRANUTS Kraks limon 18Dpckx180gPE</t>
  </si>
  <si>
    <t>Glina. MONTBL BaileysLech 4px10u×80g PE</t>
  </si>
  <si>
    <t>Glina. MONTBL BaileysLech12px10ux13g PE</t>
  </si>
  <si>
    <t>No tiene PD</t>
  </si>
  <si>
    <t>Glina. Chin Chin Mini 16bsx32ux7g Pascua</t>
  </si>
  <si>
    <t>Glina.ChinChin chocopal 10bX20uX18g Pasc</t>
  </si>
  <si>
    <t>Glina.Montblanc Almen 13gx10kg PE</t>
  </si>
  <si>
    <t>Glina.Montblanc Macad 13gx10kg PE</t>
  </si>
  <si>
    <t>Glina.Montblanc Caram 13.5gx10kg PE</t>
  </si>
  <si>
    <t>Glina.Chin Chin Chocopop 8dpx10ux20g Pas</t>
  </si>
  <si>
    <t>Cf. Monterrey Peru Promo 4-54x5g</t>
  </si>
  <si>
    <t>Crema Avellana Cordillera Peru 1/4.5g</t>
  </si>
  <si>
    <t>Glina.MontblancCaram.Surt.16dx7undPE Dis</t>
  </si>
  <si>
    <t>Glina.MontblancCaram.Surt.12dx12undPEDis</t>
  </si>
  <si>
    <t>Modifr. CHOCOLISTO 10 Doypack x 1000g PE</t>
  </si>
  <si>
    <t>Glina.Montblanc Bitter 73% 32ux280g NI</t>
  </si>
  <si>
    <t>Días consumidos por sobreventa en el mes pasado</t>
  </si>
  <si>
    <t>Gta. Picaras Cjx12bsx20undx20g NI</t>
  </si>
  <si>
    <t>Glina.Chin Chin Punch 20BSX6UX13G NE</t>
  </si>
  <si>
    <t>Cocoa WINTERS REP cjx6ux900g</t>
  </si>
  <si>
    <t>Cocoa WINTERS NI bsx30ux140g</t>
  </si>
  <si>
    <t>Gta.Picaras Extremas 30bsx6ux38g</t>
  </si>
  <si>
    <t>COCOA LA ABUELITA BSX30UX150G</t>
  </si>
  <si>
    <t>Cocoa WINTERS bsx60ux40g</t>
  </si>
  <si>
    <t>Gta.PICARAS Clasicas 30bsx6ux38G</t>
  </si>
  <si>
    <t>Cafe COLCAFE Intenso fco. 85g CAM</t>
  </si>
  <si>
    <t>Fecha de 
Ingreso según RAS</t>
  </si>
  <si>
    <t>Gta.PICARAS Clasicas NI 20bsx8ux38g</t>
  </si>
  <si>
    <t>Cocoa WINTERS NI 8DSX20UX20G</t>
  </si>
  <si>
    <t>COCOA LA ABUELITA 12DISPX50X10G</t>
  </si>
  <si>
    <t>Cocoa WINTERS POTE cjx24ux180g</t>
  </si>
  <si>
    <t>Glina. Chin Chin masmelo 12bsx200g</t>
  </si>
  <si>
    <t>Paneton Winters SIN agregados 6ux500g FP</t>
  </si>
  <si>
    <t>Cocoa Winters flowpack 12u x 360g</t>
  </si>
  <si>
    <t>Cocoa WINTERS NI sur cjx30ux140g</t>
  </si>
  <si>
    <t>Gta.Picaras Fresa 30bsx6ux38g</t>
  </si>
  <si>
    <t>Paneton Winters frut y pasa Cap 850g Nav</t>
  </si>
  <si>
    <t>COCOA LA ABUELITA WINTERS BSX30UX150G</t>
  </si>
  <si>
    <t>Gta.PICARAS XL Clasicas NI CJx24ux57g</t>
  </si>
  <si>
    <t>Glina. Montblanc Bar Leche 44% 190g NI</t>
  </si>
  <si>
    <t>COCOA LA ABUELITA WINTERS 12DISPX50X10G</t>
  </si>
  <si>
    <t>Gta. Picaras Chips 30bsx6ux38g</t>
  </si>
  <si>
    <t>Mini Pícaras Clásica 10 bl x 500 g</t>
  </si>
  <si>
    <t>Glina.MontblancAvell.Surt.Est.x7undPE</t>
  </si>
  <si>
    <t>Glina.MontblancAvell.Surt.Est.x12undPE</t>
  </si>
  <si>
    <t>Glina.ChinChin chocopalet 18dX10uX18g NF</t>
  </si>
  <si>
    <t>Paneton WintersCHOCO DOY 6ux500g SINASA</t>
  </si>
  <si>
    <t>Paneton Winters frut y pasa Doy 850g Nav</t>
  </si>
  <si>
    <t>Gta. Picaras Cjx12bsx20undx19g</t>
  </si>
  <si>
    <t>Glina. Chin Chin Mini 16bsx32ux7g NF Hallo</t>
  </si>
  <si>
    <t>Glina.ChinChin chocopale 18dX10uX18g Nar</t>
  </si>
  <si>
    <t>Oft. Chocolisto tarro 300g + shaker Peru</t>
  </si>
  <si>
    <t>Paneton de Campaña W 800g</t>
  </si>
  <si>
    <t>Galleta NAVIDAD maraca Cf. x 80g14</t>
  </si>
  <si>
    <t>Glina.MontblancAvell.Surt.Dpck.x8undPE</t>
  </si>
  <si>
    <t>Paneton Campañ Choco Doy 6ux450g SIN ASA</t>
  </si>
  <si>
    <t>Cocoa Winters 10dispx50undx10g - GRATIS3</t>
  </si>
  <si>
    <t>Cocoa Winters 8dispx20undx20g - GRATIS1</t>
  </si>
  <si>
    <t>Cocoa Winters 16dispx30undx10g - GRATIS2</t>
  </si>
  <si>
    <t>Glina. Ole Ole galleta 12dsx9ux17g</t>
  </si>
  <si>
    <t>Mini Grageas confi. Cordillera 9bsx1kg</t>
  </si>
  <si>
    <t>Glina. Reg Chin Chin CN 10bsx750g NF</t>
  </si>
  <si>
    <t>Glina. ChinChin fiesta top 63bx200G NF</t>
  </si>
  <si>
    <t>Glina. Chin Chin CN 24dpx24ux16g NF</t>
  </si>
  <si>
    <t>Glina. Chin Chin Mini 16bsx32ux7g NF</t>
  </si>
  <si>
    <t>Glina. Mini Chin Chin CN 10bsx750g NF</t>
  </si>
  <si>
    <t xml:space="preserve">Paneton Belmont Nac BLSX900G            </t>
  </si>
  <si>
    <t xml:space="preserve">Paneton de Campana W 750 g              </t>
  </si>
  <si>
    <t xml:space="preserve"> Chunks CORD 47% 500g x10unPE</t>
  </si>
  <si>
    <t xml:space="preserve"> Cober. Cordillera53%10bolX500gPE</t>
  </si>
  <si>
    <t xml:space="preserve"> Glina.ChinChin chocopal 18dX10uX18g Nav</t>
  </si>
  <si>
    <t>Gta.Picaras Menta 30bsx6ux38g</t>
  </si>
  <si>
    <t xml:space="preserve">Glina. Ole Ole Vainilla 15bsx50ux4g     </t>
  </si>
  <si>
    <t xml:space="preserve">Paneton Campana W SIN 6undx450g         </t>
  </si>
  <si>
    <t xml:space="preserve">Glina. Bolsa pinatera Cjx8undx690g NF   </t>
  </si>
  <si>
    <t xml:space="preserve">Cocoa Winters 8dispx20undx20g CS        </t>
  </si>
  <si>
    <t xml:space="preserve">Cocoa Winters bsx30ux140g CS            </t>
  </si>
  <si>
    <t xml:space="preserve">Cocoa Winters sur cjx30ux140g CS        </t>
  </si>
  <si>
    <t>Cocoa Winters 12dispx50undx10g CS</t>
  </si>
  <si>
    <t>Glina. ChinChinmix 24dpx12ux20g NF</t>
  </si>
  <si>
    <t>Gta. Picaras Clásica Cjx150undx38g LATAM</t>
  </si>
  <si>
    <t xml:space="preserve">Glina. Ole Ole 12risx6ux24g             </t>
  </si>
  <si>
    <t xml:space="preserve">Cocoa Winters 20dispx30undx10g CP       </t>
  </si>
  <si>
    <t xml:space="preserve">Cocoa Winters 12dispx50undx10g CP       </t>
  </si>
  <si>
    <t xml:space="preserve">Cocoa Winters 8dispx20undx20g CP        </t>
  </si>
  <si>
    <t xml:space="preserve">Cocoa Winters bsx30ux140g CP            </t>
  </si>
  <si>
    <t xml:space="preserve">Cocoa Winters sur cjx30ux140g CP        </t>
  </si>
  <si>
    <t xml:space="preserve">Cocoa Winters bsx60ux40g CP             </t>
  </si>
  <si>
    <t>Paneton Yamboly cja 6u x 800g</t>
  </si>
  <si>
    <t>Cob. Cordillera Blanca OBLEA 9undx500g</t>
  </si>
  <si>
    <t>Glina. Chin Chin masmelo 37bsx60g</t>
  </si>
  <si>
    <t xml:space="preserve">Glina. Ole Ole Mustafa 24dpx12ux20gr NI </t>
  </si>
  <si>
    <t xml:space="preserve">Cocoa Winters bsx60ux40g CS             </t>
  </si>
  <si>
    <t xml:space="preserve">Glina. Ole Ole 60bsx6ux4g               </t>
  </si>
  <si>
    <t>Chips Cordillera 9000 BITTER10bolx1kgPE</t>
  </si>
  <si>
    <t>Cob. Cordillera Bitter OBLEA 9undx500g</t>
  </si>
  <si>
    <t>Paneton Escuela Odont 6x800 g</t>
  </si>
  <si>
    <t>Gta.Picaras Fresa NI corazon 30bsx6ux38g</t>
  </si>
  <si>
    <t xml:space="preserve">Gta.Picaras Menta 30bsx6ux38g NF        </t>
  </si>
  <si>
    <t>Cocoa WINTERS NI bsx30ux90g</t>
  </si>
  <si>
    <t>Glina. Montblanc Almendras44%30u190gNI</t>
  </si>
  <si>
    <t>Glina.ChinChin chocopale 18dX10uX18g Pas</t>
  </si>
  <si>
    <t xml:space="preserve">GTA.PICARAS MENTA 30BSX6UX38G NF CS     </t>
  </si>
  <si>
    <t xml:space="preserve">Glina. Chin Chin CN 24dpx24ux16g-CSCedi </t>
  </si>
  <si>
    <t>Glina. Chin Chin CN 24dpx24ux16g-CSLinea</t>
  </si>
  <si>
    <t>Winters Granos Andinos 20dispx20ux15g</t>
  </si>
  <si>
    <t>Cocoa Winters Cjx30ux40g RTS</t>
  </si>
  <si>
    <t xml:space="preserve">Cocoa Winters Cjx30ux90g RTS            </t>
  </si>
  <si>
    <t xml:space="preserve">Glina.MontblancAvellSurtCor20x4undPE    </t>
  </si>
  <si>
    <t xml:space="preserve">Winters Granos Andinos Cjx300undx15g    </t>
  </si>
  <si>
    <t xml:space="preserve">Glina.MontblancAvellSurtFlo18x10undPE   </t>
  </si>
  <si>
    <t xml:space="preserve">Modifr.CHOCOLISTOOCT12tarx280gPE        </t>
  </si>
  <si>
    <t xml:space="preserve">Cappuccino COLCAFE Clasico 12x6x18g ESP </t>
  </si>
  <si>
    <t>Cappuccino COLCAFE Vainilla 12x6x18g ESP</t>
  </si>
  <si>
    <t xml:space="preserve">Crema de Avellana Cordillera Peru 4.5kg </t>
  </si>
  <si>
    <t xml:space="preserve">Cappuccino COLCAFE Mocca 6x18gx12 ESP   </t>
  </si>
  <si>
    <t xml:space="preserve">Modifr. CHOCOLISTO 48Risx6Sobx15g PER   </t>
  </si>
  <si>
    <t xml:space="preserve">ModCHOCOLISTOchoc OCT 18bolx180gFrTr PE </t>
  </si>
  <si>
    <t xml:space="preserve">Modifr.CHOCOLISTO OCT12bolx360gFTROP PE </t>
  </si>
  <si>
    <t xml:space="preserve">Papas KRYZPO INT Original 14X130G       </t>
  </si>
  <si>
    <t xml:space="preserve">Papas KRYZPO INT Crema Cebolla 14X130G  </t>
  </si>
  <si>
    <t xml:space="preserve">Papas KRYZPO INT Original 48X37G        </t>
  </si>
  <si>
    <t xml:space="preserve">Papas KRYZPO INT Crema Cebolla 48X37G   </t>
  </si>
  <si>
    <t xml:space="preserve">Glina. Chin Chin CN 14dpx16ux16g NF     </t>
  </si>
  <si>
    <t xml:space="preserve">Glina. Bolsa pinatera Cjx8undx654g      </t>
  </si>
  <si>
    <t>Winters Granos Andinos Cjx24undx180g</t>
  </si>
  <si>
    <t>Valorizado Stock</t>
  </si>
  <si>
    <t>Valorizado Plan de Demanda</t>
  </si>
  <si>
    <t>Batons Cord.43%12plex1kgPER</t>
  </si>
  <si>
    <t>Grageas confitadas Cordillera 9bsx1kg</t>
  </si>
  <si>
    <t>Glina. Chin Chin 18BSX20UX16G NF</t>
  </si>
  <si>
    <t>Chin Chin grag CN 24dspX10undX45g NF</t>
  </si>
  <si>
    <t>Glina. Ole Ole Vainilla 24bsx24ux4g</t>
  </si>
  <si>
    <t>Modifr.CHOCOLISTOmarsh18bolx150gPE</t>
  </si>
  <si>
    <t>Cocoa Winters doypack 12ux360g</t>
  </si>
  <si>
    <t>Glina.MontblancBaileys12plegx6undx42gPE</t>
  </si>
  <si>
    <t>Glina.Chin Chin Punch 12dpx16ux13g</t>
  </si>
  <si>
    <t>Glina. Chin Chin grag caja 10dpx12unx30g</t>
  </si>
  <si>
    <t xml:space="preserve">Gta. Chin Chin emoti 11bsx40ux8.7g      </t>
  </si>
  <si>
    <t xml:space="preserve">Glina.ChinChinOjoZombie24bsx8unx13.5gPE </t>
  </si>
  <si>
    <t xml:space="preserve">Gta.Picaras Prom Menta 30bsx6ux38g      </t>
  </si>
  <si>
    <t>Gta.Picaras Prom Clasicas 30bsx6ux38G</t>
  </si>
  <si>
    <t>Gta.Picaras Prom Extremas 30bsx6ux38g</t>
  </si>
  <si>
    <t>Gta.Picaras Prom Clasicas 20bsx8ux38g</t>
  </si>
  <si>
    <t>Gta.Picaras Prom XL Clasicas CJx24ux57g</t>
  </si>
  <si>
    <t>Gta.Picaras Prom Fresa 30bsx6ux38g</t>
  </si>
  <si>
    <t>Pasab.GRANUTS Kraks oriental 24ux100gPE</t>
  </si>
  <si>
    <t>Panetón Winter's Nacional bolsa ziploc x 850 g 2025 FP</t>
  </si>
  <si>
    <t>Panetón Winter's Nacional caja x 850 g 2025 FP</t>
  </si>
  <si>
    <t>Gta. Chin Chin emoti 10bsx6ux17.5g</t>
  </si>
  <si>
    <t>Pasab.GRANUTS Mezc Arandano 24ux100g PE</t>
  </si>
  <si>
    <t>Panetón Winter's Nacional bolsa ziploc x 500 g</t>
  </si>
  <si>
    <t>Gta. Picaras Prom Chips 30bsx6ux38g</t>
  </si>
  <si>
    <t>Modifr. CHOCOLISTO 6 tarx900g PE</t>
  </si>
  <si>
    <t>Modifr. CHOCOLISTO choco 12undx550g PE</t>
  </si>
  <si>
    <t>Beb. ZUKO Peru Pera 8-12x15g</t>
  </si>
  <si>
    <t>Beb. ZUKO Peru Uva 8-12x15g</t>
  </si>
  <si>
    <t>Glina.Fochis Pasas 24dpx12ux22g</t>
  </si>
  <si>
    <t>Glina. Ole Ole Halloween 15bsx50ux4g</t>
  </si>
  <si>
    <t xml:space="preserve">Glina.ChinChinOZombieMuest8bolx24unPE   </t>
  </si>
  <si>
    <t xml:space="preserve">Glina. Ole Ole Halloween 24bsx24ux4g    </t>
  </si>
  <si>
    <t>Cocoa Alcalina Cordillera bolsa x 5 kg</t>
  </si>
  <si>
    <t>Galleta NAVIDAD Grande Bs. 200g -33</t>
  </si>
  <si>
    <t>PANETON ZIP LOC X 800G WONG</t>
  </si>
  <si>
    <t>Panetón Máxima Cajax6undx800g</t>
  </si>
  <si>
    <t>Gta. Chin Chin Emoti 14risx6undx47g</t>
  </si>
  <si>
    <t>Gta Chin Chin Emoti 44undx47g</t>
  </si>
  <si>
    <t>Paneton Winters Chocochisp Doy6ux500g FP</t>
  </si>
  <si>
    <t xml:space="preserve">Gta. PICARAS MINI XT KPOP NICJx44ux46g  </t>
  </si>
  <si>
    <t>Gta. PICARAS Mini XT KPOP 14risx6x46g</t>
  </si>
  <si>
    <t>Gta. PICARAS MINI Clas KPOP CJx44ux46g</t>
  </si>
  <si>
    <t xml:space="preserve">Glina.Chin Chin Chocopop SS 8dpx10ux20g </t>
  </si>
  <si>
    <t xml:space="preserve">Glina.Chin Chin Chocopop SS 3dpx10ux80g </t>
  </si>
  <si>
    <t>Gta. PICARAS Mini Clas KPOP 14risx6x46g</t>
  </si>
  <si>
    <t>Galleta NAVIDAD Noel Pl. 200g -33</t>
  </si>
  <si>
    <t>Galleta NAVIDAD Winters 24undx120g</t>
  </si>
  <si>
    <t>Gta.Picaras capuchino 30bsx6ux38g</t>
  </si>
  <si>
    <t>Glina. Chin Chin Mini 16bsx32ux7g NF NAV</t>
  </si>
  <si>
    <t>Glina.Fochis Pasas 18dpx24ux12g</t>
  </si>
  <si>
    <t>Glina.MontblancBombavell12plx4unx12gPE</t>
  </si>
  <si>
    <t>Glina.MontblancBombavell12plx10unx12gPE</t>
  </si>
  <si>
    <t>Pasab. GRANUTS Kraks Picante 12Risx6ux25g PE</t>
  </si>
  <si>
    <t>Pasab. GRANUTS Kraks Picante 8Plex12ux40g PE</t>
  </si>
  <si>
    <t>Pasab. GRANUTS Kraks Picante 24ux100g PE</t>
  </si>
  <si>
    <t>Oft.ShakerChocolisto12bolx360gFTROP PE</t>
  </si>
  <si>
    <t>Glina. Winters Mani Cj 20Dispx12ux18g</t>
  </si>
  <si>
    <t>Glina.ChinChin Mini 12bsx32ux7gNFmas6un</t>
  </si>
  <si>
    <t>Glina.ChinChinMini 12bsx32ux7gNFmas6unNV</t>
  </si>
  <si>
    <t>Paneton Winters TRADI. INSTI. 1kg</t>
  </si>
  <si>
    <t>Glina.chinchin 24dpx16ux30g NF</t>
  </si>
  <si>
    <t>Paneton Winter´s 800 FP</t>
  </si>
  <si>
    <t>Paneton Winter´s 6undx500g FP</t>
  </si>
  <si>
    <t>Glina. Chin Chin Mini 16bsx32ux7g2uad</t>
  </si>
  <si>
    <t xml:space="preserve">Glina. Chin Chin CN 24dpx24ux16g3uad </t>
  </si>
  <si>
    <t>Pasab.GRANUTS Arand mix 12risx6unx25gPE</t>
  </si>
  <si>
    <t>Cafe COLCAFE Descaf fco. Xport 40g Int</t>
  </si>
  <si>
    <t>3 en 1 COLCAFE fco. 380g x 12un CAM</t>
  </si>
  <si>
    <t>Pasb.GRANUTS PartyMix 8Plex12unx40g INT</t>
  </si>
  <si>
    <t>Pasab. GRANUTS PartyMix 18dpkx160g PE</t>
  </si>
  <si>
    <t>Pasab. GRANUTS ManiPasas 8Plex12ux40gPE</t>
  </si>
  <si>
    <t>Glina.Chin Chin Punch 18Dpx28ux13g</t>
  </si>
  <si>
    <t xml:space="preserve">Oft.ColoresChocolistoChocx360gPER       </t>
  </si>
  <si>
    <t xml:space="preserve">Chips SCH WINTERS 16und x 200g          </t>
  </si>
  <si>
    <t>Galleta DUCALES Bs. 9x3 -33</t>
  </si>
  <si>
    <t>Glina. Ole Ole SanValentin 15bsx50ux4g</t>
  </si>
  <si>
    <t>Glina. Ole Ole SanValentin x24 UN</t>
  </si>
  <si>
    <t xml:space="preserve">Glina.Chin Chin Choconejo 18Blx4ux16g   </t>
  </si>
  <si>
    <t xml:space="preserve">Glina.Chin Chin Choconejo 9dpx10ux16g   </t>
  </si>
  <si>
    <t>Glina. Chin Chin Mini 16bsx32ux7g NF PAS</t>
  </si>
  <si>
    <t>Glina.ChinChinMini12bsx32ux7gNFmas6unPAS</t>
  </si>
  <si>
    <t>C</t>
  </si>
  <si>
    <t>Pasab.GRANUTS MezAra 18DPCK.x160g PE</t>
  </si>
  <si>
    <t>Gta.PICARAS XL Clasicas AC 10CJx6ux57g</t>
  </si>
  <si>
    <t>Gta.PICARAS XL Clasicas AC NI 24ux57g</t>
  </si>
  <si>
    <t xml:space="preserve">Códigos críticos </t>
  </si>
  <si>
    <t>Glina.MontblancAveSurt16Estx7un EF PE</t>
  </si>
  <si>
    <t>Glina.MontblancAveSurt12Dpkx8un EF PE</t>
  </si>
  <si>
    <t>Pasab.GRANUTS MezcNueces 8Plex12ux40gPE</t>
  </si>
  <si>
    <t>Pasab. GRANUTS MezArand 8Plex12ux40g PE</t>
  </si>
  <si>
    <t>Gta.PICARAS Clasicas RTS 18bsx6ux38g</t>
  </si>
  <si>
    <t>Avance Vta.</t>
  </si>
  <si>
    <t>CEDI FINAL</t>
  </si>
  <si>
    <t>%V Mes actual</t>
  </si>
  <si>
    <t>Plan de demanda</t>
  </si>
  <si>
    <t>Glina. Ole Ole Vainilla RTS 24bsx24ux4g</t>
  </si>
  <si>
    <t>Glina. Winters Mani Cj 20Dispx24ux18g</t>
  </si>
  <si>
    <t>Marca privada B2B</t>
  </si>
  <si>
    <t>Cho. HELENA leche 45% Cjx24dpx10ux50g</t>
  </si>
  <si>
    <t>Chocolate HELENA 60% SAz Cjx24dpx10ux50g</t>
  </si>
  <si>
    <t>Chocolate HELENA 60% Cjx24dpx10ux50g</t>
  </si>
  <si>
    <t>Cho. HELENA leche 45% SAz Cjx24dx10ux50g</t>
  </si>
  <si>
    <t>Cocoa Winters RTS Cjx13ux90g</t>
  </si>
  <si>
    <t>Panetón Máxima Cajax6undx750g</t>
  </si>
  <si>
    <t>Existirá ingreso de 3,336 und que brinda una cobertura de 138 días e ingresará entre el 12/05/26 - 18/05/26</t>
  </si>
  <si>
    <t>Existirá ingreso de 18,336 und que brinda una cobertura de 34 días e ingresará entre el 12/05/26 - 18/05/26</t>
  </si>
  <si>
    <t>Existirá ingreso de 11,700 und que brinda una cobertura de 35 días e ingresará entre el 12/05/26 - 18/05/26</t>
  </si>
  <si>
    <t>Existirá ingreso de 11,747 und que brinda una cobertura de 15 días e ingresará entre el 19/05/26 - 25/05/26</t>
  </si>
  <si>
    <t>Existirá ingreso de 3,024 und que brinda una cobertura de 11 días e ingresará entre el 12/05/26 - 18/05/26</t>
  </si>
  <si>
    <t>Existirá ingreso de 13,800 und que brinda una cobertura de 49 días e ingresará entre el 12/05/26 - 18/05/26</t>
  </si>
  <si>
    <t>Existirá ingreso de 13,464 und que brinda una cobertura de 5 días e ingresará entre el 19/05/26 - 25/05/26</t>
  </si>
  <si>
    <t>Existirá ingreso de 5,632 und que brinda una cobertura de 34 días e ingresará entre el 12/05/26 - 18/05/26</t>
  </si>
  <si>
    <t>Existirá ingreso de 36,120 und que brinda una cobertura de 28 días e ingresará entre el 12/05/26 - 18/05/26</t>
  </si>
  <si>
    <t>Existirá ingreso de 12,890 und que brinda una cobertura de 48 días e ingresará entre el 12/05/26 - 18/05/26</t>
  </si>
  <si>
    <t>Existirá ingreso de 10,365 und que brinda una cobertura de 6 días e ingresará entre el 19/05/26 - 25/05/26</t>
  </si>
  <si>
    <t>Existirá ingreso de 261,336 und que brinda una cobertura de 9 días e ingresará entre el 12/05/26 - 18/05/26</t>
  </si>
  <si>
    <t>Existirá ingreso de 12,912 und que brinda una cobertura de 23 días e ingresará entre el 12/05/26 - 18/05/26</t>
  </si>
  <si>
    <t>Existirá ingreso de 138,855 und que brinda una cobertura de 18 días e ingresará entre el 12/05/26 - 18/05/26</t>
  </si>
  <si>
    <t>Existirá ingreso de 7,920 und que brinda una cobertura de 15 días e ingresará entre el 12/05/26 - 18/05/26</t>
  </si>
  <si>
    <t>Existirá ingreso de 170,520 und que brinda una cobertura de 16 días e ingresará entre el 12/05/26 - 18/05/26</t>
  </si>
  <si>
    <t>Existirá ingreso de 3,573 und que brinda una cobertura de 17 días e ingresará entre el 19/05/26 - 25/05/26</t>
  </si>
  <si>
    <t>Existirá ingreso de 14,505 und que brinda una cobertura de 18 días e ingresará entre el 19/05/26 - 25/05/26</t>
  </si>
  <si>
    <t>Existirá ingreso de 6,958 und que brinda una cobertura de 25 días e ingresará entre el 12/05/26 - 18/05/26</t>
  </si>
  <si>
    <t>Existirá ingreso de 338 und que brinda una cobertura de 25 días e ingresará entre el 19/05/26 - 25/05/26</t>
  </si>
  <si>
    <t>Existirá ingreso de 31,224 und que brinda una cobertura de 18 días e ingresará entre el 12/05/26 - 18/05/26</t>
  </si>
  <si>
    <t>Existirá ingreso de 9,300 und que brinda una cobertura de 4 días e ingresará entre el 12/05/26 - 18/05/26</t>
  </si>
  <si>
    <t>Existirá ingreso de 16,440 und que brinda una cobertura de 8 días e ingresará entre el 12/05/26 - 18/05/26</t>
  </si>
  <si>
    <t>Existirá ingreso de 890 und que brinda una cobertura de 6 días e ingresará entre el 19/05/26 - 25/05/26</t>
  </si>
  <si>
    <t>Existirá ingreso de 11,088 und que brinda una cobertura de 6 días e ingresará entre el 12/05/26 - 18/05/26</t>
  </si>
  <si>
    <t>Existirá ingreso de 23,508 und que brinda una cobertura de 44 días e ingresará entre el 19/05/26 - 25/05/26</t>
  </si>
  <si>
    <t>Existirá ingreso de 28,512 und que brinda una cobertura de 11 días e ingresará entre el 12/05/26 - 18/05/26</t>
  </si>
  <si>
    <t>Existirá ingreso de 2,004 und que brinda una cobertura de 27 días e ingresará entre el 26/05/26 - 01/06/26</t>
  </si>
  <si>
    <t>Existirá ingreso de 9,856 und que brinda una cobertura de 19 días e ingresará entre el 12/05/26 - 18/05/26</t>
  </si>
  <si>
    <t>Existirá ingreso de 14,040 und que brinda una cobertura de 14 días e ingresará entre el 19/05/26 - 25/05/26</t>
  </si>
  <si>
    <t>Existirá ingreso de 1,240 und que brinda una cobertura de 10 días e ingresará entre el 26/05/26 - 01/06/26</t>
  </si>
  <si>
    <t>Existirá ingreso de 440 und que brinda una cobertura de 1 días e ingresará entre el 12/05/26 - 18/05/26</t>
  </si>
  <si>
    <t>Existirá ingreso de 1,440 und que brinda una cobertura de 3 días e ingresará entre el 12/05/26 - 18/05/26</t>
  </si>
  <si>
    <t>Existirá ingreso de 2,416 und que brinda una cobertura de 28 días e ingresará entre el 26/05/26 - 01/06/26</t>
  </si>
  <si>
    <t>Existirá ingreso de 9,256 und que brinda una cobertura de 17 días e ingresará entre el 12/05/26 - 18/05/26</t>
  </si>
  <si>
    <t>Existirá ingreso de 4,728 und que brinda una cobertura de 30 días e ingresará entre el 19/05/26 - 25/05/26</t>
  </si>
  <si>
    <t>Existirá ingreso de 5,148 und que brinda una cobertura de 9 días e ingresará entre el 19/05/26 - 25/05/26</t>
  </si>
  <si>
    <t>Existirá ingreso de 8,004 und que brinda una cobertura de 11 días e ingresará entre el 19/05/26 - 25/05/26</t>
  </si>
  <si>
    <t>Existirá ingreso de 4,688 und que brinda una cobertura de 9 días e ingresará entre el 12/05/26 - 18/05/26</t>
  </si>
  <si>
    <t>Existirá ingreso de 10,188 und que brinda una cobertura de 30 días e ingresará entre el 19/05/26 - 25/05/26</t>
  </si>
  <si>
    <t>Producto se estaá revisando en slow mover</t>
  </si>
  <si>
    <t>Producto reemplazado momentaneamiente por la ref CP</t>
  </si>
  <si>
    <t>En producción 1500und esta semana (tener en cuenta los 7 días de bloqueo de calidad)</t>
  </si>
  <si>
    <t>Gta.Semibañad Baldaracci cj8packsx6ux32g</t>
  </si>
  <si>
    <t>Existirá ingreso de 1440und de Calidad al CEDI el 18.05</t>
  </si>
  <si>
    <t>Existirá ingreso de 20,556 und que brinda cobertura de 61 dias e ingresará el 21.05</t>
  </si>
  <si>
    <t>Exisirá ingreso de 18616und que brinda una cobertura de 19 dias - ingreso estimado el 27.05</t>
  </si>
  <si>
    <t>Esta demanda se ha asignado para otro cliente para el mes de Junio</t>
  </si>
  <si>
    <t>Se coordinó con calidad para su liberación y ya se encuentra disponible en CEDI - Cobertura de 19 días</t>
  </si>
  <si>
    <t>Posible ingreso 15.06 al CEDI</t>
  </si>
  <si>
    <t>Posible ingreso 05.06 al CEDI - 33080 und - CME2-9605</t>
  </si>
  <si>
    <t>Posible ingreso entre 08.06 - 12.06  -  19416und  -  CHE33181</t>
  </si>
  <si>
    <t>Posible ingreso 04.06 al CEDI - 95520 und</t>
  </si>
  <si>
    <t>Posible ingreso 02.06 a CEDI - 1920und que brinda una cobertura de 2 días</t>
  </si>
  <si>
    <t>Posible embarque 12.06 - 5784und</t>
  </si>
  <si>
    <t>Posible ingreso 10.06 al CEDI - 40518 und -  CHE3-3183</t>
  </si>
  <si>
    <t>Existirá ingreso de 20032 und que brinda una cobertura de 32 días e ingresará entre el 01.06</t>
  </si>
  <si>
    <t>Existirá ingreso de 14363 und que brinda una cobertura de 22 días e ingresará entre el 01.06 - 0.06</t>
  </si>
  <si>
    <t>Existirá ingreso de 9,955 und que brinda una cobertura de 13 días e ingresará entre el 01.06 - 0.06</t>
  </si>
  <si>
    <t>En proceso de desontinuacion - Cambio de gramaje a 40g</t>
  </si>
  <si>
    <t xml:space="preserve">Fecha estimada de llegada 04.06 - 4000und </t>
  </si>
  <si>
    <t>En proceso de desontinuacion</t>
  </si>
  <si>
    <t>Se desbloquea 20624und de CEDI el 26.05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</si>
</sst>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[$-F800]dddd\,\ mmmm\ dd\,\ yyyy"/>
    <numFmt numFmtId="168" formatCode="_(* #,##0.0_);_(* \(#,##0.0\);_(* &quot;-&quot;??_);_(@_)"/>
    <numFmt numFmtId="169" formatCode="_(* #,##0.000000_);_(* \(#,##0.000000\);_(* &quot;-&quot;??_);_(@_)"/>
    <numFmt numFmtId="170" formatCode="0.000000000"/>
    <numFmt numFmtId="171" formatCode="_-&quot;S/&quot;\ * #,##0_-;\-&quot;S/&quot;\ * #,##0_-;_-&quot;S/&quot;\ * &quot;-&quot;??_-;_-@_-"/>
  </numFmts>
  <fonts count="3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67">
    <xf numFmtId="0" fontId="0" fillId="0" borderId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34" applyNumberFormat="0" applyFill="0" applyAlignment="0" applyProtection="0"/>
    <xf numFmtId="0" fontId="18" fillId="0" borderId="35" applyNumberFormat="0" applyFill="0" applyAlignment="0" applyProtection="0"/>
    <xf numFmtId="0" fontId="19" fillId="0" borderId="36" applyNumberFormat="0" applyFill="0" applyAlignment="0" applyProtection="0"/>
    <xf numFmtId="0" fontId="19" fillId="0" borderId="0" applyNumberFormat="0" applyFill="0" applyBorder="0" applyAlignment="0" applyProtection="0"/>
    <xf numFmtId="0" fontId="20" fillId="15" borderId="0" applyNumberFormat="0" applyBorder="0" applyAlignment="0" applyProtection="0"/>
    <xf numFmtId="0" fontId="21" fillId="16" borderId="0" applyNumberFormat="0" applyBorder="0" applyAlignment="0" applyProtection="0"/>
    <xf numFmtId="0" fontId="22" fillId="17" borderId="0" applyNumberFormat="0" applyBorder="0" applyAlignment="0" applyProtection="0"/>
    <xf numFmtId="0" fontId="23" fillId="18" borderId="37" applyNumberFormat="0" applyAlignment="0" applyProtection="0"/>
    <xf numFmtId="0" fontId="24" fillId="19" borderId="38" applyNumberFormat="0" applyAlignment="0" applyProtection="0"/>
    <xf numFmtId="0" fontId="25" fillId="19" borderId="37" applyNumberFormat="0" applyAlignment="0" applyProtection="0"/>
    <xf numFmtId="0" fontId="26" fillId="0" borderId="39" applyNumberFormat="0" applyFill="0" applyAlignment="0" applyProtection="0"/>
    <xf numFmtId="0" fontId="8" fillId="20" borderId="40" applyNumberFormat="0" applyAlignment="0" applyProtection="0"/>
    <xf numFmtId="0" fontId="27" fillId="0" borderId="0" applyNumberFormat="0" applyFill="0" applyBorder="0" applyAlignment="0" applyProtection="0"/>
    <xf numFmtId="0" fontId="7" fillId="21" borderId="41" applyNumberFormat="0" applyFont="0" applyAlignment="0" applyProtection="0"/>
    <xf numFmtId="0" fontId="28" fillId="0" borderId="0" applyNumberFormat="0" applyFill="0" applyBorder="0" applyAlignment="0" applyProtection="0"/>
    <xf numFmtId="0" fontId="9" fillId="0" borderId="42" applyNumberFormat="0" applyFill="0" applyAlignment="0" applyProtection="0"/>
    <xf numFmtId="0" fontId="11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2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11" fillId="45" borderId="0" applyNumberFormat="0" applyBorder="0" applyAlignment="0" applyProtection="0"/>
    <xf numFmtId="0" fontId="29" fillId="0" borderId="0"/>
    <xf numFmtId="43" fontId="7" fillId="0" borderId="0" applyFont="0" applyFill="0" applyBorder="0" applyAlignment="0" applyProtection="0"/>
    <xf numFmtId="0" fontId="30" fillId="0" borderId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" fillId="0" borderId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1" fillId="0" borderId="0" applyFont="0" applyFill="0" applyBorder="0" applyAlignment="0" applyProtection="0"/>
  </cellStyleXfs>
  <cellXfs count="210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3" xfId="0" applyFont="1" applyBorder="1" applyAlignment="1">
      <alignment vertical="center"/>
    </xf>
    <xf numFmtId="10" fontId="6" fillId="0" borderId="3" xfId="6" applyNumberFormat="1" applyFont="1" applyBorder="1" applyAlignment="1">
      <alignment vertical="center"/>
    </xf>
    <xf numFmtId="3" fontId="3" fillId="2" borderId="6" xfId="1" applyNumberFormat="1" applyFont="1" applyFill="1" applyBorder="1" applyAlignment="1">
      <alignment horizontal="left" vertical="center" wrapText="1"/>
    </xf>
    <xf numFmtId="0" fontId="1" fillId="0" borderId="8" xfId="1" applyFont="1" applyBorder="1" applyAlignment="1">
      <alignment horizontal="left" vertical="center"/>
    </xf>
    <xf numFmtId="3" fontId="3" fillId="2" borderId="8" xfId="1" applyNumberFormat="1" applyFont="1" applyFill="1" applyBorder="1" applyAlignment="1">
      <alignment horizontal="left" vertical="center" wrapText="1"/>
    </xf>
    <xf numFmtId="0" fontId="1" fillId="0" borderId="10" xfId="1" applyFont="1" applyBorder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6" fillId="0" borderId="1" xfId="4" applyFont="1" applyBorder="1" applyAlignment="1">
      <alignment horizontal="center" wrapText="1"/>
    </xf>
    <xf numFmtId="0" fontId="6" fillId="0" borderId="1" xfId="4" applyFont="1" applyBorder="1" applyAlignment="1">
      <alignment horizontal="center"/>
    </xf>
    <xf numFmtId="165" fontId="1" fillId="0" borderId="0" xfId="3" applyNumberFormat="1" applyFont="1" applyAlignment="1">
      <alignment vertical="center"/>
    </xf>
    <xf numFmtId="168" fontId="1" fillId="0" borderId="0" xfId="3" applyNumberFormat="1" applyFont="1" applyAlignment="1">
      <alignment vertical="center"/>
    </xf>
    <xf numFmtId="169" fontId="1" fillId="0" borderId="0" xfId="3" applyNumberFormat="1" applyFont="1" applyAlignment="1">
      <alignment vertical="center"/>
    </xf>
    <xf numFmtId="168" fontId="6" fillId="0" borderId="0" xfId="0" applyNumberFormat="1" applyFont="1" applyAlignment="1">
      <alignment vertical="center"/>
    </xf>
    <xf numFmtId="3" fontId="12" fillId="0" borderId="0" xfId="3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right" vertical="center"/>
    </xf>
    <xf numFmtId="2" fontId="5" fillId="0" borderId="0" xfId="1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  <xf numFmtId="166" fontId="5" fillId="0" borderId="0" xfId="1" applyNumberFormat="1" applyFont="1" applyAlignment="1">
      <alignment horizontal="right" vertical="center"/>
    </xf>
    <xf numFmtId="1" fontId="6" fillId="0" borderId="0" xfId="0" applyNumberFormat="1" applyFont="1" applyAlignment="1">
      <alignment horizontal="center" vertical="center"/>
    </xf>
    <xf numFmtId="3" fontId="3" fillId="7" borderId="16" xfId="1" applyNumberFormat="1" applyFont="1" applyFill="1" applyBorder="1" applyAlignment="1">
      <alignment horizontal="center" vertical="center" wrapText="1"/>
    </xf>
    <xf numFmtId="3" fontId="3" fillId="7" borderId="0" xfId="1" applyNumberFormat="1" applyFont="1" applyFill="1" applyAlignment="1">
      <alignment horizontal="center" vertical="center" wrapText="1"/>
    </xf>
    <xf numFmtId="3" fontId="3" fillId="7" borderId="17" xfId="1" applyNumberFormat="1" applyFont="1" applyFill="1" applyBorder="1" applyAlignment="1">
      <alignment horizontal="center" vertical="center" wrapText="1"/>
    </xf>
    <xf numFmtId="0" fontId="3" fillId="7" borderId="17" xfId="1" applyFont="1" applyFill="1" applyBorder="1" applyAlignment="1">
      <alignment horizontal="center" vertical="center" wrapText="1"/>
    </xf>
    <xf numFmtId="0" fontId="3" fillId="7" borderId="18" xfId="1" applyFont="1" applyFill="1" applyBorder="1" applyAlignment="1">
      <alignment horizontal="center" vertical="center" wrapText="1"/>
    </xf>
    <xf numFmtId="0" fontId="3" fillId="2" borderId="18" xfId="1" applyFont="1" applyFill="1" applyBorder="1" applyAlignment="1">
      <alignment horizontal="center" vertical="center" wrapText="1"/>
    </xf>
    <xf numFmtId="3" fontId="3" fillId="7" borderId="18" xfId="3" applyNumberFormat="1" applyFont="1" applyFill="1" applyBorder="1" applyAlignment="1">
      <alignment horizontal="center" vertical="center" wrapText="1"/>
    </xf>
    <xf numFmtId="9" fontId="3" fillId="7" borderId="18" xfId="2" applyFont="1" applyFill="1" applyBorder="1" applyAlignment="1">
      <alignment horizontal="center" vertical="center" wrapText="1"/>
    </xf>
    <xf numFmtId="3" fontId="3" fillId="7" borderId="18" xfId="1" applyNumberFormat="1" applyFont="1" applyFill="1" applyBorder="1" applyAlignment="1">
      <alignment horizontal="center" vertical="center" wrapText="1"/>
    </xf>
    <xf numFmtId="3" fontId="3" fillId="2" borderId="18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10" fontId="5" fillId="0" borderId="11" xfId="6" applyNumberFormat="1" applyFont="1" applyBorder="1" applyAlignment="1">
      <alignment horizontal="center" vertical="center"/>
    </xf>
    <xf numFmtId="9" fontId="3" fillId="8" borderId="18" xfId="2" applyFont="1" applyFill="1" applyBorder="1" applyAlignment="1">
      <alignment horizontal="center" vertical="center" wrapText="1"/>
    </xf>
    <xf numFmtId="165" fontId="3" fillId="8" borderId="18" xfId="3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170" fontId="6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4" fontId="12" fillId="0" borderId="0" xfId="3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vertical="center"/>
    </xf>
    <xf numFmtId="0" fontId="13" fillId="0" borderId="23" xfId="0" applyFont="1" applyBorder="1" applyAlignment="1">
      <alignment horizontal="center" vertical="center"/>
    </xf>
    <xf numFmtId="0" fontId="13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3" fillId="0" borderId="24" xfId="0" applyFont="1" applyBorder="1" applyAlignment="1">
      <alignment horizontal="center" vertical="center"/>
    </xf>
    <xf numFmtId="0" fontId="3" fillId="2" borderId="21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3" applyNumberFormat="1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5" fillId="10" borderId="3" xfId="3" applyNumberFormat="1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15" fillId="0" borderId="0" xfId="0" applyFont="1"/>
    <xf numFmtId="14" fontId="2" fillId="0" borderId="3" xfId="3" applyNumberFormat="1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center" vertical="center" wrapText="1"/>
    </xf>
    <xf numFmtId="16" fontId="6" fillId="0" borderId="0" xfId="0" applyNumberFormat="1" applyFont="1" applyAlignment="1">
      <alignment vertical="center"/>
    </xf>
    <xf numFmtId="0" fontId="5" fillId="0" borderId="3" xfId="0" applyFont="1" applyBorder="1" applyAlignment="1">
      <alignment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2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0" xfId="0" applyNumberFormat="1"/>
    <xf numFmtId="0" fontId="0" fillId="0" borderId="26" xfId="0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30" xfId="0" applyFont="1" applyBorder="1"/>
    <xf numFmtId="0" fontId="0" fillId="0" borderId="30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3" fillId="2" borderId="20" xfId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wrapText="1"/>
    </xf>
    <xf numFmtId="0" fontId="6" fillId="0" borderId="30" xfId="4" applyFont="1" applyBorder="1" applyAlignment="1">
      <alignment horizontal="center"/>
    </xf>
    <xf numFmtId="0" fontId="3" fillId="2" borderId="25" xfId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0" fillId="0" borderId="19" xfId="0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8" fillId="8" borderId="2" xfId="0" applyFont="1" applyFill="1" applyBorder="1" applyAlignment="1">
      <alignment horizontal="center" vertical="center" wrapText="1"/>
    </xf>
    <xf numFmtId="0" fontId="2" fillId="0" borderId="3" xfId="3" applyNumberFormat="1" applyFont="1" applyFill="1" applyBorder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13" fillId="11" borderId="21" xfId="0" applyFont="1" applyFill="1" applyBorder="1" applyAlignment="1">
      <alignment vertical="center"/>
    </xf>
    <xf numFmtId="10" fontId="5" fillId="0" borderId="0" xfId="6" applyNumberFormat="1" applyFont="1" applyBorder="1" applyAlignment="1">
      <alignment horizontal="center" vertical="center"/>
    </xf>
    <xf numFmtId="9" fontId="3" fillId="9" borderId="18" xfId="2" applyFont="1" applyFill="1" applyBorder="1" applyAlignment="1">
      <alignment horizontal="center" vertical="center" wrapText="1"/>
    </xf>
    <xf numFmtId="3" fontId="3" fillId="2" borderId="32" xfId="1" applyNumberFormat="1" applyFont="1" applyFill="1" applyBorder="1" applyAlignment="1">
      <alignment horizontal="left" vertical="center" wrapText="1"/>
    </xf>
    <xf numFmtId="165" fontId="1" fillId="0" borderId="33" xfId="3" applyNumberFormat="1" applyFont="1" applyBorder="1" applyAlignment="1">
      <alignment horizontal="center" vertical="center"/>
    </xf>
    <xf numFmtId="0" fontId="1" fillId="12" borderId="18" xfId="1" applyFont="1" applyFill="1" applyBorder="1" applyAlignment="1">
      <alignment horizontal="center" vertical="center" wrapText="1"/>
    </xf>
    <xf numFmtId="0" fontId="6" fillId="13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9" fontId="6" fillId="0" borderId="0" xfId="6" applyFont="1" applyAlignment="1">
      <alignment horizontal="center" vertical="center"/>
    </xf>
    <xf numFmtId="171" fontId="10" fillId="2" borderId="7" xfId="8" applyNumberFormat="1" applyFont="1" applyFill="1" applyBorder="1" applyAlignment="1">
      <alignment horizontal="center" vertical="center"/>
    </xf>
    <xf numFmtId="171" fontId="6" fillId="0" borderId="9" xfId="8" applyNumberFormat="1" applyFont="1" applyBorder="1" applyAlignment="1">
      <alignment horizontal="center" vertical="center"/>
    </xf>
    <xf numFmtId="171" fontId="10" fillId="2" borderId="9" xfId="8" applyNumberFormat="1" applyFont="1" applyFill="1" applyBorder="1" applyAlignment="1">
      <alignment horizontal="center" vertical="center"/>
    </xf>
    <xf numFmtId="43" fontId="6" fillId="0" borderId="5" xfId="9" applyFont="1" applyFill="1" applyBorder="1" applyAlignment="1">
      <alignment horizontal="center" vertical="center"/>
    </xf>
    <xf numFmtId="10" fontId="1" fillId="0" borderId="0" xfId="6" applyNumberFormat="1" applyFont="1" applyAlignment="1">
      <alignment vertical="center"/>
    </xf>
    <xf numFmtId="0" fontId="6" fillId="46" borderId="0" xfId="0" applyFont="1" applyFill="1" applyAlignment="1">
      <alignment vertical="center"/>
    </xf>
    <xf numFmtId="1" fontId="5" fillId="0" borderId="18" xfId="0" applyNumberFormat="1" applyFont="1" applyBorder="1" applyAlignment="1">
      <alignment horizontal="center" vertical="center"/>
    </xf>
    <xf numFmtId="0" fontId="6" fillId="47" borderId="0" xfId="0" applyFont="1" applyFill="1" applyAlignment="1">
      <alignment horizontal="center" vertical="center"/>
    </xf>
    <xf numFmtId="9" fontId="6" fillId="0" borderId="0" xfId="6" applyFont="1" applyAlignment="1">
      <alignment vertical="center"/>
    </xf>
    <xf numFmtId="171" fontId="6" fillId="0" borderId="3" xfId="8" applyNumberFormat="1" applyFont="1" applyBorder="1" applyAlignment="1">
      <alignment horizontal="center" vertical="center"/>
    </xf>
    <xf numFmtId="1" fontId="6" fillId="0" borderId="0" xfId="0" applyNumberFormat="1" applyFont="1" applyAlignment="1">
      <alignment vertical="center"/>
    </xf>
    <xf numFmtId="0" fontId="3" fillId="7" borderId="21" xfId="1" applyFont="1" applyFill="1" applyBorder="1" applyAlignment="1">
      <alignment horizontal="center" vertical="center" wrapText="1"/>
    </xf>
    <xf numFmtId="0" fontId="6" fillId="49" borderId="0" xfId="0" applyFont="1" applyFill="1" applyAlignment="1">
      <alignment horizontal="center" vertical="center"/>
    </xf>
    <xf numFmtId="1" fontId="5" fillId="0" borderId="23" xfId="0" applyNumberFormat="1" applyFont="1" applyBorder="1" applyAlignment="1">
      <alignment horizontal="center" vertical="center"/>
    </xf>
    <xf numFmtId="10" fontId="6" fillId="0" borderId="21" xfId="6" applyNumberFormat="1" applyFont="1" applyBorder="1" applyAlignment="1">
      <alignment vertical="center"/>
    </xf>
    <xf numFmtId="14" fontId="2" fillId="0" borderId="3" xfId="3" applyNumberFormat="1" applyFont="1" applyFill="1" applyBorder="1" applyAlignment="1">
      <alignment horizontal="left" vertical="center" wrapText="1"/>
    </xf>
    <xf numFmtId="3" fontId="6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9" fontId="6" fillId="0" borderId="21" xfId="6" applyFont="1" applyBorder="1" applyAlignment="1">
      <alignment horizontal="center" vertical="center"/>
    </xf>
    <xf numFmtId="9" fontId="6" fillId="0" borderId="3" xfId="6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1" fontId="6" fillId="0" borderId="3" xfId="6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6" fillId="47" borderId="3" xfId="0" applyFont="1" applyFill="1" applyBorder="1" applyAlignment="1">
      <alignment vertical="center"/>
    </xf>
    <xf numFmtId="0" fontId="6" fillId="13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vertical="center"/>
    </xf>
    <xf numFmtId="3" fontId="6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13" borderId="3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21" xfId="0" applyFont="1" applyBorder="1" applyAlignment="1">
      <alignment vertical="center"/>
    </xf>
    <xf numFmtId="0" fontId="6" fillId="0" borderId="44" xfId="0" applyFont="1" applyBorder="1" applyAlignment="1">
      <alignment horizontal="center" vertical="center"/>
    </xf>
    <xf numFmtId="3" fontId="6" fillId="0" borderId="21" xfId="0" applyNumberFormat="1" applyFont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2" fillId="48" borderId="3" xfId="0" applyFont="1" applyFill="1" applyBorder="1" applyAlignment="1">
      <alignment horizontal="center" vertical="center"/>
    </xf>
    <xf numFmtId="0" fontId="12" fillId="48" borderId="3" xfId="0" applyFont="1" applyFill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45" xfId="0" applyFont="1" applyBorder="1" applyAlignment="1">
      <alignment vertical="center"/>
    </xf>
    <xf numFmtId="0" fontId="6" fillId="48" borderId="3" xfId="0" applyFont="1" applyFill="1" applyBorder="1" applyAlignment="1">
      <alignment horizontal="center" vertical="center"/>
    </xf>
    <xf numFmtId="0" fontId="6" fillId="48" borderId="3" xfId="0" applyFont="1" applyFill="1" applyBorder="1" applyAlignment="1">
      <alignment vertical="center"/>
    </xf>
    <xf numFmtId="0" fontId="6" fillId="46" borderId="3" xfId="0" applyFont="1" applyFill="1" applyBorder="1" applyAlignment="1">
      <alignment horizontal="center" vertical="center"/>
    </xf>
    <xf numFmtId="0" fontId="6" fillId="46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vertical="center"/>
    </xf>
    <xf numFmtId="0" fontId="6" fillId="47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6" fillId="0" borderId="46" xfId="0" applyFont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vertical="center"/>
    </xf>
    <xf numFmtId="0" fontId="0" fillId="0" borderId="3" xfId="0" applyBorder="1" applyAlignment="1">
      <alignment horizontal="left"/>
    </xf>
    <xf numFmtId="0" fontId="6" fillId="0" borderId="3" xfId="0" applyFont="1" applyBorder="1"/>
    <xf numFmtId="1" fontId="6" fillId="0" borderId="21" xfId="6" applyNumberFormat="1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7" xfId="0" applyFont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6" fillId="47" borderId="21" xfId="0" applyFont="1" applyFill="1" applyBorder="1" applyAlignment="1">
      <alignment horizontal="center" vertical="center"/>
    </xf>
    <xf numFmtId="0" fontId="6" fillId="47" borderId="21" xfId="0" applyFont="1" applyFill="1" applyBorder="1" applyAlignment="1">
      <alignment vertical="center"/>
    </xf>
    <xf numFmtId="0" fontId="12" fillId="0" borderId="21" xfId="0" applyFont="1" applyBorder="1" applyAlignment="1">
      <alignment horizontal="left" vertical="center"/>
    </xf>
    <xf numFmtId="171" fontId="6" fillId="0" borderId="21" xfId="8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3" fontId="6" fillId="0" borderId="48" xfId="0" applyNumberFormat="1" applyFont="1" applyBorder="1" applyAlignment="1">
      <alignment horizontal="center"/>
    </xf>
    <xf numFmtId="14" fontId="9" fillId="0" borderId="14" xfId="0" applyNumberFormat="1" applyFont="1" applyBorder="1"/>
    <xf numFmtId="0" fontId="0" fillId="0" borderId="3" xfId="0" applyBorder="1" applyAlignment="1">
      <alignment horizontal="center"/>
    </xf>
    <xf numFmtId="0" fontId="0" fillId="0" borderId="3" xfId="0" applyBorder="1"/>
    <xf numFmtId="3" fontId="6" fillId="0" borderId="3" xfId="0" applyNumberFormat="1" applyFont="1" applyBorder="1" applyAlignment="1">
      <alignment horizontal="center"/>
    </xf>
    <xf numFmtId="3" fontId="6" fillId="0" borderId="48" xfId="0" applyNumberFormat="1" applyFont="1" applyBorder="1" applyAlignment="1">
      <alignment horizontal="center" vertical="center"/>
    </xf>
    <xf numFmtId="14" fontId="2" fillId="0" borderId="3" xfId="3" quotePrefix="1" applyNumberFormat="1" applyFont="1" applyFill="1" applyBorder="1" applyAlignment="1">
      <alignment horizontal="center" vertical="center"/>
    </xf>
    <xf numFmtId="14" fontId="2" fillId="0" borderId="3" xfId="3" applyNumberFormat="1" applyFont="1" applyFill="1" applyBorder="1" applyAlignment="1">
      <alignment horizontal="center" vertical="center"/>
    </xf>
    <xf numFmtId="14" fontId="2" fillId="0" borderId="21" xfId="3" applyNumberFormat="1" applyFont="1" applyFill="1" applyBorder="1" applyAlignment="1">
      <alignment horizontal="center" vertical="center"/>
    </xf>
    <xf numFmtId="14" fontId="2" fillId="0" borderId="21" xfId="3" quotePrefix="1" applyNumberFormat="1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1" fillId="12" borderId="0" xfId="1" applyFont="1" applyFill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167" fontId="9" fillId="0" borderId="7" xfId="0" applyNumberFormat="1" applyFont="1" applyBorder="1" applyAlignment="1">
      <alignment horizontal="center" vertical="center"/>
    </xf>
    <xf numFmtId="167" fontId="9" fillId="0" borderId="11" xfId="0" applyNumberFormat="1" applyFont="1" applyBorder="1" applyAlignment="1">
      <alignment horizontal="center" vertical="center"/>
    </xf>
    <xf numFmtId="3" fontId="3" fillId="7" borderId="31" xfId="1" applyNumberFormat="1" applyFont="1" applyFill="1" applyBorder="1" applyAlignment="1">
      <alignment horizontal="center" vertical="center" wrapText="1"/>
    </xf>
    <xf numFmtId="3" fontId="3" fillId="7" borderId="43" xfId="1" applyNumberFormat="1" applyFont="1" applyFill="1" applyBorder="1" applyAlignment="1">
      <alignment horizontal="center" vertical="center" wrapText="1"/>
    </xf>
    <xf numFmtId="3" fontId="3" fillId="7" borderId="44" xfId="1" applyNumberFormat="1" applyFont="1" applyFill="1" applyBorder="1" applyAlignment="1">
      <alignment horizontal="center" vertical="center" wrapText="1"/>
    </xf>
    <xf numFmtId="14" fontId="2" fillId="0" borderId="14" xfId="3" applyNumberFormat="1" applyFont="1" applyFill="1" applyBorder="1" applyAlignment="1">
      <alignment vertical="center"/>
    </xf>
    <xf numFmtId="1" fontId="1" fillId="0" borderId="3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14" fontId="2" fillId="0" borderId="0" xfId="3" applyNumberFormat="1" applyFont="1" applyFill="1" applyBorder="1" applyAlignment="1">
      <alignment vertical="center"/>
    </xf>
    <xf numFmtId="1" fontId="1" fillId="0" borderId="14" xfId="0" applyNumberFormat="1" applyFont="1" applyBorder="1" applyAlignment="1">
      <alignment vertical="center"/>
    </xf>
    <xf numFmtId="14" fontId="2" fillId="0" borderId="3" xfId="3" applyNumberFormat="1" applyFont="1" applyFill="1" applyBorder="1" applyAlignment="1">
      <alignment vertical="center"/>
    </xf>
  </cellXfs>
  <cellStyles count="67">
    <cellStyle name="20% - Énfasis1" xfId="28" builtinId="30" customBuiltin="1"/>
    <cellStyle name="20% - Énfasis2" xfId="32" builtinId="34" customBuiltin="1"/>
    <cellStyle name="20% - Énfasis3" xfId="36" builtinId="38" customBuiltin="1"/>
    <cellStyle name="20% - Énfasis4" xfId="40" builtinId="42" customBuiltin="1"/>
    <cellStyle name="20% - Énfasis5" xfId="44" builtinId="46" customBuiltin="1"/>
    <cellStyle name="20% - Énfasis6" xfId="48" builtinId="50" customBuiltin="1"/>
    <cellStyle name="40% - Énfasis1" xfId="29" builtinId="31" customBuiltin="1"/>
    <cellStyle name="40% - Énfasis2" xfId="33" builtinId="35" customBuiltin="1"/>
    <cellStyle name="40% - Énfasis3" xfId="37" builtinId="39" customBuiltin="1"/>
    <cellStyle name="40% - Énfasis4" xfId="41" builtinId="43" customBuiltin="1"/>
    <cellStyle name="40% - Énfasis5" xfId="45" builtinId="47" customBuiltin="1"/>
    <cellStyle name="40% - Énfasis6" xfId="49" builtinId="51" customBuiltin="1"/>
    <cellStyle name="60% - Énfasis1" xfId="30" builtinId="32" customBuiltin="1"/>
    <cellStyle name="60% - Énfasis2" xfId="34" builtinId="36" customBuiltin="1"/>
    <cellStyle name="60% - Énfasis3" xfId="38" builtinId="40" customBuiltin="1"/>
    <cellStyle name="60% - Énfasis4" xfId="42" builtinId="44" customBuiltin="1"/>
    <cellStyle name="60% - Énfasis5" xfId="46" builtinId="48" customBuiltin="1"/>
    <cellStyle name="60% - Énfasis6" xfId="50" builtinId="52" customBuiltin="1"/>
    <cellStyle name="Bueno" xfId="15" builtinId="26" customBuiltin="1"/>
    <cellStyle name="Cálculo" xfId="20" builtinId="22" customBuiltin="1"/>
    <cellStyle name="Celda de comprobación" xfId="22" builtinId="23" customBuiltin="1"/>
    <cellStyle name="Celda vinculada" xfId="21" builtinId="24" customBuiltin="1"/>
    <cellStyle name="Encabezado 1" xfId="11" builtinId="16" customBuiltin="1"/>
    <cellStyle name="Encabezado 4" xfId="14" builtinId="19" customBuiltin="1"/>
    <cellStyle name="Énfasis1" xfId="27" builtinId="29" customBuiltin="1"/>
    <cellStyle name="Énfasis2" xfId="31" builtinId="33" customBuiltin="1"/>
    <cellStyle name="Énfasis3" xfId="35" builtinId="37" customBuiltin="1"/>
    <cellStyle name="Énfasis4" xfId="39" builtinId="41" customBuiltin="1"/>
    <cellStyle name="Énfasis5" xfId="43" builtinId="45" customBuiltin="1"/>
    <cellStyle name="Énfasis6" xfId="47" builtinId="49" customBuiltin="1"/>
    <cellStyle name="Entrada" xfId="18" builtinId="20" customBuiltin="1"/>
    <cellStyle name="Incorrecto" xfId="16" builtinId="27" customBuiltin="1"/>
    <cellStyle name="Millares" xfId="9" builtinId="3"/>
    <cellStyle name="Millares 10" xfId="3" xr:uid="{00000000-0005-0000-0000-000021000000}"/>
    <cellStyle name="Millares 10 2" xfId="58" xr:uid="{D657714B-137F-4B88-A49B-2DB38CBF86A4}"/>
    <cellStyle name="Millares 2" xfId="54" xr:uid="{00000000-0005-0000-0000-000001000000}"/>
    <cellStyle name="Millares 2 2" xfId="56" xr:uid="{00000000-0005-0000-0000-000002000000}"/>
    <cellStyle name="Millares 2 2 2" xfId="66" xr:uid="{2B7ECA53-CD40-494E-9A66-F8F6400853C2}"/>
    <cellStyle name="Millares 2 3" xfId="64" xr:uid="{62010CCF-CF78-4328-8416-256E0813795C}"/>
    <cellStyle name="Millares 3" xfId="55" xr:uid="{00000000-0005-0000-0000-000003000000}"/>
    <cellStyle name="Millares 3 2" xfId="65" xr:uid="{2C9228CF-FAED-44B0-B871-C510DC70693E}"/>
    <cellStyle name="Millares 4" xfId="52" xr:uid="{00000000-0005-0000-0000-000036000000}"/>
    <cellStyle name="Millares 4 2" xfId="63" xr:uid="{91A7574C-C182-4041-B7AB-60870E236F69}"/>
    <cellStyle name="Millares 5" xfId="61" xr:uid="{B93CB4E4-34E4-46DE-98C4-C4C872353774}"/>
    <cellStyle name="Millares 67" xfId="5" xr:uid="{00000000-0005-0000-0000-000022000000}"/>
    <cellStyle name="Millares 67 2" xfId="59" xr:uid="{E73F5DBD-7844-48C2-8062-D0DBF9D8993E}"/>
    <cellStyle name="Moneda" xfId="8" builtinId="4"/>
    <cellStyle name="Moneda 2" xfId="60" xr:uid="{F19E70C7-21CE-43FC-89CD-75F5401C143E}"/>
    <cellStyle name="Neutral" xfId="17" builtinId="28" customBuiltin="1"/>
    <cellStyle name="Normal" xfId="0" builtinId="0"/>
    <cellStyle name="Normal 10 2" xfId="1" xr:uid="{00000000-0005-0000-0000-000026000000}"/>
    <cellStyle name="Normal 127" xfId="4" xr:uid="{00000000-0005-0000-0000-000027000000}"/>
    <cellStyle name="Normal 127 2 2" xfId="7" xr:uid="{00000000-0005-0000-0000-000028000000}"/>
    <cellStyle name="Normal 2" xfId="51" xr:uid="{00000000-0005-0000-0000-000029000000}"/>
    <cellStyle name="Normal 2 2" xfId="53" xr:uid="{00000000-0005-0000-0000-000006000000}"/>
    <cellStyle name="Normal 2 3" xfId="62" xr:uid="{BF18D08F-2326-4F3B-A71D-40A31F984DE8}"/>
    <cellStyle name="Normal 3" xfId="57" xr:uid="{00000000-0005-0000-0000-000007000000}"/>
    <cellStyle name="Notas" xfId="24" builtinId="10" customBuiltin="1"/>
    <cellStyle name="Porcentaje" xfId="6" builtinId="5"/>
    <cellStyle name="Porcentaje 13" xfId="2" xr:uid="{00000000-0005-0000-0000-00002C000000}"/>
    <cellStyle name="Salida" xfId="19" builtinId="21" customBuiltin="1"/>
    <cellStyle name="Texto de advertencia" xfId="23" builtinId="11" customBuiltin="1"/>
    <cellStyle name="Texto explicativo" xfId="25" builtinId="53" customBuiltin="1"/>
    <cellStyle name="Título" xfId="10" builtinId="15" customBuiltin="1"/>
    <cellStyle name="Título 2" xfId="12" builtinId="17" customBuiltin="1"/>
    <cellStyle name="Título 3" xfId="13" builtinId="18" customBuiltin="1"/>
    <cellStyle name="Total" xfId="26" builtinId="25" customBuiltin="1"/>
  </cellStyles>
  <dxfs count="17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ashed">
          <color indexed="64"/>
        </left>
        <right/>
        <top style="dashed">
          <color indexed="64"/>
        </top>
        <bottom style="dashed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alignment horizontal="general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71" formatCode="_-&quot;S/&quot;\ * #,##0_-;\-&quot;S/&quot;\ * #,##0_-;_-&quot;S/&quot;\ * &quot;-&quot;??_-;_-@_-"/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71" formatCode="_-&quot;S/&quot;\ * #,##0_-;\-&quot;S/&quot;\ * #,##0_-;_-&quot;S/&quot;\ * &quot;-&quot;??_-;_-@_-"/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sz val="10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dashed">
          <color indexed="64"/>
        </right>
        <top style="dashed">
          <color indexed="64"/>
        </top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dashed">
          <color indexed="64"/>
        </left>
        <right style="dashed">
          <color indexed="64"/>
        </right>
        <top style="dashed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1" formatCode="d\-mmm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border>
        <top style="thin">
          <color rgb="FFD9E1F2"/>
        </top>
        <bottom style="thin">
          <color rgb="FFD9E1F2"/>
        </bottom>
      </border>
    </dxf>
    <dxf>
      <border>
        <top style="thin">
          <color rgb="FFD9E1F2"/>
        </top>
        <bottom style="thin">
          <color rgb="FFD9E1F2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4472C4"/>
        </bottom>
      </border>
    </dxf>
    <dxf>
      <font>
        <color rgb="FFFFFFFF"/>
      </font>
      <fill>
        <patternFill patternType="solid">
          <fgColor rgb="FF8EA9DB"/>
          <bgColor rgb="FF8EA9DB"/>
        </patternFill>
      </fill>
      <border>
        <bottom style="thin">
          <color rgb="FFD9E1F2"/>
        </bottom>
        <horizontal style="thin">
          <color rgb="FF8EA9DB"/>
        </horizontal>
      </border>
    </dxf>
    <dxf>
      <border>
        <bottom style="thin">
          <color rgb="FFB4C6E7"/>
        </bottom>
      </border>
    </dxf>
    <dxf>
      <font>
        <b/>
        <color rgb="FF000000"/>
      </font>
      <fill>
        <patternFill patternType="solid">
          <fgColor rgb="FFD9D9D9"/>
          <bgColor rgb="FFD9D9D9"/>
        </patternFill>
      </fill>
    </dxf>
    <dxf>
      <font>
        <b/>
        <color rgb="FFFFFFFF"/>
      </font>
      <fill>
        <patternFill patternType="solid">
          <fgColor rgb="FF8EA9DB"/>
          <bgColor rgb="FF8EA9DB"/>
        </patternFill>
      </fill>
    </dxf>
    <dxf>
      <font>
        <b/>
        <color rgb="FFFFFFFF"/>
      </font>
    </dxf>
    <dxf>
      <border>
        <left style="thin">
          <color rgb="FF305496"/>
        </left>
        <right style="thin">
          <color rgb="FF305496"/>
        </right>
      </border>
    </dxf>
    <dxf>
      <border>
        <top style="thin">
          <color rgb="FF305496"/>
        </top>
        <bottom style="thin">
          <color rgb="FF305496"/>
        </bottom>
        <horizontal style="thin">
          <color rgb="FF305496"/>
        </horizontal>
      </border>
    </dxf>
    <dxf>
      <font>
        <b/>
        <color rgb="FF000000"/>
      </font>
      <border>
        <top style="double">
          <color rgb="FF305496"/>
        </top>
      </border>
    </dxf>
    <dxf>
      <font>
        <color rgb="FFFFFFFF"/>
      </font>
      <fill>
        <patternFill patternType="solid">
          <fgColor rgb="FF305496"/>
          <bgColor rgb="FF305496"/>
        </patternFill>
      </fill>
      <border>
        <horizontal style="thin">
          <color rgb="FF305496"/>
        </horizontal>
      </border>
    </dxf>
    <dxf>
      <font>
        <color rgb="FF000000"/>
      </font>
      <border>
        <horizontal style="thin">
          <color rgb="FFD9E1F2"/>
        </horizontal>
      </border>
    </dxf>
    <dxf>
      <border>
        <top style="thin">
          <color rgb="FFD9E1F2"/>
        </top>
        <bottom style="thin">
          <color rgb="FFD9E1F2"/>
        </bottom>
      </border>
    </dxf>
    <dxf>
      <border>
        <top style="thin">
          <color rgb="FFD9E1F2"/>
        </top>
        <bottom style="thin">
          <color rgb="FFD9E1F2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4472C4"/>
        </bottom>
      </border>
    </dxf>
    <dxf>
      <font>
        <color rgb="FFFFFFFF"/>
      </font>
      <fill>
        <patternFill patternType="solid">
          <fgColor rgb="FF8EA9DB"/>
          <bgColor rgb="FF8EA9DB"/>
        </patternFill>
      </fill>
      <border>
        <bottom style="thin">
          <color rgb="FFD9E1F2"/>
        </bottom>
        <horizontal style="thin">
          <color rgb="FF8EA9DB"/>
        </horizontal>
      </border>
    </dxf>
    <dxf>
      <border>
        <bottom style="thin">
          <color rgb="FFB4C6E7"/>
        </bottom>
      </border>
    </dxf>
    <dxf>
      <font>
        <b/>
        <color rgb="FF000000"/>
      </font>
      <fill>
        <patternFill patternType="solid">
          <fgColor rgb="FFD9D9D9"/>
          <bgColor rgb="FFD9D9D9"/>
        </patternFill>
      </fill>
    </dxf>
    <dxf>
      <font>
        <b/>
        <color rgb="FFFFFFFF"/>
      </font>
      <fill>
        <patternFill patternType="solid">
          <fgColor rgb="FF8EA9DB"/>
          <bgColor rgb="FF8EA9DB"/>
        </patternFill>
      </fill>
    </dxf>
    <dxf>
      <font>
        <b/>
        <color rgb="FFFFFFFF"/>
      </font>
    </dxf>
    <dxf>
      <border>
        <left style="thin">
          <color rgb="FF305496"/>
        </left>
        <right style="thin">
          <color rgb="FF305496"/>
        </right>
      </border>
    </dxf>
    <dxf>
      <border>
        <top style="thin">
          <color rgb="FF305496"/>
        </top>
        <bottom style="thin">
          <color rgb="FF305496"/>
        </bottom>
        <horizontal style="thin">
          <color rgb="FF305496"/>
        </horizontal>
      </border>
    </dxf>
    <dxf>
      <font>
        <b/>
        <color rgb="FF000000"/>
      </font>
      <border>
        <top style="double">
          <color rgb="FF305496"/>
        </top>
      </border>
    </dxf>
    <dxf>
      <font>
        <color rgb="FFFFFFFF"/>
      </font>
      <fill>
        <patternFill patternType="solid">
          <fgColor rgb="FF305496"/>
          <bgColor rgb="FF305496"/>
        </patternFill>
      </fill>
      <border>
        <horizontal style="thin">
          <color rgb="FF305496"/>
        </horizontal>
      </border>
    </dxf>
    <dxf>
      <font>
        <color rgb="FF000000"/>
      </font>
      <border>
        <horizontal style="thin">
          <color rgb="FFD9E1F2"/>
        </horizontal>
      </border>
    </dxf>
  </dxfs>
  <tableStyles count="2" defaultTableStyle="TableStyleMedium2" defaultPivotStyle="PivotStyleLight16">
    <tableStyle name="PivotStyleMedium6 2" table="0" count="13" xr9:uid="{00000000-0011-0000-FFFF-FFFF00000000}">
      <tableStyleElement type="wholeTable" dxfId="171"/>
      <tableStyleElement type="headerRow" dxfId="170"/>
      <tableStyleElement type="totalRow" dxfId="169"/>
      <tableStyleElement type="firstRowStripe" dxfId="168"/>
      <tableStyleElement type="firstColumnStripe" dxfId="167"/>
      <tableStyleElement type="firstHeaderCell" dxfId="166"/>
      <tableStyleElement type="firstSubtotalRow" dxfId="165"/>
      <tableStyleElement type="secondSubtotalRow" dxfId="164"/>
      <tableStyleElement type="firstColumnSubheading" dxfId="163"/>
      <tableStyleElement type="firstRowSubheading" dxfId="162"/>
      <tableStyleElement type="secondRowSubheading" dxfId="161"/>
      <tableStyleElement type="pageFieldLabels" dxfId="160"/>
      <tableStyleElement type="pageFieldValues" dxfId="159"/>
    </tableStyle>
    <tableStyle name="PivotStyleMedium6 3" table="0" count="13" xr9:uid="{00000000-0011-0000-FFFF-FFFF01000000}">
      <tableStyleElement type="wholeTable" dxfId="158"/>
      <tableStyleElement type="headerRow" dxfId="157"/>
      <tableStyleElement type="totalRow" dxfId="156"/>
      <tableStyleElement type="firstRowStripe" dxfId="155"/>
      <tableStyleElement type="firstColumnStripe" dxfId="154"/>
      <tableStyleElement type="firstHeaderCell" dxfId="153"/>
      <tableStyleElement type="firstSubtotalRow" dxfId="152"/>
      <tableStyleElement type="secondSubtotalRow" dxfId="151"/>
      <tableStyleElement type="firstColumnSubheading" dxfId="150"/>
      <tableStyleElement type="firstRowSubheading" dxfId="149"/>
      <tableStyleElement type="secondRowSubheading" dxfId="148"/>
      <tableStyleElement type="pageFieldLabels" dxfId="147"/>
      <tableStyleElement type="pageFieldValues" dxfId="146"/>
    </tableStyle>
  </tableStyles>
  <colors>
    <mruColors>
      <color rgb="FFFFC7CE"/>
      <color rgb="FFF50000"/>
      <color rgb="FF8C0000"/>
      <color rgb="FF00FF99"/>
      <color rgb="FF92D050"/>
      <color rgb="FFCC99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MR" displayName="TMR" ref="B2:L222" totalsRowShown="0" headerRowDxfId="143" dataDxfId="141" headerRowBorderDxfId="142" tableBorderDxfId="140" totalsRowBorderDxfId="139">
  <autoFilter ref="B2:L222" xr:uid="{00000000-0009-0000-0100-000006000000}"/>
  <tableColumns count="11">
    <tableColumn id="1" xr3:uid="{00000000-0010-0000-0100-000001000000}" name="CÓDIGO" dataDxfId="138"/>
    <tableColumn id="2" xr3:uid="{00000000-0010-0000-0100-000002000000}" name="DESCRIPCIÓN" dataDxfId="137"/>
    <tableColumn id="11" xr3:uid="{00000000-0010-0000-0100-00000B000000}" name="ORIGEN" dataDxfId="136"/>
    <tableColumn id="10" xr3:uid="{00000000-0010-0000-0100-00000A000000}" name="CATEGORÍA" dataDxfId="135"/>
    <tableColumn id="3" xr3:uid="{00000000-0010-0000-0100-000003000000}" name="Tiempo de Vida" dataDxfId="134"/>
    <tableColumn id="4" xr3:uid="{00000000-0010-0000-0100-000004000000}" name="Tottus" dataDxfId="133">
      <calculatedColumnFormula>IF(F3&lt;=210,F3*0.6,IF(F3&lt;=365,120,IF(F3&lt;=3600,150)))</calculatedColumnFormula>
    </tableColumn>
    <tableColumn id="5" xr3:uid="{00000000-0010-0000-0100-000005000000}" name="Cencosud" dataDxfId="132"/>
    <tableColumn id="6" xr3:uid="{00000000-0010-0000-0100-000006000000}" name="Tambo" dataDxfId="131"/>
    <tableColumn id="7" xr3:uid="{00000000-0010-0000-0100-000007000000}" name="Oxxo" dataDxfId="130"/>
    <tableColumn id="8" xr3:uid="{00000000-0010-0000-0100-000008000000}" name="SPSA / MAKRO" dataDxfId="129">
      <calculatedColumnFormula>ROUNDDOWN(F3/3,0)-1</calculatedColumnFormula>
    </tableColumn>
    <tableColumn id="9" xr3:uid="{00000000-0010-0000-0100-000009000000}" name="Canal Tradicional / Otros" dataDxfId="12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Principal" displayName="Principal" ref="B18:BJ548" totalsRowShown="0" headerRowDxfId="145" dataDxfId="0" tableBorderDxfId="144" headerRowCellStyle="Normal 10 2">
  <autoFilter ref="B18:BJ548" xr:uid="{00000000-000C-0000-FFFF-FFFF00000000}"/>
  <tableColumns count="61">
    <tableColumn id="1" xr3:uid="{00000000-0010-0000-0000-000001000000}" name="RESPONSABLE DE PRODUCCIÓN" dataDxfId="61"/>
    <tableColumn id="2" xr3:uid="{00000000-0010-0000-0000-000002000000}" name="GEOGRAFÍA" dataDxfId="60"/>
    <tableColumn id="53" xr3:uid="{00000000-0010-0000-0000-000035000000}" name="CATEGORÍA" dataDxfId="59"/>
    <tableColumn id="54" xr3:uid="{00000000-0010-0000-0000-000036000000}" name="MARCA" dataDxfId="58"/>
    <tableColumn id="3" xr3:uid="{00000000-0010-0000-0000-000003000000}" name="CÓDIGO" dataDxfId="57"/>
    <tableColumn id="4" xr3:uid="{00000000-0010-0000-0000-000004000000}" name="DESCRIPCIÓN" dataDxfId="56"/>
    <tableColumn id="5" xr3:uid="{00000000-0010-0000-0000-000005000000}" name="Plan de demanda" dataDxfId="55"/>
    <tableColumn id="55" xr3:uid="{00000000-0010-0000-0000-000037000000}" name="Plan Demanda (Kg)" dataDxfId="54"/>
    <tableColumn id="60" xr3:uid="{00000000-0010-0000-0000-00003C000000}" name="Salidas varias" dataDxfId="53"/>
    <tableColumn id="6" xr3:uid="{00000000-0010-0000-0000-000006000000}" name="Avance Vta." dataDxfId="52"/>
    <tableColumn id="57" xr3:uid="{00000000-0010-0000-0000-000039000000}" name="Avance _x000a_Vta. (Kg)" dataDxfId="51" dataCellStyle="Porcentaje"/>
    <tableColumn id="7" xr3:uid="{00000000-0010-0000-0000-000007000000}" name="%V Mes actual" dataDxfId="50" dataCellStyle="Porcentaje"/>
    <tableColumn id="58" xr3:uid="{00000000-0010-0000-0000-00003A000000}" name="Error ABS_x000a_(KG)" dataDxfId="49" dataCellStyle="Porcentaje"/>
    <tableColumn id="56" xr3:uid="{00000000-0010-0000-0000-000038000000}" name="Días consumidos por sobreventa en el mes pasado" dataDxfId="48" dataCellStyle="Porcentaje"/>
    <tableColumn id="8" xr3:uid="{00000000-0010-0000-0000-000008000000}" name="%V Mes pasado" dataDxfId="47" dataCellStyle="Porcentaje"/>
    <tableColumn id="9" xr3:uid="{00000000-0010-0000-0000-000009000000}" name="STOCK TOTAL" dataDxfId="46"/>
    <tableColumn id="10" xr3:uid="{00000000-0010-0000-0000-00000A000000}" name="STOCK POR FACTURAR" dataDxfId="45"/>
    <tableColumn id="11" xr3:uid="{00000000-0010-0000-0000-00000B000000}" name="CEDI FINAL" dataDxfId="44"/>
    <tableColumn id="12" xr3:uid="{00000000-0010-0000-0000-00000C000000}" name="PLANTA" dataDxfId="43"/>
    <tableColumn id="13" xr3:uid="{00000000-0010-0000-0000-00000D000000}" name="TRANSITO" dataDxfId="42"/>
    <tableColumn id="14" xr3:uid="{00000000-0010-0000-0000-00000E000000}" name="CALIDAD" dataDxfId="41"/>
    <tableColumn id="15" xr3:uid="{00000000-0010-0000-0000-00000F000000}" name="BLOQUEADO" dataDxfId="40"/>
    <tableColumn id="16" xr3:uid="{00000000-0010-0000-0000-000010000000}" name="Vta. Proy." dataDxfId="39"/>
    <tableColumn id="17" xr3:uid="{00000000-0010-0000-0000-000011000000}" name="Días De Inventario" dataDxfId="38"/>
    <tableColumn id="18" xr3:uid="{00000000-0010-0000-0000-000012000000}" name="Faltante" dataDxfId="37"/>
    <tableColumn id="61" xr3:uid="{00000000-0010-0000-0000-00003D000000}" name="Valorizado Plan de Demanda" dataDxfId="36" dataCellStyle="Moneda"/>
    <tableColumn id="59" xr3:uid="{00000000-0010-0000-0000-00003B000000}" name="Valorizado Stock" dataDxfId="35" dataCellStyle="Moneda"/>
    <tableColumn id="19" xr3:uid="{00000000-0010-0000-0000-000013000000}" name="% Cob." dataDxfId="34" dataCellStyle="Porcentaje"/>
    <tableColumn id="20" xr3:uid="{00000000-0010-0000-0000-000014000000}" name="1" dataDxfId="33"/>
    <tableColumn id="21" xr3:uid="{00000000-0010-0000-0000-000015000000}" name="2" dataDxfId="32"/>
    <tableColumn id="22" xr3:uid="{00000000-0010-0000-0000-000016000000}" name="3" dataDxfId="31"/>
    <tableColumn id="23" xr3:uid="{00000000-0010-0000-0000-000017000000}" name="4" dataDxfId="30"/>
    <tableColumn id="24" xr3:uid="{00000000-0010-0000-0000-000018000000}" name="5" dataDxfId="29"/>
    <tableColumn id="25" xr3:uid="{00000000-0010-0000-0000-000019000000}" name="6" dataDxfId="28"/>
    <tableColumn id="26" xr3:uid="{00000000-0010-0000-0000-00001A000000}" name="7" dataDxfId="27"/>
    <tableColumn id="27" xr3:uid="{00000000-0010-0000-0000-00001B000000}" name="8" dataDxfId="26"/>
    <tableColumn id="28" xr3:uid="{00000000-0010-0000-0000-00001C000000}" name="9" dataDxfId="25"/>
    <tableColumn id="29" xr3:uid="{00000000-0010-0000-0000-00001D000000}" name="10" dataDxfId="24"/>
    <tableColumn id="30" xr3:uid="{00000000-0010-0000-0000-00001E000000}" name="11" dataDxfId="23"/>
    <tableColumn id="31" xr3:uid="{00000000-0010-0000-0000-00001F000000}" name="12" dataDxfId="22"/>
    <tableColumn id="32" xr3:uid="{00000000-0010-0000-0000-000020000000}" name="13" dataDxfId="21"/>
    <tableColumn id="33" xr3:uid="{00000000-0010-0000-0000-000021000000}" name="14" dataDxfId="20"/>
    <tableColumn id="34" xr3:uid="{00000000-0010-0000-0000-000022000000}" name="15" dataDxfId="19"/>
    <tableColumn id="35" xr3:uid="{00000000-0010-0000-0000-000023000000}" name="16" dataDxfId="18"/>
    <tableColumn id="36" xr3:uid="{00000000-0010-0000-0000-000024000000}" name="17" dataDxfId="17"/>
    <tableColumn id="37" xr3:uid="{00000000-0010-0000-0000-000025000000}" name="18" dataDxfId="16"/>
    <tableColumn id="38" xr3:uid="{00000000-0010-0000-0000-000026000000}" name="19" dataDxfId="15"/>
    <tableColumn id="39" xr3:uid="{00000000-0010-0000-0000-000027000000}" name="20" dataDxfId="14"/>
    <tableColumn id="40" xr3:uid="{00000000-0010-0000-0000-000028000000}" name="21" dataDxfId="13"/>
    <tableColumn id="41" xr3:uid="{00000000-0010-0000-0000-000029000000}" name="22" dataDxfId="12"/>
    <tableColumn id="42" xr3:uid="{00000000-0010-0000-0000-00002A000000}" name="23" dataDxfId="11"/>
    <tableColumn id="43" xr3:uid="{00000000-0010-0000-0000-00002B000000}" name="24" dataDxfId="10"/>
    <tableColumn id="44" xr3:uid="{00000000-0010-0000-0000-00002C000000}" name="25" dataDxfId="9"/>
    <tableColumn id="45" xr3:uid="{00000000-0010-0000-0000-00002D000000}" name="26" dataDxfId="8"/>
    <tableColumn id="46" xr3:uid="{00000000-0010-0000-0000-00002E000000}" name="27" dataDxfId="7"/>
    <tableColumn id="47" xr3:uid="{00000000-0010-0000-0000-00002F000000}" name="28" dataDxfId="6"/>
    <tableColumn id="48" xr3:uid="{00000000-0010-0000-0000-000030000000}" name="29" dataDxfId="5"/>
    <tableColumn id="49" xr3:uid="{00000000-0010-0000-0000-000031000000}" name="30" dataDxfId="4"/>
    <tableColumn id="50" xr3:uid="{00000000-0010-0000-0000-000032000000}" name="31" dataDxfId="3"/>
    <tableColumn id="51" xr3:uid="{00000000-0010-0000-0000-000033000000}" name="Fecha de _x000a_Ingreso según RAS" dataDxfId="2" dataCellStyle="Millares 10"/>
    <tableColumn id="52" xr3:uid="{00000000-0010-0000-0000-000034000000}" name="Causal / Observado" dataDxfId="1" dataCellStyle="Millares 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B1:O222"/>
  <sheetViews>
    <sheetView zoomScale="85" zoomScaleNormal="85" workbookViewId="0"/>
  </sheetViews>
  <sheetFormatPr baseColWidth="10" defaultRowHeight="14.5" x14ac:dyDescent="0.35"/>
  <cols>
    <col min="1" max="1" width="3.54296875" customWidth="1"/>
    <col min="2" max="2" width="9.453125" style="1" customWidth="1"/>
    <col min="3" max="3" width="51.453125" bestFit="1" customWidth="1"/>
    <col min="4" max="4" width="16.54296875" customWidth="1"/>
    <col min="5" max="5" width="26.453125" bestFit="1" customWidth="1"/>
    <col min="6" max="6" width="16.1796875" style="1" customWidth="1"/>
    <col min="7" max="10" width="11.453125" style="1"/>
    <col min="11" max="11" width="15.81640625" style="1" customWidth="1"/>
    <col min="12" max="12" width="23.81640625" style="48" customWidth="1"/>
  </cols>
  <sheetData>
    <row r="1" spans="2:15" x14ac:dyDescent="0.35">
      <c r="K1" s="83" t="s">
        <v>425</v>
      </c>
    </row>
    <row r="2" spans="2:15" x14ac:dyDescent="0.35">
      <c r="B2" s="79" t="s">
        <v>271</v>
      </c>
      <c r="C2" s="37" t="s">
        <v>272</v>
      </c>
      <c r="D2" s="82" t="s">
        <v>422</v>
      </c>
      <c r="E2" s="63" t="s">
        <v>393</v>
      </c>
      <c r="F2" s="80" t="s">
        <v>415</v>
      </c>
      <c r="G2" s="73" t="s">
        <v>416</v>
      </c>
      <c r="H2" s="73" t="s">
        <v>417</v>
      </c>
      <c r="I2" s="73" t="s">
        <v>418</v>
      </c>
      <c r="J2" s="73" t="s">
        <v>419</v>
      </c>
      <c r="K2" s="87" t="s">
        <v>420</v>
      </c>
      <c r="L2" s="74" t="s">
        <v>421</v>
      </c>
    </row>
    <row r="3" spans="2:15" x14ac:dyDescent="0.35">
      <c r="B3" s="84">
        <v>1041724</v>
      </c>
      <c r="C3" s="69" t="s">
        <v>89</v>
      </c>
      <c r="D3" s="69" t="s">
        <v>423</v>
      </c>
      <c r="E3" s="69" t="s">
        <v>306</v>
      </c>
      <c r="F3" s="70">
        <v>730</v>
      </c>
      <c r="G3" s="70">
        <f>IF(F3&lt;=210,F3*0.6,IF(F3&lt;=365,120,IF(F3&lt;=3600,150)))</f>
        <v>150</v>
      </c>
      <c r="H3" s="70">
        <v>150</v>
      </c>
      <c r="I3" s="70">
        <v>90</v>
      </c>
      <c r="J3" s="70">
        <v>90</v>
      </c>
      <c r="K3" s="70">
        <f t="shared" ref="K3:K66" si="0">ROUNDDOWN(F3/3,0)-1</f>
        <v>242</v>
      </c>
      <c r="L3" s="72">
        <v>90</v>
      </c>
      <c r="N3" s="71"/>
      <c r="O3" s="71"/>
    </row>
    <row r="4" spans="2:15" x14ac:dyDescent="0.35">
      <c r="B4" s="84">
        <v>1041722</v>
      </c>
      <c r="C4" s="69" t="s">
        <v>51</v>
      </c>
      <c r="D4" s="69" t="s">
        <v>423</v>
      </c>
      <c r="E4" s="69" t="s">
        <v>306</v>
      </c>
      <c r="F4" s="70">
        <v>730</v>
      </c>
      <c r="G4" s="70">
        <f t="shared" ref="G4:G67" si="1">IF(F4&lt;=210,F4*0.6,IF(F4&lt;=365,120,IF(F4&lt;=3600,150)))</f>
        <v>150</v>
      </c>
      <c r="H4" s="70">
        <v>150</v>
      </c>
      <c r="I4" s="70">
        <v>90</v>
      </c>
      <c r="J4" s="70">
        <v>90</v>
      </c>
      <c r="K4" s="70">
        <f t="shared" si="0"/>
        <v>242</v>
      </c>
      <c r="L4" s="72">
        <v>90</v>
      </c>
      <c r="N4" s="71"/>
      <c r="O4" s="71"/>
    </row>
    <row r="5" spans="2:15" x14ac:dyDescent="0.35">
      <c r="B5" s="84">
        <v>1042017</v>
      </c>
      <c r="C5" s="69" t="s">
        <v>33</v>
      </c>
      <c r="D5" s="69" t="s">
        <v>423</v>
      </c>
      <c r="E5" s="69" t="s">
        <v>306</v>
      </c>
      <c r="F5" s="70">
        <v>730</v>
      </c>
      <c r="G5" s="70">
        <f t="shared" si="1"/>
        <v>150</v>
      </c>
      <c r="H5" s="70">
        <v>150</v>
      </c>
      <c r="I5" s="70">
        <v>90</v>
      </c>
      <c r="J5" s="70">
        <v>90</v>
      </c>
      <c r="K5" s="70">
        <f t="shared" si="0"/>
        <v>242</v>
      </c>
      <c r="L5" s="72">
        <v>90</v>
      </c>
    </row>
    <row r="6" spans="2:15" x14ac:dyDescent="0.35">
      <c r="B6" s="84">
        <v>1041723</v>
      </c>
      <c r="C6" s="69" t="s">
        <v>80</v>
      </c>
      <c r="D6" s="69" t="s">
        <v>423</v>
      </c>
      <c r="E6" s="69" t="s">
        <v>306</v>
      </c>
      <c r="F6" s="70">
        <v>730</v>
      </c>
      <c r="G6" s="70">
        <f t="shared" si="1"/>
        <v>150</v>
      </c>
      <c r="H6" s="70">
        <v>150</v>
      </c>
      <c r="I6" s="70">
        <v>90</v>
      </c>
      <c r="J6" s="70">
        <v>90</v>
      </c>
      <c r="K6" s="70">
        <f t="shared" si="0"/>
        <v>242</v>
      </c>
      <c r="L6" s="72">
        <v>90</v>
      </c>
    </row>
    <row r="7" spans="2:15" x14ac:dyDescent="0.35">
      <c r="B7" s="84">
        <v>1031617</v>
      </c>
      <c r="C7" s="69" t="s">
        <v>140</v>
      </c>
      <c r="D7" s="69" t="s">
        <v>423</v>
      </c>
      <c r="E7" s="69" t="s">
        <v>306</v>
      </c>
      <c r="F7" s="70">
        <v>730</v>
      </c>
      <c r="G7" s="70">
        <f t="shared" si="1"/>
        <v>150</v>
      </c>
      <c r="H7" s="70">
        <v>150</v>
      </c>
      <c r="I7" s="70">
        <v>90</v>
      </c>
      <c r="J7" s="70">
        <v>90</v>
      </c>
      <c r="K7" s="70">
        <f t="shared" si="0"/>
        <v>242</v>
      </c>
      <c r="L7" s="72">
        <v>90</v>
      </c>
    </row>
    <row r="8" spans="2:15" x14ac:dyDescent="0.35">
      <c r="B8" s="84">
        <v>1045258</v>
      </c>
      <c r="C8" s="69" t="s">
        <v>131</v>
      </c>
      <c r="D8" s="69" t="s">
        <v>423</v>
      </c>
      <c r="E8" s="69" t="s">
        <v>306</v>
      </c>
      <c r="F8" s="70">
        <v>365</v>
      </c>
      <c r="G8" s="70">
        <f t="shared" si="1"/>
        <v>120</v>
      </c>
      <c r="H8" s="70">
        <v>150</v>
      </c>
      <c r="I8" s="70">
        <v>90</v>
      </c>
      <c r="J8" s="70">
        <v>90</v>
      </c>
      <c r="K8" s="70">
        <f t="shared" si="0"/>
        <v>120</v>
      </c>
      <c r="L8" s="72">
        <v>90</v>
      </c>
    </row>
    <row r="9" spans="2:15" x14ac:dyDescent="0.35">
      <c r="B9" s="84">
        <v>1010038</v>
      </c>
      <c r="C9" s="69" t="s">
        <v>127</v>
      </c>
      <c r="D9" s="69" t="s">
        <v>424</v>
      </c>
      <c r="E9" s="69" t="s">
        <v>306</v>
      </c>
      <c r="F9" s="70">
        <v>540</v>
      </c>
      <c r="G9" s="70">
        <f t="shared" si="1"/>
        <v>150</v>
      </c>
      <c r="H9" s="70">
        <v>90</v>
      </c>
      <c r="I9" s="70">
        <v>90</v>
      </c>
      <c r="J9" s="70">
        <v>90</v>
      </c>
      <c r="K9" s="70">
        <f t="shared" si="0"/>
        <v>179</v>
      </c>
      <c r="L9" s="72">
        <v>90</v>
      </c>
    </row>
    <row r="10" spans="2:15" x14ac:dyDescent="0.35">
      <c r="B10" s="84">
        <v>1010040</v>
      </c>
      <c r="C10" s="69" t="s">
        <v>117</v>
      </c>
      <c r="D10" s="69" t="s">
        <v>424</v>
      </c>
      <c r="E10" s="69" t="s">
        <v>306</v>
      </c>
      <c r="F10" s="70">
        <v>540</v>
      </c>
      <c r="G10" s="70">
        <f t="shared" si="1"/>
        <v>150</v>
      </c>
      <c r="H10" s="70">
        <v>90</v>
      </c>
      <c r="I10" s="70">
        <v>90</v>
      </c>
      <c r="J10" s="70">
        <v>90</v>
      </c>
      <c r="K10" s="70">
        <f t="shared" si="0"/>
        <v>179</v>
      </c>
      <c r="L10" s="72">
        <v>90</v>
      </c>
    </row>
    <row r="11" spans="2:15" x14ac:dyDescent="0.35">
      <c r="B11" s="84">
        <v>1030000</v>
      </c>
      <c r="C11" s="69" t="s">
        <v>95</v>
      </c>
      <c r="D11" s="69" t="s">
        <v>424</v>
      </c>
      <c r="E11" s="69" t="s">
        <v>306</v>
      </c>
      <c r="F11" s="70">
        <v>540</v>
      </c>
      <c r="G11" s="70">
        <f t="shared" si="1"/>
        <v>150</v>
      </c>
      <c r="H11" s="70">
        <v>90</v>
      </c>
      <c r="I11" s="70">
        <v>90</v>
      </c>
      <c r="J11" s="70">
        <v>90</v>
      </c>
      <c r="K11" s="70">
        <f t="shared" si="0"/>
        <v>179</v>
      </c>
      <c r="L11" s="72">
        <v>90</v>
      </c>
    </row>
    <row r="12" spans="2:15" x14ac:dyDescent="0.35">
      <c r="B12" s="84">
        <v>1030001</v>
      </c>
      <c r="C12" s="69" t="s">
        <v>94</v>
      </c>
      <c r="D12" s="69" t="s">
        <v>424</v>
      </c>
      <c r="E12" s="69" t="s">
        <v>306</v>
      </c>
      <c r="F12" s="70">
        <v>540</v>
      </c>
      <c r="G12" s="70">
        <f t="shared" si="1"/>
        <v>150</v>
      </c>
      <c r="H12" s="70">
        <v>90</v>
      </c>
      <c r="I12" s="70">
        <v>90</v>
      </c>
      <c r="J12" s="70">
        <v>90</v>
      </c>
      <c r="K12" s="70">
        <f t="shared" si="0"/>
        <v>179</v>
      </c>
      <c r="L12" s="72">
        <v>90</v>
      </c>
    </row>
    <row r="13" spans="2:15" x14ac:dyDescent="0.35">
      <c r="B13" s="84">
        <v>1029999</v>
      </c>
      <c r="C13" s="69" t="s">
        <v>155</v>
      </c>
      <c r="D13" s="69" t="s">
        <v>424</v>
      </c>
      <c r="E13" s="69" t="s">
        <v>306</v>
      </c>
      <c r="F13" s="70">
        <v>540</v>
      </c>
      <c r="G13" s="70">
        <f t="shared" si="1"/>
        <v>150</v>
      </c>
      <c r="H13" s="70">
        <v>90</v>
      </c>
      <c r="I13" s="70">
        <v>90</v>
      </c>
      <c r="J13" s="70">
        <v>90</v>
      </c>
      <c r="K13" s="70">
        <f t="shared" si="0"/>
        <v>179</v>
      </c>
      <c r="L13" s="72">
        <v>90</v>
      </c>
    </row>
    <row r="14" spans="2:15" x14ac:dyDescent="0.35">
      <c r="B14" s="84">
        <v>1057172</v>
      </c>
      <c r="C14" s="69" t="s">
        <v>241</v>
      </c>
      <c r="D14" s="69" t="s">
        <v>424</v>
      </c>
      <c r="E14" s="69" t="s">
        <v>306</v>
      </c>
      <c r="F14" s="70">
        <v>540</v>
      </c>
      <c r="G14" s="70">
        <f t="shared" si="1"/>
        <v>150</v>
      </c>
      <c r="H14" s="70">
        <v>90</v>
      </c>
      <c r="I14" s="70">
        <v>90</v>
      </c>
      <c r="J14" s="70">
        <v>90</v>
      </c>
      <c r="K14" s="70">
        <f t="shared" si="0"/>
        <v>179</v>
      </c>
      <c r="L14" s="72">
        <v>90</v>
      </c>
    </row>
    <row r="15" spans="2:15" x14ac:dyDescent="0.35">
      <c r="B15" s="84">
        <v>1031955</v>
      </c>
      <c r="C15" s="69" t="s">
        <v>56</v>
      </c>
      <c r="D15" s="69" t="s">
        <v>424</v>
      </c>
      <c r="E15" s="69" t="s">
        <v>306</v>
      </c>
      <c r="F15" s="70">
        <v>420</v>
      </c>
      <c r="G15" s="70">
        <f t="shared" si="1"/>
        <v>150</v>
      </c>
      <c r="H15" s="70">
        <v>90</v>
      </c>
      <c r="I15" s="70">
        <v>90</v>
      </c>
      <c r="J15" s="70">
        <v>90</v>
      </c>
      <c r="K15" s="70">
        <f t="shared" si="0"/>
        <v>139</v>
      </c>
      <c r="L15" s="72">
        <v>90</v>
      </c>
    </row>
    <row r="16" spans="2:15" x14ac:dyDescent="0.35">
      <c r="B16" s="84">
        <v>1056628</v>
      </c>
      <c r="C16" s="69" t="s">
        <v>222</v>
      </c>
      <c r="D16" s="69" t="s">
        <v>424</v>
      </c>
      <c r="E16" s="69" t="s">
        <v>306</v>
      </c>
      <c r="F16" s="70">
        <v>540</v>
      </c>
      <c r="G16" s="70">
        <f t="shared" si="1"/>
        <v>150</v>
      </c>
      <c r="H16" s="70">
        <v>90</v>
      </c>
      <c r="I16" s="70">
        <v>90</v>
      </c>
      <c r="J16" s="70">
        <v>90</v>
      </c>
      <c r="K16" s="70">
        <f t="shared" si="0"/>
        <v>179</v>
      </c>
      <c r="L16" s="72">
        <v>90</v>
      </c>
    </row>
    <row r="17" spans="2:12" x14ac:dyDescent="0.35">
      <c r="B17" s="84">
        <v>1056630</v>
      </c>
      <c r="C17" s="69" t="s">
        <v>220</v>
      </c>
      <c r="D17" s="69" t="s">
        <v>424</v>
      </c>
      <c r="E17" s="69" t="s">
        <v>306</v>
      </c>
      <c r="F17" s="70">
        <v>540</v>
      </c>
      <c r="G17" s="70">
        <f t="shared" si="1"/>
        <v>150</v>
      </c>
      <c r="H17" s="70">
        <v>90</v>
      </c>
      <c r="I17" s="70">
        <v>90</v>
      </c>
      <c r="J17" s="70">
        <v>90</v>
      </c>
      <c r="K17" s="70">
        <f t="shared" si="0"/>
        <v>179</v>
      </c>
      <c r="L17" s="72">
        <v>90</v>
      </c>
    </row>
    <row r="18" spans="2:12" x14ac:dyDescent="0.35">
      <c r="B18" s="84">
        <v>1056631</v>
      </c>
      <c r="C18" s="69" t="s">
        <v>226</v>
      </c>
      <c r="D18" s="69" t="s">
        <v>424</v>
      </c>
      <c r="E18" s="69" t="s">
        <v>306</v>
      </c>
      <c r="F18" s="70">
        <v>540</v>
      </c>
      <c r="G18" s="70">
        <f t="shared" si="1"/>
        <v>150</v>
      </c>
      <c r="H18" s="70">
        <v>90</v>
      </c>
      <c r="I18" s="70">
        <v>90</v>
      </c>
      <c r="J18" s="70">
        <v>90</v>
      </c>
      <c r="K18" s="70">
        <f t="shared" si="0"/>
        <v>179</v>
      </c>
      <c r="L18" s="72">
        <v>90</v>
      </c>
    </row>
    <row r="19" spans="2:12" x14ac:dyDescent="0.35">
      <c r="B19" s="84">
        <v>1036763</v>
      </c>
      <c r="C19" s="69" t="s">
        <v>30</v>
      </c>
      <c r="D19" s="69" t="s">
        <v>424</v>
      </c>
      <c r="E19" s="69" t="s">
        <v>306</v>
      </c>
      <c r="F19" s="70">
        <v>540</v>
      </c>
      <c r="G19" s="70">
        <f t="shared" si="1"/>
        <v>150</v>
      </c>
      <c r="H19" s="70">
        <v>90</v>
      </c>
      <c r="I19" s="70">
        <v>90</v>
      </c>
      <c r="J19" s="70">
        <v>90</v>
      </c>
      <c r="K19" s="70">
        <f t="shared" si="0"/>
        <v>179</v>
      </c>
      <c r="L19" s="72">
        <v>90</v>
      </c>
    </row>
    <row r="20" spans="2:12" x14ac:dyDescent="0.35">
      <c r="B20" s="84">
        <v>1016066</v>
      </c>
      <c r="C20" s="69" t="s">
        <v>35</v>
      </c>
      <c r="D20" s="69" t="s">
        <v>424</v>
      </c>
      <c r="E20" s="69" t="s">
        <v>306</v>
      </c>
      <c r="F20" s="70">
        <v>420</v>
      </c>
      <c r="G20" s="70">
        <f t="shared" si="1"/>
        <v>150</v>
      </c>
      <c r="H20" s="70">
        <v>90</v>
      </c>
      <c r="I20" s="70">
        <v>90</v>
      </c>
      <c r="J20" s="70">
        <v>90</v>
      </c>
      <c r="K20" s="70">
        <f t="shared" si="0"/>
        <v>139</v>
      </c>
      <c r="L20" s="72">
        <v>90</v>
      </c>
    </row>
    <row r="21" spans="2:12" x14ac:dyDescent="0.35">
      <c r="B21" s="84">
        <v>1016065</v>
      </c>
      <c r="C21" s="69" t="s">
        <v>36</v>
      </c>
      <c r="D21" s="69" t="s">
        <v>424</v>
      </c>
      <c r="E21" s="69" t="s">
        <v>306</v>
      </c>
      <c r="F21" s="70">
        <v>420</v>
      </c>
      <c r="G21" s="70">
        <f t="shared" si="1"/>
        <v>150</v>
      </c>
      <c r="H21" s="70">
        <v>90</v>
      </c>
      <c r="I21" s="70">
        <v>90</v>
      </c>
      <c r="J21" s="70">
        <v>90</v>
      </c>
      <c r="K21" s="70">
        <f t="shared" si="0"/>
        <v>139</v>
      </c>
      <c r="L21" s="72">
        <v>90</v>
      </c>
    </row>
    <row r="22" spans="2:12" x14ac:dyDescent="0.35">
      <c r="B22" s="84">
        <v>1060800</v>
      </c>
      <c r="C22" s="69" t="s">
        <v>437</v>
      </c>
      <c r="D22" s="69" t="s">
        <v>423</v>
      </c>
      <c r="E22" s="69" t="s">
        <v>320</v>
      </c>
      <c r="F22" s="70">
        <v>1080</v>
      </c>
      <c r="G22" s="70">
        <f t="shared" si="1"/>
        <v>150</v>
      </c>
      <c r="H22" s="70">
        <v>150</v>
      </c>
      <c r="I22" s="70">
        <v>90</v>
      </c>
      <c r="J22" s="70">
        <v>90</v>
      </c>
      <c r="K22" s="70">
        <f t="shared" si="0"/>
        <v>359</v>
      </c>
      <c r="L22" s="72">
        <v>90</v>
      </c>
    </row>
    <row r="23" spans="2:12" x14ac:dyDescent="0.35">
      <c r="B23" s="84">
        <v>1060797</v>
      </c>
      <c r="C23" s="69" t="s">
        <v>434</v>
      </c>
      <c r="D23" s="69" t="s">
        <v>423</v>
      </c>
      <c r="E23" s="69" t="s">
        <v>320</v>
      </c>
      <c r="F23" s="70">
        <v>1096</v>
      </c>
      <c r="G23" s="70">
        <f t="shared" si="1"/>
        <v>150</v>
      </c>
      <c r="H23" s="70">
        <v>150</v>
      </c>
      <c r="I23" s="70">
        <v>90</v>
      </c>
      <c r="J23" s="70">
        <v>90</v>
      </c>
      <c r="K23" s="70">
        <f t="shared" si="0"/>
        <v>364</v>
      </c>
      <c r="L23" s="72">
        <v>90</v>
      </c>
    </row>
    <row r="24" spans="2:12" x14ac:dyDescent="0.35">
      <c r="B24" s="84">
        <v>1060796</v>
      </c>
      <c r="C24" s="69" t="s">
        <v>433</v>
      </c>
      <c r="D24" s="69" t="s">
        <v>423</v>
      </c>
      <c r="E24" s="69" t="s">
        <v>320</v>
      </c>
      <c r="F24" s="70">
        <v>1096</v>
      </c>
      <c r="G24" s="70">
        <f t="shared" si="1"/>
        <v>150</v>
      </c>
      <c r="H24" s="70">
        <v>150</v>
      </c>
      <c r="I24" s="70">
        <v>90</v>
      </c>
      <c r="J24" s="70">
        <v>90</v>
      </c>
      <c r="K24" s="70">
        <f t="shared" si="0"/>
        <v>364</v>
      </c>
      <c r="L24" s="72">
        <v>90</v>
      </c>
    </row>
    <row r="25" spans="2:12" x14ac:dyDescent="0.35">
      <c r="B25" s="84">
        <v>1060792</v>
      </c>
      <c r="C25" s="69" t="s">
        <v>429</v>
      </c>
      <c r="D25" s="69" t="s">
        <v>423</v>
      </c>
      <c r="E25" s="69" t="s">
        <v>320</v>
      </c>
      <c r="F25" s="70">
        <v>1096</v>
      </c>
      <c r="G25" s="70">
        <f t="shared" si="1"/>
        <v>150</v>
      </c>
      <c r="H25" s="70">
        <v>150</v>
      </c>
      <c r="I25" s="70">
        <v>90</v>
      </c>
      <c r="J25" s="70">
        <v>90</v>
      </c>
      <c r="K25" s="70">
        <f t="shared" si="0"/>
        <v>364</v>
      </c>
      <c r="L25" s="72">
        <v>90</v>
      </c>
    </row>
    <row r="26" spans="2:12" x14ac:dyDescent="0.35">
      <c r="B26" s="84">
        <v>1060795</v>
      </c>
      <c r="C26" s="69" t="s">
        <v>432</v>
      </c>
      <c r="D26" s="69" t="s">
        <v>423</v>
      </c>
      <c r="E26" s="69" t="s">
        <v>320</v>
      </c>
      <c r="F26" s="70">
        <v>1096</v>
      </c>
      <c r="G26" s="70">
        <f t="shared" si="1"/>
        <v>150</v>
      </c>
      <c r="H26" s="70">
        <v>150</v>
      </c>
      <c r="I26" s="70">
        <v>90</v>
      </c>
      <c r="J26" s="70">
        <v>90</v>
      </c>
      <c r="K26" s="70">
        <f t="shared" si="0"/>
        <v>364</v>
      </c>
      <c r="L26" s="72">
        <v>90</v>
      </c>
    </row>
    <row r="27" spans="2:12" x14ac:dyDescent="0.35">
      <c r="B27" s="84">
        <v>1060794</v>
      </c>
      <c r="C27" s="69" t="s">
        <v>431</v>
      </c>
      <c r="D27" s="69" t="s">
        <v>423</v>
      </c>
      <c r="E27" s="69" t="s">
        <v>320</v>
      </c>
      <c r="F27" s="70">
        <v>1096</v>
      </c>
      <c r="G27" s="70">
        <f t="shared" si="1"/>
        <v>150</v>
      </c>
      <c r="H27" s="70">
        <v>150</v>
      </c>
      <c r="I27" s="70">
        <v>90</v>
      </c>
      <c r="J27" s="70">
        <v>90</v>
      </c>
      <c r="K27" s="70">
        <f t="shared" si="0"/>
        <v>364</v>
      </c>
      <c r="L27" s="72">
        <v>90</v>
      </c>
    </row>
    <row r="28" spans="2:12" x14ac:dyDescent="0.35">
      <c r="B28" s="84">
        <v>1060793</v>
      </c>
      <c r="C28" s="69" t="s">
        <v>430</v>
      </c>
      <c r="D28" s="69" t="s">
        <v>423</v>
      </c>
      <c r="E28" s="69" t="s">
        <v>320</v>
      </c>
      <c r="F28" s="70">
        <v>1080</v>
      </c>
      <c r="G28" s="70">
        <f t="shared" si="1"/>
        <v>150</v>
      </c>
      <c r="H28" s="70">
        <v>150</v>
      </c>
      <c r="I28" s="70">
        <v>90</v>
      </c>
      <c r="J28" s="70">
        <v>90</v>
      </c>
      <c r="K28" s="70">
        <f t="shared" si="0"/>
        <v>359</v>
      </c>
      <c r="L28" s="72">
        <v>90</v>
      </c>
    </row>
    <row r="29" spans="2:12" x14ac:dyDescent="0.35">
      <c r="B29" s="84">
        <v>1060791</v>
      </c>
      <c r="C29" s="69" t="s">
        <v>428</v>
      </c>
      <c r="D29" s="69" t="s">
        <v>423</v>
      </c>
      <c r="E29" s="69" t="s">
        <v>320</v>
      </c>
      <c r="F29" s="70">
        <v>1096</v>
      </c>
      <c r="G29" s="70">
        <f t="shared" si="1"/>
        <v>150</v>
      </c>
      <c r="H29" s="70">
        <v>150</v>
      </c>
      <c r="I29" s="70">
        <v>90</v>
      </c>
      <c r="J29" s="70">
        <v>90</v>
      </c>
      <c r="K29" s="70">
        <f t="shared" si="0"/>
        <v>364</v>
      </c>
      <c r="L29" s="72">
        <v>90</v>
      </c>
    </row>
    <row r="30" spans="2:12" x14ac:dyDescent="0.35">
      <c r="B30" s="84">
        <v>1060799</v>
      </c>
      <c r="C30" s="69" t="s">
        <v>436</v>
      </c>
      <c r="D30" s="69" t="s">
        <v>423</v>
      </c>
      <c r="E30" s="69" t="s">
        <v>320</v>
      </c>
      <c r="F30" s="70">
        <v>1096</v>
      </c>
      <c r="G30" s="70">
        <f t="shared" si="1"/>
        <v>150</v>
      </c>
      <c r="H30" s="70">
        <v>150</v>
      </c>
      <c r="I30" s="70">
        <v>90</v>
      </c>
      <c r="J30" s="70">
        <v>90</v>
      </c>
      <c r="K30" s="70">
        <f t="shared" si="0"/>
        <v>364</v>
      </c>
      <c r="L30" s="72">
        <v>90</v>
      </c>
    </row>
    <row r="31" spans="2:12" x14ac:dyDescent="0.35">
      <c r="B31" s="84">
        <v>1060798</v>
      </c>
      <c r="C31" s="69" t="s">
        <v>435</v>
      </c>
      <c r="D31" s="69" t="s">
        <v>423</v>
      </c>
      <c r="E31" s="69" t="s">
        <v>320</v>
      </c>
      <c r="F31" s="70">
        <v>1096</v>
      </c>
      <c r="G31" s="70">
        <f t="shared" si="1"/>
        <v>150</v>
      </c>
      <c r="H31" s="70">
        <v>150</v>
      </c>
      <c r="I31" s="70">
        <v>90</v>
      </c>
      <c r="J31" s="70">
        <v>90</v>
      </c>
      <c r="K31" s="70">
        <f t="shared" si="0"/>
        <v>364</v>
      </c>
      <c r="L31" s="72">
        <v>90</v>
      </c>
    </row>
    <row r="32" spans="2:12" x14ac:dyDescent="0.35">
      <c r="B32" s="84">
        <v>1032132</v>
      </c>
      <c r="C32" s="69" t="s">
        <v>96</v>
      </c>
      <c r="D32" s="69" t="s">
        <v>423</v>
      </c>
      <c r="E32" s="69" t="s">
        <v>316</v>
      </c>
      <c r="F32" s="70">
        <v>731</v>
      </c>
      <c r="G32" s="70">
        <f t="shared" si="1"/>
        <v>150</v>
      </c>
      <c r="H32" s="70">
        <v>150</v>
      </c>
      <c r="I32" s="70">
        <v>90</v>
      </c>
      <c r="J32" s="70">
        <v>90</v>
      </c>
      <c r="K32" s="70">
        <f t="shared" si="0"/>
        <v>242</v>
      </c>
      <c r="L32" s="72">
        <v>90</v>
      </c>
    </row>
    <row r="33" spans="2:12" x14ac:dyDescent="0.35">
      <c r="B33" s="84">
        <v>1032134</v>
      </c>
      <c r="C33" s="69" t="s">
        <v>25</v>
      </c>
      <c r="D33" s="69" t="s">
        <v>423</v>
      </c>
      <c r="E33" s="69" t="s">
        <v>316</v>
      </c>
      <c r="F33" s="70">
        <v>731</v>
      </c>
      <c r="G33" s="70">
        <f t="shared" si="1"/>
        <v>150</v>
      </c>
      <c r="H33" s="70">
        <v>150</v>
      </c>
      <c r="I33" s="70">
        <v>90</v>
      </c>
      <c r="J33" s="70">
        <v>90</v>
      </c>
      <c r="K33" s="70">
        <f t="shared" si="0"/>
        <v>242</v>
      </c>
      <c r="L33" s="72">
        <v>90</v>
      </c>
    </row>
    <row r="34" spans="2:12" x14ac:dyDescent="0.35">
      <c r="B34" s="84">
        <v>1032133</v>
      </c>
      <c r="C34" s="69" t="s">
        <v>103</v>
      </c>
      <c r="D34" s="69" t="s">
        <v>423</v>
      </c>
      <c r="E34" s="69" t="s">
        <v>316</v>
      </c>
      <c r="F34" s="70">
        <v>731</v>
      </c>
      <c r="G34" s="70">
        <f t="shared" si="1"/>
        <v>150</v>
      </c>
      <c r="H34" s="70">
        <v>150</v>
      </c>
      <c r="I34" s="70">
        <v>90</v>
      </c>
      <c r="J34" s="70">
        <v>90</v>
      </c>
      <c r="K34" s="70">
        <f t="shared" si="0"/>
        <v>242</v>
      </c>
      <c r="L34" s="72">
        <v>90</v>
      </c>
    </row>
    <row r="35" spans="2:12" x14ac:dyDescent="0.35">
      <c r="B35" s="84">
        <v>1003535</v>
      </c>
      <c r="C35" s="69" t="s">
        <v>113</v>
      </c>
      <c r="D35" s="69" t="s">
        <v>423</v>
      </c>
      <c r="E35" s="69" t="s">
        <v>316</v>
      </c>
      <c r="F35" s="70">
        <v>731</v>
      </c>
      <c r="G35" s="70">
        <f t="shared" si="1"/>
        <v>150</v>
      </c>
      <c r="H35" s="70">
        <v>150</v>
      </c>
      <c r="I35" s="70">
        <v>90</v>
      </c>
      <c r="J35" s="70">
        <v>90</v>
      </c>
      <c r="K35" s="70">
        <f t="shared" si="0"/>
        <v>242</v>
      </c>
      <c r="L35" s="72">
        <v>90</v>
      </c>
    </row>
    <row r="36" spans="2:12" x14ac:dyDescent="0.35">
      <c r="B36" s="84">
        <v>1003570</v>
      </c>
      <c r="C36" s="69" t="s">
        <v>119</v>
      </c>
      <c r="D36" s="69" t="s">
        <v>423</v>
      </c>
      <c r="E36" s="69" t="s">
        <v>316</v>
      </c>
      <c r="F36" s="70">
        <v>731</v>
      </c>
      <c r="G36" s="70">
        <f t="shared" si="1"/>
        <v>150</v>
      </c>
      <c r="H36" s="70">
        <v>150</v>
      </c>
      <c r="I36" s="70">
        <v>90</v>
      </c>
      <c r="J36" s="70">
        <v>90</v>
      </c>
      <c r="K36" s="70">
        <f t="shared" si="0"/>
        <v>242</v>
      </c>
      <c r="L36" s="72">
        <v>90</v>
      </c>
    </row>
    <row r="37" spans="2:12" x14ac:dyDescent="0.35">
      <c r="B37" s="84">
        <v>1034632</v>
      </c>
      <c r="C37" s="69" t="s">
        <v>57</v>
      </c>
      <c r="D37" s="69" t="s">
        <v>423</v>
      </c>
      <c r="E37" s="69" t="s">
        <v>316</v>
      </c>
      <c r="F37" s="70">
        <v>731</v>
      </c>
      <c r="G37" s="70">
        <f t="shared" si="1"/>
        <v>150</v>
      </c>
      <c r="H37" s="70">
        <v>150</v>
      </c>
      <c r="I37" s="70">
        <v>90</v>
      </c>
      <c r="J37" s="70">
        <v>90</v>
      </c>
      <c r="K37" s="70">
        <f t="shared" si="0"/>
        <v>242</v>
      </c>
      <c r="L37" s="72">
        <v>90</v>
      </c>
    </row>
    <row r="38" spans="2:12" x14ac:dyDescent="0.35">
      <c r="B38" s="84">
        <v>1003496</v>
      </c>
      <c r="C38" s="69" t="s">
        <v>72</v>
      </c>
      <c r="D38" s="69" t="s">
        <v>423</v>
      </c>
      <c r="E38" s="69" t="s">
        <v>316</v>
      </c>
      <c r="F38" s="70">
        <v>731</v>
      </c>
      <c r="G38" s="70">
        <f t="shared" si="1"/>
        <v>150</v>
      </c>
      <c r="H38" s="70">
        <v>150</v>
      </c>
      <c r="I38" s="70">
        <v>90</v>
      </c>
      <c r="J38" s="70">
        <v>90</v>
      </c>
      <c r="K38" s="70">
        <f t="shared" si="0"/>
        <v>242</v>
      </c>
      <c r="L38" s="72">
        <v>90</v>
      </c>
    </row>
    <row r="39" spans="2:12" x14ac:dyDescent="0.35">
      <c r="B39" s="84">
        <v>1003495</v>
      </c>
      <c r="C39" s="69" t="s">
        <v>129</v>
      </c>
      <c r="D39" s="69" t="s">
        <v>423</v>
      </c>
      <c r="E39" s="69" t="s">
        <v>316</v>
      </c>
      <c r="F39" s="70">
        <v>731</v>
      </c>
      <c r="G39" s="70">
        <f t="shared" si="1"/>
        <v>150</v>
      </c>
      <c r="H39" s="70">
        <v>150</v>
      </c>
      <c r="I39" s="70">
        <v>90</v>
      </c>
      <c r="J39" s="70">
        <v>90</v>
      </c>
      <c r="K39" s="70">
        <f t="shared" si="0"/>
        <v>242</v>
      </c>
      <c r="L39" s="72">
        <v>90</v>
      </c>
    </row>
    <row r="40" spans="2:12" x14ac:dyDescent="0.35">
      <c r="B40" s="84">
        <v>1034530</v>
      </c>
      <c r="C40" s="69" t="s">
        <v>77</v>
      </c>
      <c r="D40" s="69" t="s">
        <v>423</v>
      </c>
      <c r="E40" s="69" t="s">
        <v>316</v>
      </c>
      <c r="F40" s="70">
        <v>547</v>
      </c>
      <c r="G40" s="70">
        <f t="shared" si="1"/>
        <v>150</v>
      </c>
      <c r="H40" s="70">
        <v>150</v>
      </c>
      <c r="I40" s="70">
        <v>90</v>
      </c>
      <c r="J40" s="70">
        <v>90</v>
      </c>
      <c r="K40" s="70">
        <f t="shared" si="0"/>
        <v>181</v>
      </c>
      <c r="L40" s="72">
        <v>90</v>
      </c>
    </row>
    <row r="41" spans="2:12" x14ac:dyDescent="0.35">
      <c r="B41" s="84">
        <v>1052079</v>
      </c>
      <c r="C41" s="69" t="s">
        <v>238</v>
      </c>
      <c r="D41" s="69" t="s">
        <v>423</v>
      </c>
      <c r="E41" s="69" t="s">
        <v>316</v>
      </c>
      <c r="F41" s="70">
        <v>457</v>
      </c>
      <c r="G41" s="70">
        <f t="shared" si="1"/>
        <v>150</v>
      </c>
      <c r="H41" s="70">
        <v>150</v>
      </c>
      <c r="I41" s="70">
        <v>90</v>
      </c>
      <c r="J41" s="70">
        <v>90</v>
      </c>
      <c r="K41" s="70">
        <f t="shared" si="0"/>
        <v>151</v>
      </c>
      <c r="L41" s="72">
        <v>90</v>
      </c>
    </row>
    <row r="42" spans="2:12" x14ac:dyDescent="0.35">
      <c r="B42" s="84">
        <v>1052077</v>
      </c>
      <c r="C42" s="69" t="s">
        <v>237</v>
      </c>
      <c r="D42" s="69" t="s">
        <v>423</v>
      </c>
      <c r="E42" s="69" t="s">
        <v>316</v>
      </c>
      <c r="F42" s="70">
        <v>457</v>
      </c>
      <c r="G42" s="70">
        <f t="shared" si="1"/>
        <v>150</v>
      </c>
      <c r="H42" s="70">
        <v>150</v>
      </c>
      <c r="I42" s="70">
        <v>90</v>
      </c>
      <c r="J42" s="70">
        <v>90</v>
      </c>
      <c r="K42" s="70">
        <f t="shared" si="0"/>
        <v>151</v>
      </c>
      <c r="L42" s="72">
        <v>90</v>
      </c>
    </row>
    <row r="43" spans="2:12" x14ac:dyDescent="0.35">
      <c r="B43" s="84">
        <v>1052078</v>
      </c>
      <c r="C43" s="69" t="s">
        <v>245</v>
      </c>
      <c r="D43" s="69" t="s">
        <v>423</v>
      </c>
      <c r="E43" s="69" t="s">
        <v>316</v>
      </c>
      <c r="F43" s="70">
        <v>457</v>
      </c>
      <c r="G43" s="70">
        <f t="shared" si="1"/>
        <v>150</v>
      </c>
      <c r="H43" s="70">
        <v>150</v>
      </c>
      <c r="I43" s="70">
        <v>90</v>
      </c>
      <c r="J43" s="70">
        <v>90</v>
      </c>
      <c r="K43" s="70">
        <f t="shared" si="0"/>
        <v>151</v>
      </c>
      <c r="L43" s="72">
        <v>90</v>
      </c>
    </row>
    <row r="44" spans="2:12" x14ac:dyDescent="0.35">
      <c r="B44" s="84">
        <v>1053287</v>
      </c>
      <c r="C44" s="69" t="s">
        <v>240</v>
      </c>
      <c r="D44" s="69" t="s">
        <v>423</v>
      </c>
      <c r="E44" s="69" t="s">
        <v>316</v>
      </c>
      <c r="F44" s="70">
        <v>457</v>
      </c>
      <c r="G44" s="70">
        <f t="shared" si="1"/>
        <v>150</v>
      </c>
      <c r="H44" s="70">
        <v>150</v>
      </c>
      <c r="I44" s="70">
        <v>90</v>
      </c>
      <c r="J44" s="70">
        <v>90</v>
      </c>
      <c r="K44" s="70">
        <f t="shared" si="0"/>
        <v>151</v>
      </c>
      <c r="L44" s="72">
        <v>90</v>
      </c>
    </row>
    <row r="45" spans="2:12" x14ac:dyDescent="0.35">
      <c r="B45" s="84">
        <v>1020912</v>
      </c>
      <c r="C45" s="69" t="s">
        <v>71</v>
      </c>
      <c r="D45" s="69" t="s">
        <v>423</v>
      </c>
      <c r="E45" s="69" t="s">
        <v>316</v>
      </c>
      <c r="F45" s="70">
        <v>1096</v>
      </c>
      <c r="G45" s="70">
        <f t="shared" si="1"/>
        <v>150</v>
      </c>
      <c r="H45" s="70">
        <v>150</v>
      </c>
      <c r="I45" s="70">
        <v>90</v>
      </c>
      <c r="J45" s="70">
        <v>90</v>
      </c>
      <c r="K45" s="70">
        <f t="shared" si="0"/>
        <v>364</v>
      </c>
      <c r="L45" s="72">
        <v>90</v>
      </c>
    </row>
    <row r="46" spans="2:12" x14ac:dyDescent="0.35">
      <c r="B46" s="84">
        <v>1033370</v>
      </c>
      <c r="C46" s="69" t="s">
        <v>64</v>
      </c>
      <c r="D46" s="69" t="s">
        <v>423</v>
      </c>
      <c r="E46" s="69" t="s">
        <v>316</v>
      </c>
      <c r="F46" s="70">
        <v>1096</v>
      </c>
      <c r="G46" s="70">
        <f t="shared" si="1"/>
        <v>150</v>
      </c>
      <c r="H46" s="70">
        <v>150</v>
      </c>
      <c r="I46" s="70">
        <v>90</v>
      </c>
      <c r="J46" s="70">
        <v>90</v>
      </c>
      <c r="K46" s="70">
        <f t="shared" si="0"/>
        <v>364</v>
      </c>
      <c r="L46" s="72">
        <v>90</v>
      </c>
    </row>
    <row r="47" spans="2:12" x14ac:dyDescent="0.35">
      <c r="B47" s="84">
        <v>1024998</v>
      </c>
      <c r="C47" s="69" t="s">
        <v>70</v>
      </c>
      <c r="D47" s="69" t="s">
        <v>423</v>
      </c>
      <c r="E47" s="69" t="s">
        <v>316</v>
      </c>
      <c r="F47" s="70">
        <v>431</v>
      </c>
      <c r="G47" s="70">
        <f t="shared" si="1"/>
        <v>150</v>
      </c>
      <c r="H47" s="70">
        <v>150</v>
      </c>
      <c r="I47" s="70">
        <v>90</v>
      </c>
      <c r="J47" s="70">
        <v>90</v>
      </c>
      <c r="K47" s="70">
        <f t="shared" si="0"/>
        <v>142</v>
      </c>
      <c r="L47" s="72">
        <v>90</v>
      </c>
    </row>
    <row r="48" spans="2:12" x14ac:dyDescent="0.35">
      <c r="B48" s="84">
        <v>1024997</v>
      </c>
      <c r="C48" s="69" t="s">
        <v>62</v>
      </c>
      <c r="D48" s="69" t="s">
        <v>423</v>
      </c>
      <c r="E48" s="69" t="s">
        <v>316</v>
      </c>
      <c r="F48" s="70">
        <v>457</v>
      </c>
      <c r="G48" s="70">
        <f t="shared" si="1"/>
        <v>150</v>
      </c>
      <c r="H48" s="70">
        <v>150</v>
      </c>
      <c r="I48" s="70">
        <v>90</v>
      </c>
      <c r="J48" s="70">
        <v>90</v>
      </c>
      <c r="K48" s="70">
        <f t="shared" si="0"/>
        <v>151</v>
      </c>
      <c r="L48" s="72">
        <v>90</v>
      </c>
    </row>
    <row r="49" spans="2:12" x14ac:dyDescent="0.35">
      <c r="B49" s="84">
        <v>1036842</v>
      </c>
      <c r="C49" s="69" t="s">
        <v>26</v>
      </c>
      <c r="D49" s="69" t="s">
        <v>423</v>
      </c>
      <c r="E49" s="69" t="s">
        <v>316</v>
      </c>
      <c r="F49" s="70">
        <v>457</v>
      </c>
      <c r="G49" s="70">
        <f t="shared" si="1"/>
        <v>150</v>
      </c>
      <c r="H49" s="70">
        <v>150</v>
      </c>
      <c r="I49" s="70">
        <v>90</v>
      </c>
      <c r="J49" s="70">
        <v>90</v>
      </c>
      <c r="K49" s="70">
        <f t="shared" si="0"/>
        <v>151</v>
      </c>
      <c r="L49" s="72">
        <v>90</v>
      </c>
    </row>
    <row r="50" spans="2:12" x14ac:dyDescent="0.35">
      <c r="B50" s="84">
        <v>1033941</v>
      </c>
      <c r="C50" s="69" t="s">
        <v>39</v>
      </c>
      <c r="D50" s="69" t="s">
        <v>424</v>
      </c>
      <c r="E50" s="69" t="s">
        <v>312</v>
      </c>
      <c r="F50" s="70">
        <v>300</v>
      </c>
      <c r="G50" s="70">
        <f t="shared" si="1"/>
        <v>120</v>
      </c>
      <c r="H50" s="70">
        <v>90</v>
      </c>
      <c r="I50" s="70">
        <v>90</v>
      </c>
      <c r="J50" s="70">
        <v>90</v>
      </c>
      <c r="K50" s="70">
        <f t="shared" si="0"/>
        <v>99</v>
      </c>
      <c r="L50" s="72">
        <v>90</v>
      </c>
    </row>
    <row r="51" spans="2:12" x14ac:dyDescent="0.35">
      <c r="B51" s="84">
        <v>1058451</v>
      </c>
      <c r="C51" s="69" t="s">
        <v>268</v>
      </c>
      <c r="D51" s="69" t="s">
        <v>423</v>
      </c>
      <c r="E51" s="69" t="s">
        <v>312</v>
      </c>
      <c r="F51" s="70">
        <v>300</v>
      </c>
      <c r="G51" s="70">
        <f t="shared" si="1"/>
        <v>120</v>
      </c>
      <c r="H51" s="70">
        <v>90</v>
      </c>
      <c r="I51" s="70">
        <v>90</v>
      </c>
      <c r="J51" s="70">
        <v>90</v>
      </c>
      <c r="K51" s="70">
        <f t="shared" si="0"/>
        <v>99</v>
      </c>
      <c r="L51" s="72">
        <v>90</v>
      </c>
    </row>
    <row r="52" spans="2:12" x14ac:dyDescent="0.35">
      <c r="B52" s="84">
        <v>1056625</v>
      </c>
      <c r="C52" s="69" t="s">
        <v>213</v>
      </c>
      <c r="D52" s="69" t="s">
        <v>423</v>
      </c>
      <c r="E52" s="69" t="s">
        <v>312</v>
      </c>
      <c r="F52" s="70">
        <v>360</v>
      </c>
      <c r="G52" s="70">
        <f t="shared" si="1"/>
        <v>120</v>
      </c>
      <c r="H52" s="70">
        <v>90</v>
      </c>
      <c r="I52" s="70">
        <v>90</v>
      </c>
      <c r="J52" s="70">
        <v>90</v>
      </c>
      <c r="K52" s="70">
        <f t="shared" si="0"/>
        <v>119</v>
      </c>
      <c r="L52" s="72">
        <v>90</v>
      </c>
    </row>
    <row r="53" spans="2:12" x14ac:dyDescent="0.35">
      <c r="B53" s="84">
        <v>1043974</v>
      </c>
      <c r="C53" s="69" t="s">
        <v>18</v>
      </c>
      <c r="D53" s="69" t="s">
        <v>423</v>
      </c>
      <c r="E53" s="69" t="s">
        <v>312</v>
      </c>
      <c r="F53" s="70">
        <v>300</v>
      </c>
      <c r="G53" s="70">
        <f t="shared" si="1"/>
        <v>120</v>
      </c>
      <c r="H53" s="70">
        <v>90</v>
      </c>
      <c r="I53" s="70">
        <v>90</v>
      </c>
      <c r="J53" s="70">
        <v>90</v>
      </c>
      <c r="K53" s="70">
        <f t="shared" si="0"/>
        <v>99</v>
      </c>
      <c r="L53" s="72">
        <v>90</v>
      </c>
    </row>
    <row r="54" spans="2:12" x14ac:dyDescent="0.35">
      <c r="B54" s="84">
        <v>1052771</v>
      </c>
      <c r="C54" s="69" t="s">
        <v>193</v>
      </c>
      <c r="D54" s="69" t="s">
        <v>424</v>
      </c>
      <c r="E54" s="69" t="s">
        <v>312</v>
      </c>
      <c r="F54" s="70">
        <v>360</v>
      </c>
      <c r="G54" s="70">
        <f t="shared" si="1"/>
        <v>120</v>
      </c>
      <c r="H54" s="70">
        <v>90</v>
      </c>
      <c r="I54" s="70">
        <v>90</v>
      </c>
      <c r="J54" s="70">
        <v>90</v>
      </c>
      <c r="K54" s="70">
        <f t="shared" si="0"/>
        <v>119</v>
      </c>
      <c r="L54" s="72">
        <v>90</v>
      </c>
    </row>
    <row r="55" spans="2:12" x14ac:dyDescent="0.35">
      <c r="B55" s="84">
        <v>1052763</v>
      </c>
      <c r="C55" s="69" t="s">
        <v>188</v>
      </c>
      <c r="D55" s="69" t="s">
        <v>424</v>
      </c>
      <c r="E55" s="69" t="s">
        <v>312</v>
      </c>
      <c r="F55" s="70">
        <v>360</v>
      </c>
      <c r="G55" s="70">
        <f t="shared" si="1"/>
        <v>120</v>
      </c>
      <c r="H55" s="70">
        <v>90</v>
      </c>
      <c r="I55" s="70">
        <v>90</v>
      </c>
      <c r="J55" s="70">
        <v>90</v>
      </c>
      <c r="K55" s="70">
        <f t="shared" si="0"/>
        <v>119</v>
      </c>
      <c r="L55" s="72">
        <v>90</v>
      </c>
    </row>
    <row r="56" spans="2:12" x14ac:dyDescent="0.35">
      <c r="B56" s="84">
        <v>1057902</v>
      </c>
      <c r="C56" s="69" t="s">
        <v>343</v>
      </c>
      <c r="D56" s="69" t="s">
        <v>424</v>
      </c>
      <c r="E56" s="69" t="s">
        <v>312</v>
      </c>
      <c r="F56" s="70">
        <v>360</v>
      </c>
      <c r="G56" s="70">
        <f t="shared" si="1"/>
        <v>120</v>
      </c>
      <c r="H56" s="70">
        <v>90</v>
      </c>
      <c r="I56" s="70">
        <v>90</v>
      </c>
      <c r="J56" s="70">
        <v>90</v>
      </c>
      <c r="K56" s="70">
        <f t="shared" si="0"/>
        <v>119</v>
      </c>
      <c r="L56" s="72">
        <v>90</v>
      </c>
    </row>
    <row r="57" spans="2:12" x14ac:dyDescent="0.35">
      <c r="B57" s="84">
        <v>1052764</v>
      </c>
      <c r="C57" s="69" t="s">
        <v>186</v>
      </c>
      <c r="D57" s="69" t="s">
        <v>424</v>
      </c>
      <c r="E57" s="69" t="s">
        <v>312</v>
      </c>
      <c r="F57" s="70">
        <v>360</v>
      </c>
      <c r="G57" s="70">
        <f t="shared" si="1"/>
        <v>120</v>
      </c>
      <c r="H57" s="70">
        <v>90</v>
      </c>
      <c r="I57" s="70">
        <v>90</v>
      </c>
      <c r="J57" s="70">
        <v>90</v>
      </c>
      <c r="K57" s="70">
        <f t="shared" si="0"/>
        <v>119</v>
      </c>
      <c r="L57" s="72">
        <v>90</v>
      </c>
    </row>
    <row r="58" spans="2:12" x14ac:dyDescent="0.35">
      <c r="B58" s="84">
        <v>1052861</v>
      </c>
      <c r="C58" s="69" t="s">
        <v>196</v>
      </c>
      <c r="D58" s="69" t="s">
        <v>424</v>
      </c>
      <c r="E58" s="69" t="s">
        <v>312</v>
      </c>
      <c r="F58" s="70">
        <v>360</v>
      </c>
      <c r="G58" s="70">
        <f t="shared" si="1"/>
        <v>120</v>
      </c>
      <c r="H58" s="70">
        <v>90</v>
      </c>
      <c r="I58" s="70">
        <v>90</v>
      </c>
      <c r="J58" s="70">
        <v>90</v>
      </c>
      <c r="K58" s="70">
        <f t="shared" si="0"/>
        <v>119</v>
      </c>
      <c r="L58" s="72">
        <v>90</v>
      </c>
    </row>
    <row r="59" spans="2:12" x14ac:dyDescent="0.35">
      <c r="B59" s="84">
        <v>1052769</v>
      </c>
      <c r="C59" s="69" t="s">
        <v>192</v>
      </c>
      <c r="D59" s="69" t="s">
        <v>424</v>
      </c>
      <c r="E59" s="69" t="s">
        <v>312</v>
      </c>
      <c r="F59" s="70">
        <v>360</v>
      </c>
      <c r="G59" s="70">
        <f t="shared" si="1"/>
        <v>120</v>
      </c>
      <c r="H59" s="70">
        <v>90</v>
      </c>
      <c r="I59" s="70">
        <v>90</v>
      </c>
      <c r="J59" s="70">
        <v>90</v>
      </c>
      <c r="K59" s="70">
        <f t="shared" si="0"/>
        <v>119</v>
      </c>
      <c r="L59" s="72">
        <v>90</v>
      </c>
    </row>
    <row r="60" spans="2:12" x14ac:dyDescent="0.35">
      <c r="B60" s="84">
        <v>1052772</v>
      </c>
      <c r="C60" s="69" t="s">
        <v>194</v>
      </c>
      <c r="D60" s="69" t="s">
        <v>424</v>
      </c>
      <c r="E60" s="69" t="s">
        <v>312</v>
      </c>
      <c r="F60" s="70">
        <v>360</v>
      </c>
      <c r="G60" s="70">
        <f t="shared" si="1"/>
        <v>120</v>
      </c>
      <c r="H60" s="70">
        <v>90</v>
      </c>
      <c r="I60" s="70">
        <v>90</v>
      </c>
      <c r="J60" s="70">
        <v>90</v>
      </c>
      <c r="K60" s="70">
        <f t="shared" si="0"/>
        <v>119</v>
      </c>
      <c r="L60" s="72">
        <v>90</v>
      </c>
    </row>
    <row r="61" spans="2:12" x14ac:dyDescent="0.35">
      <c r="B61" s="84">
        <v>1052765</v>
      </c>
      <c r="C61" s="69" t="s">
        <v>189</v>
      </c>
      <c r="D61" s="69" t="s">
        <v>424</v>
      </c>
      <c r="E61" s="69" t="s">
        <v>312</v>
      </c>
      <c r="F61" s="70">
        <v>360</v>
      </c>
      <c r="G61" s="70">
        <f t="shared" si="1"/>
        <v>120</v>
      </c>
      <c r="H61" s="70">
        <v>90</v>
      </c>
      <c r="I61" s="70">
        <v>90</v>
      </c>
      <c r="J61" s="70">
        <v>90</v>
      </c>
      <c r="K61" s="70">
        <f t="shared" si="0"/>
        <v>119</v>
      </c>
      <c r="L61" s="72">
        <v>90</v>
      </c>
    </row>
    <row r="62" spans="2:12" x14ac:dyDescent="0.35">
      <c r="B62" s="84">
        <v>1052862</v>
      </c>
      <c r="C62" s="69" t="s">
        <v>184</v>
      </c>
      <c r="D62" s="69" t="s">
        <v>424</v>
      </c>
      <c r="E62" s="69" t="s">
        <v>312</v>
      </c>
      <c r="F62" s="70">
        <v>360</v>
      </c>
      <c r="G62" s="70">
        <f t="shared" si="1"/>
        <v>120</v>
      </c>
      <c r="H62" s="70">
        <v>90</v>
      </c>
      <c r="I62" s="70">
        <v>90</v>
      </c>
      <c r="J62" s="70">
        <v>90</v>
      </c>
      <c r="K62" s="70">
        <f t="shared" si="0"/>
        <v>119</v>
      </c>
      <c r="L62" s="72">
        <v>90</v>
      </c>
    </row>
    <row r="63" spans="2:12" x14ac:dyDescent="0.35">
      <c r="B63" s="84">
        <v>1052770</v>
      </c>
      <c r="C63" s="69" t="s">
        <v>183</v>
      </c>
      <c r="D63" s="69" t="s">
        <v>424</v>
      </c>
      <c r="E63" s="69" t="s">
        <v>312</v>
      </c>
      <c r="F63" s="70">
        <v>360</v>
      </c>
      <c r="G63" s="70">
        <f t="shared" si="1"/>
        <v>120</v>
      </c>
      <c r="H63" s="70">
        <v>90</v>
      </c>
      <c r="I63" s="70">
        <v>90</v>
      </c>
      <c r="J63" s="70">
        <v>90</v>
      </c>
      <c r="K63" s="70">
        <f t="shared" si="0"/>
        <v>119</v>
      </c>
      <c r="L63" s="72">
        <v>90</v>
      </c>
    </row>
    <row r="64" spans="2:12" x14ac:dyDescent="0.35">
      <c r="B64" s="84">
        <v>1052773</v>
      </c>
      <c r="C64" s="69" t="s">
        <v>195</v>
      </c>
      <c r="D64" s="69" t="s">
        <v>424</v>
      </c>
      <c r="E64" s="69" t="s">
        <v>312</v>
      </c>
      <c r="F64" s="70">
        <v>360</v>
      </c>
      <c r="G64" s="70">
        <f t="shared" si="1"/>
        <v>120</v>
      </c>
      <c r="H64" s="70">
        <v>90</v>
      </c>
      <c r="I64" s="70">
        <v>90</v>
      </c>
      <c r="J64" s="70">
        <v>90</v>
      </c>
      <c r="K64" s="70">
        <f t="shared" si="0"/>
        <v>119</v>
      </c>
      <c r="L64" s="72">
        <v>90</v>
      </c>
    </row>
    <row r="65" spans="2:12" x14ac:dyDescent="0.35">
      <c r="B65" s="84">
        <v>1052766</v>
      </c>
      <c r="C65" s="69" t="s">
        <v>190</v>
      </c>
      <c r="D65" s="69" t="s">
        <v>424</v>
      </c>
      <c r="E65" s="69" t="s">
        <v>312</v>
      </c>
      <c r="F65" s="70">
        <v>360</v>
      </c>
      <c r="G65" s="70">
        <f t="shared" si="1"/>
        <v>120</v>
      </c>
      <c r="H65" s="70">
        <v>90</v>
      </c>
      <c r="I65" s="70">
        <v>90</v>
      </c>
      <c r="J65" s="70">
        <v>90</v>
      </c>
      <c r="K65" s="70">
        <f t="shared" si="0"/>
        <v>119</v>
      </c>
      <c r="L65" s="72">
        <v>90</v>
      </c>
    </row>
    <row r="66" spans="2:12" x14ac:dyDescent="0.35">
      <c r="B66" s="84">
        <v>1052767</v>
      </c>
      <c r="C66" s="69" t="s">
        <v>191</v>
      </c>
      <c r="D66" s="69" t="s">
        <v>424</v>
      </c>
      <c r="E66" s="69" t="s">
        <v>312</v>
      </c>
      <c r="F66" s="70">
        <v>300</v>
      </c>
      <c r="G66" s="70">
        <f t="shared" si="1"/>
        <v>120</v>
      </c>
      <c r="H66" s="70">
        <v>90</v>
      </c>
      <c r="I66" s="70">
        <v>90</v>
      </c>
      <c r="J66" s="70">
        <v>90</v>
      </c>
      <c r="K66" s="70">
        <f t="shared" si="0"/>
        <v>99</v>
      </c>
      <c r="L66" s="72">
        <v>90</v>
      </c>
    </row>
    <row r="67" spans="2:12" x14ac:dyDescent="0.35">
      <c r="B67" s="84">
        <v>1030173</v>
      </c>
      <c r="C67" s="69" t="s">
        <v>106</v>
      </c>
      <c r="D67" s="69" t="s">
        <v>424</v>
      </c>
      <c r="E67" s="69" t="s">
        <v>312</v>
      </c>
      <c r="F67" s="70">
        <v>300</v>
      </c>
      <c r="G67" s="70">
        <f t="shared" si="1"/>
        <v>120</v>
      </c>
      <c r="H67" s="70">
        <v>90</v>
      </c>
      <c r="I67" s="70">
        <v>90</v>
      </c>
      <c r="J67" s="70">
        <v>90</v>
      </c>
      <c r="K67" s="70">
        <f t="shared" ref="K67:K130" si="2">ROUNDDOWN(F67/3,0)-1</f>
        <v>99</v>
      </c>
      <c r="L67" s="72">
        <v>90</v>
      </c>
    </row>
    <row r="68" spans="2:12" x14ac:dyDescent="0.35">
      <c r="B68" s="84">
        <v>1030816</v>
      </c>
      <c r="C68" s="69" t="s">
        <v>61</v>
      </c>
      <c r="D68" s="69" t="s">
        <v>424</v>
      </c>
      <c r="E68" s="69" t="s">
        <v>312</v>
      </c>
      <c r="F68" s="70">
        <v>300</v>
      </c>
      <c r="G68" s="70">
        <f t="shared" ref="G68:G131" si="3">IF(F68&lt;=210,F68*0.6,IF(F68&lt;=365,120,IF(F68&lt;=3600,150)))</f>
        <v>120</v>
      </c>
      <c r="H68" s="70">
        <v>90</v>
      </c>
      <c r="I68" s="70">
        <v>90</v>
      </c>
      <c r="J68" s="70">
        <v>90</v>
      </c>
      <c r="K68" s="70">
        <f t="shared" si="2"/>
        <v>99</v>
      </c>
      <c r="L68" s="72">
        <v>90</v>
      </c>
    </row>
    <row r="69" spans="2:12" x14ac:dyDescent="0.35">
      <c r="B69" s="84">
        <v>1059112</v>
      </c>
      <c r="C69" s="69" t="s">
        <v>236</v>
      </c>
      <c r="D69" s="69" t="s">
        <v>424</v>
      </c>
      <c r="E69" s="69" t="s">
        <v>308</v>
      </c>
      <c r="F69" s="70">
        <v>360</v>
      </c>
      <c r="G69" s="70">
        <f t="shared" si="3"/>
        <v>120</v>
      </c>
      <c r="H69" s="70">
        <v>90</v>
      </c>
      <c r="I69" s="70">
        <v>90</v>
      </c>
      <c r="J69" s="70">
        <v>90</v>
      </c>
      <c r="K69" s="70">
        <f t="shared" si="2"/>
        <v>119</v>
      </c>
      <c r="L69" s="72">
        <v>90</v>
      </c>
    </row>
    <row r="70" spans="2:12" x14ac:dyDescent="0.35">
      <c r="B70" s="84">
        <v>1059113</v>
      </c>
      <c r="C70" s="69" t="s">
        <v>243</v>
      </c>
      <c r="D70" s="69" t="s">
        <v>424</v>
      </c>
      <c r="E70" s="69" t="s">
        <v>308</v>
      </c>
      <c r="F70" s="70">
        <v>360</v>
      </c>
      <c r="G70" s="70">
        <f t="shared" si="3"/>
        <v>120</v>
      </c>
      <c r="H70" s="70">
        <v>90</v>
      </c>
      <c r="I70" s="70">
        <v>90</v>
      </c>
      <c r="J70" s="70">
        <v>90</v>
      </c>
      <c r="K70" s="70">
        <f t="shared" si="2"/>
        <v>119</v>
      </c>
      <c r="L70" s="72">
        <v>90</v>
      </c>
    </row>
    <row r="71" spans="2:12" x14ac:dyDescent="0.35">
      <c r="B71" s="84">
        <v>1058340</v>
      </c>
      <c r="C71" s="69" t="s">
        <v>233</v>
      </c>
      <c r="D71" s="69" t="s">
        <v>424</v>
      </c>
      <c r="E71" s="69" t="s">
        <v>308</v>
      </c>
      <c r="F71" s="70">
        <v>360</v>
      </c>
      <c r="G71" s="70">
        <f t="shared" si="3"/>
        <v>120</v>
      </c>
      <c r="H71" s="70">
        <v>90</v>
      </c>
      <c r="I71" s="70">
        <v>90</v>
      </c>
      <c r="J71" s="70">
        <v>90</v>
      </c>
      <c r="K71" s="70">
        <f t="shared" si="2"/>
        <v>119</v>
      </c>
      <c r="L71" s="72">
        <v>90</v>
      </c>
    </row>
    <row r="72" spans="2:12" x14ac:dyDescent="0.35">
      <c r="B72" s="84">
        <v>1058339</v>
      </c>
      <c r="C72" s="69" t="s">
        <v>232</v>
      </c>
      <c r="D72" s="69" t="s">
        <v>424</v>
      </c>
      <c r="E72" s="69" t="s">
        <v>308</v>
      </c>
      <c r="F72" s="70">
        <v>360</v>
      </c>
      <c r="G72" s="70">
        <f t="shared" si="3"/>
        <v>120</v>
      </c>
      <c r="H72" s="70">
        <v>90</v>
      </c>
      <c r="I72" s="70">
        <v>90</v>
      </c>
      <c r="J72" s="70">
        <v>90</v>
      </c>
      <c r="K72" s="70">
        <f t="shared" si="2"/>
        <v>119</v>
      </c>
      <c r="L72" s="72">
        <v>90</v>
      </c>
    </row>
    <row r="73" spans="2:12" x14ac:dyDescent="0.35">
      <c r="B73" s="84">
        <v>1058350</v>
      </c>
      <c r="C73" s="69" t="s">
        <v>230</v>
      </c>
      <c r="D73" s="69" t="s">
        <v>424</v>
      </c>
      <c r="E73" s="69" t="s">
        <v>308</v>
      </c>
      <c r="F73" s="70">
        <v>360</v>
      </c>
      <c r="G73" s="70">
        <f t="shared" si="3"/>
        <v>120</v>
      </c>
      <c r="H73" s="70">
        <v>90</v>
      </c>
      <c r="I73" s="70">
        <v>90</v>
      </c>
      <c r="J73" s="70">
        <v>90</v>
      </c>
      <c r="K73" s="70">
        <f t="shared" si="2"/>
        <v>119</v>
      </c>
      <c r="L73" s="72">
        <v>90</v>
      </c>
    </row>
    <row r="74" spans="2:12" x14ac:dyDescent="0.35">
      <c r="B74" s="84">
        <v>1058352</v>
      </c>
      <c r="C74" s="69" t="s">
        <v>234</v>
      </c>
      <c r="D74" s="69" t="s">
        <v>424</v>
      </c>
      <c r="E74" s="69" t="s">
        <v>308</v>
      </c>
      <c r="F74" s="70">
        <v>360</v>
      </c>
      <c r="G74" s="70">
        <f t="shared" si="3"/>
        <v>120</v>
      </c>
      <c r="H74" s="70">
        <v>90</v>
      </c>
      <c r="I74" s="70">
        <v>90</v>
      </c>
      <c r="J74" s="70">
        <v>90</v>
      </c>
      <c r="K74" s="70">
        <f t="shared" si="2"/>
        <v>119</v>
      </c>
      <c r="L74" s="72">
        <v>90</v>
      </c>
    </row>
    <row r="75" spans="2:12" x14ac:dyDescent="0.35">
      <c r="B75" s="84">
        <v>1056692</v>
      </c>
      <c r="C75" s="69" t="s">
        <v>225</v>
      </c>
      <c r="D75" s="69" t="s">
        <v>424</v>
      </c>
      <c r="E75" s="69" t="s">
        <v>308</v>
      </c>
      <c r="F75" s="70">
        <v>360</v>
      </c>
      <c r="G75" s="70">
        <f t="shared" si="3"/>
        <v>120</v>
      </c>
      <c r="H75" s="70">
        <v>90</v>
      </c>
      <c r="I75" s="70">
        <v>90</v>
      </c>
      <c r="J75" s="70">
        <v>90</v>
      </c>
      <c r="K75" s="70">
        <f t="shared" si="2"/>
        <v>119</v>
      </c>
      <c r="L75" s="72">
        <v>90</v>
      </c>
    </row>
    <row r="76" spans="2:12" x14ac:dyDescent="0.35">
      <c r="B76" s="84">
        <v>1057892</v>
      </c>
      <c r="C76" s="69" t="s">
        <v>270</v>
      </c>
      <c r="D76" s="69" t="s">
        <v>424</v>
      </c>
      <c r="E76" s="69" t="s">
        <v>308</v>
      </c>
      <c r="F76" s="70">
        <v>360</v>
      </c>
      <c r="G76" s="70">
        <f t="shared" si="3"/>
        <v>120</v>
      </c>
      <c r="H76" s="70">
        <v>90</v>
      </c>
      <c r="I76" s="70">
        <v>90</v>
      </c>
      <c r="J76" s="70">
        <v>90</v>
      </c>
      <c r="K76" s="70">
        <f t="shared" si="2"/>
        <v>119</v>
      </c>
      <c r="L76" s="72">
        <v>90</v>
      </c>
    </row>
    <row r="77" spans="2:12" x14ac:dyDescent="0.35">
      <c r="B77" s="84">
        <v>1058419</v>
      </c>
      <c r="C77" s="69" t="s">
        <v>228</v>
      </c>
      <c r="D77" s="69" t="s">
        <v>424</v>
      </c>
      <c r="E77" s="69" t="s">
        <v>308</v>
      </c>
      <c r="F77" s="70">
        <v>360</v>
      </c>
      <c r="G77" s="70">
        <f t="shared" si="3"/>
        <v>120</v>
      </c>
      <c r="H77" s="70">
        <v>90</v>
      </c>
      <c r="I77" s="70">
        <v>90</v>
      </c>
      <c r="J77" s="70">
        <v>90</v>
      </c>
      <c r="K77" s="70">
        <f t="shared" si="2"/>
        <v>119</v>
      </c>
      <c r="L77" s="72">
        <v>90</v>
      </c>
    </row>
    <row r="78" spans="2:12" x14ac:dyDescent="0.35">
      <c r="B78" s="84">
        <v>1057718</v>
      </c>
      <c r="C78" s="69" t="s">
        <v>262</v>
      </c>
      <c r="D78" s="69" t="s">
        <v>424</v>
      </c>
      <c r="E78" s="69" t="s">
        <v>308</v>
      </c>
      <c r="F78" s="70">
        <v>360</v>
      </c>
      <c r="G78" s="70">
        <f t="shared" si="3"/>
        <v>120</v>
      </c>
      <c r="H78" s="70">
        <v>90</v>
      </c>
      <c r="I78" s="70">
        <v>90</v>
      </c>
      <c r="J78" s="70">
        <v>90</v>
      </c>
      <c r="K78" s="70">
        <f t="shared" si="2"/>
        <v>119</v>
      </c>
      <c r="L78" s="72">
        <v>90</v>
      </c>
    </row>
    <row r="79" spans="2:12" x14ac:dyDescent="0.35">
      <c r="B79" s="84">
        <v>1057719</v>
      </c>
      <c r="C79" s="69" t="s">
        <v>260</v>
      </c>
      <c r="D79" s="69" t="s">
        <v>424</v>
      </c>
      <c r="E79" s="69" t="s">
        <v>308</v>
      </c>
      <c r="F79" s="70">
        <v>360</v>
      </c>
      <c r="G79" s="70">
        <f t="shared" si="3"/>
        <v>120</v>
      </c>
      <c r="H79" s="70">
        <v>90</v>
      </c>
      <c r="I79" s="70">
        <v>90</v>
      </c>
      <c r="J79" s="70">
        <v>90</v>
      </c>
      <c r="K79" s="70">
        <f t="shared" si="2"/>
        <v>119</v>
      </c>
      <c r="L79" s="72">
        <v>90</v>
      </c>
    </row>
    <row r="80" spans="2:12" x14ac:dyDescent="0.35">
      <c r="B80" s="84">
        <v>1056709</v>
      </c>
      <c r="C80" s="69" t="s">
        <v>219</v>
      </c>
      <c r="D80" s="69" t="s">
        <v>424</v>
      </c>
      <c r="E80" s="69" t="s">
        <v>308</v>
      </c>
      <c r="F80" s="70">
        <v>210</v>
      </c>
      <c r="G80" s="70">
        <f t="shared" si="3"/>
        <v>126</v>
      </c>
      <c r="H80" s="70">
        <v>90</v>
      </c>
      <c r="I80" s="70">
        <v>90</v>
      </c>
      <c r="J80" s="70">
        <v>90</v>
      </c>
      <c r="K80" s="70">
        <f t="shared" si="2"/>
        <v>69</v>
      </c>
      <c r="L80" s="72">
        <v>90</v>
      </c>
    </row>
    <row r="81" spans="2:12" x14ac:dyDescent="0.35">
      <c r="B81" s="84">
        <v>1047581</v>
      </c>
      <c r="C81" s="69" t="s">
        <v>13</v>
      </c>
      <c r="D81" s="69" t="s">
        <v>424</v>
      </c>
      <c r="E81" s="69" t="s">
        <v>308</v>
      </c>
      <c r="F81" s="70">
        <v>360</v>
      </c>
      <c r="G81" s="70">
        <f t="shared" si="3"/>
        <v>120</v>
      </c>
      <c r="H81" s="70">
        <v>90</v>
      </c>
      <c r="I81" s="70">
        <v>90</v>
      </c>
      <c r="J81" s="70">
        <v>90</v>
      </c>
      <c r="K81" s="70">
        <f t="shared" si="2"/>
        <v>119</v>
      </c>
      <c r="L81" s="72">
        <v>90</v>
      </c>
    </row>
    <row r="82" spans="2:12" x14ac:dyDescent="0.35">
      <c r="B82" s="84">
        <v>1052998</v>
      </c>
      <c r="C82" s="69" t="s">
        <v>169</v>
      </c>
      <c r="D82" s="69" t="s">
        <v>424</v>
      </c>
      <c r="E82" s="69" t="s">
        <v>308</v>
      </c>
      <c r="F82" s="70" t="e">
        <v>#N/A</v>
      </c>
      <c r="G82" s="70" t="e">
        <f t="shared" si="3"/>
        <v>#N/A</v>
      </c>
      <c r="H82" s="70">
        <v>90</v>
      </c>
      <c r="I82" s="70">
        <v>90</v>
      </c>
      <c r="J82" s="70">
        <v>90</v>
      </c>
      <c r="K82" s="70" t="e">
        <f t="shared" si="2"/>
        <v>#N/A</v>
      </c>
      <c r="L82" s="72">
        <v>90</v>
      </c>
    </row>
    <row r="83" spans="2:12" x14ac:dyDescent="0.35">
      <c r="B83" s="84">
        <v>1047582</v>
      </c>
      <c r="C83" s="69" t="s">
        <v>23</v>
      </c>
      <c r="D83" s="69" t="s">
        <v>424</v>
      </c>
      <c r="E83" s="69" t="s">
        <v>308</v>
      </c>
      <c r="F83" s="70">
        <v>360</v>
      </c>
      <c r="G83" s="70">
        <f t="shared" si="3"/>
        <v>120</v>
      </c>
      <c r="H83" s="70">
        <v>90</v>
      </c>
      <c r="I83" s="70">
        <v>90</v>
      </c>
      <c r="J83" s="70">
        <v>90</v>
      </c>
      <c r="K83" s="70">
        <f t="shared" si="2"/>
        <v>119</v>
      </c>
      <c r="L83" s="72">
        <v>90</v>
      </c>
    </row>
    <row r="84" spans="2:12" x14ac:dyDescent="0.35">
      <c r="B84" s="84">
        <v>1016002</v>
      </c>
      <c r="C84" s="69" t="s">
        <v>93</v>
      </c>
      <c r="D84" s="69" t="s">
        <v>424</v>
      </c>
      <c r="E84" s="69" t="s">
        <v>308</v>
      </c>
      <c r="F84" s="70">
        <v>300</v>
      </c>
      <c r="G84" s="70">
        <f t="shared" si="3"/>
        <v>120</v>
      </c>
      <c r="H84" s="70">
        <v>90</v>
      </c>
      <c r="I84" s="70">
        <v>90</v>
      </c>
      <c r="J84" s="70">
        <v>90</v>
      </c>
      <c r="K84" s="70">
        <f t="shared" si="2"/>
        <v>99</v>
      </c>
      <c r="L84" s="72">
        <v>90</v>
      </c>
    </row>
    <row r="85" spans="2:12" x14ac:dyDescent="0.35">
      <c r="B85" s="84">
        <v>1033686</v>
      </c>
      <c r="C85" s="69" t="s">
        <v>45</v>
      </c>
      <c r="D85" s="69" t="s">
        <v>424</v>
      </c>
      <c r="E85" s="69" t="s">
        <v>308</v>
      </c>
      <c r="F85" s="70">
        <v>300</v>
      </c>
      <c r="G85" s="70">
        <f t="shared" si="3"/>
        <v>120</v>
      </c>
      <c r="H85" s="70">
        <v>90</v>
      </c>
      <c r="I85" s="70">
        <v>90</v>
      </c>
      <c r="J85" s="70">
        <v>90</v>
      </c>
      <c r="K85" s="70">
        <f t="shared" si="2"/>
        <v>99</v>
      </c>
      <c r="L85" s="72">
        <v>90</v>
      </c>
    </row>
    <row r="86" spans="2:12" x14ac:dyDescent="0.35">
      <c r="B86" s="84">
        <v>1028943</v>
      </c>
      <c r="C86" s="69" t="s">
        <v>102</v>
      </c>
      <c r="D86" s="69" t="s">
        <v>424</v>
      </c>
      <c r="E86" s="69" t="s">
        <v>308</v>
      </c>
      <c r="F86" s="70">
        <v>300</v>
      </c>
      <c r="G86" s="70">
        <f t="shared" si="3"/>
        <v>120</v>
      </c>
      <c r="H86" s="70">
        <v>90</v>
      </c>
      <c r="I86" s="70">
        <v>90</v>
      </c>
      <c r="J86" s="70">
        <v>90</v>
      </c>
      <c r="K86" s="70">
        <f t="shared" si="2"/>
        <v>99</v>
      </c>
      <c r="L86" s="72">
        <v>90</v>
      </c>
    </row>
    <row r="87" spans="2:12" x14ac:dyDescent="0.35">
      <c r="B87" s="84">
        <v>1010076</v>
      </c>
      <c r="C87" s="69" t="s">
        <v>7</v>
      </c>
      <c r="D87" s="69" t="s">
        <v>424</v>
      </c>
      <c r="E87" s="69" t="s">
        <v>308</v>
      </c>
      <c r="F87" s="70">
        <v>300</v>
      </c>
      <c r="G87" s="70">
        <f t="shared" si="3"/>
        <v>120</v>
      </c>
      <c r="H87" s="70">
        <v>90</v>
      </c>
      <c r="I87" s="70">
        <v>90</v>
      </c>
      <c r="J87" s="70">
        <v>90</v>
      </c>
      <c r="K87" s="70">
        <f t="shared" si="2"/>
        <v>99</v>
      </c>
      <c r="L87" s="72">
        <v>90</v>
      </c>
    </row>
    <row r="88" spans="2:12" x14ac:dyDescent="0.35">
      <c r="B88" s="84">
        <v>1037816</v>
      </c>
      <c r="C88" s="69" t="s">
        <v>47</v>
      </c>
      <c r="D88" s="69" t="s">
        <v>424</v>
      </c>
      <c r="E88" s="69" t="s">
        <v>308</v>
      </c>
      <c r="F88" s="70">
        <v>300</v>
      </c>
      <c r="G88" s="70">
        <f t="shared" si="3"/>
        <v>120</v>
      </c>
      <c r="H88" s="70">
        <v>90</v>
      </c>
      <c r="I88" s="70">
        <v>90</v>
      </c>
      <c r="J88" s="70">
        <v>90</v>
      </c>
      <c r="K88" s="70">
        <f t="shared" si="2"/>
        <v>99</v>
      </c>
      <c r="L88" s="72">
        <v>90</v>
      </c>
    </row>
    <row r="89" spans="2:12" x14ac:dyDescent="0.35">
      <c r="B89" s="84">
        <v>1011971</v>
      </c>
      <c r="C89" s="69" t="s">
        <v>37</v>
      </c>
      <c r="D89" s="69" t="s">
        <v>424</v>
      </c>
      <c r="E89" s="69" t="s">
        <v>308</v>
      </c>
      <c r="F89" s="70">
        <v>240</v>
      </c>
      <c r="G89" s="70">
        <f t="shared" si="3"/>
        <v>120</v>
      </c>
      <c r="H89" s="70">
        <v>90</v>
      </c>
      <c r="I89" s="70">
        <v>90</v>
      </c>
      <c r="J89" s="70">
        <v>90</v>
      </c>
      <c r="K89" s="70">
        <f t="shared" si="2"/>
        <v>79</v>
      </c>
      <c r="L89" s="72">
        <v>90</v>
      </c>
    </row>
    <row r="90" spans="2:12" x14ac:dyDescent="0.35">
      <c r="B90" s="84">
        <v>1015838</v>
      </c>
      <c r="C90" s="69" t="s">
        <v>20</v>
      </c>
      <c r="D90" s="69" t="s">
        <v>424</v>
      </c>
      <c r="E90" s="69" t="s">
        <v>308</v>
      </c>
      <c r="F90" s="70">
        <v>240</v>
      </c>
      <c r="G90" s="70">
        <f t="shared" si="3"/>
        <v>120</v>
      </c>
      <c r="H90" s="70">
        <v>90</v>
      </c>
      <c r="I90" s="70">
        <v>90</v>
      </c>
      <c r="J90" s="70">
        <v>90</v>
      </c>
      <c r="K90" s="70">
        <f t="shared" si="2"/>
        <v>79</v>
      </c>
      <c r="L90" s="72">
        <v>90</v>
      </c>
    </row>
    <row r="91" spans="2:12" x14ac:dyDescent="0.35">
      <c r="B91" s="84">
        <v>1013133</v>
      </c>
      <c r="C91" s="69" t="s">
        <v>54</v>
      </c>
      <c r="D91" s="69" t="s">
        <v>424</v>
      </c>
      <c r="E91" s="69" t="s">
        <v>308</v>
      </c>
      <c r="F91" s="70">
        <v>240</v>
      </c>
      <c r="G91" s="70">
        <f t="shared" si="3"/>
        <v>120</v>
      </c>
      <c r="H91" s="70">
        <v>90</v>
      </c>
      <c r="I91" s="70">
        <v>90</v>
      </c>
      <c r="J91" s="70">
        <v>90</v>
      </c>
      <c r="K91" s="70">
        <f t="shared" si="2"/>
        <v>79</v>
      </c>
      <c r="L91" s="72">
        <v>90</v>
      </c>
    </row>
    <row r="92" spans="2:12" x14ac:dyDescent="0.35">
      <c r="B92" s="84">
        <v>1037571</v>
      </c>
      <c r="C92" s="69" t="s">
        <v>32</v>
      </c>
      <c r="D92" s="69" t="s">
        <v>424</v>
      </c>
      <c r="E92" s="69" t="s">
        <v>308</v>
      </c>
      <c r="F92" s="70">
        <v>300</v>
      </c>
      <c r="G92" s="70">
        <f t="shared" si="3"/>
        <v>120</v>
      </c>
      <c r="H92" s="70">
        <v>90</v>
      </c>
      <c r="I92" s="70">
        <v>90</v>
      </c>
      <c r="J92" s="70">
        <v>90</v>
      </c>
      <c r="K92" s="70">
        <f t="shared" si="2"/>
        <v>99</v>
      </c>
      <c r="L92" s="72">
        <v>90</v>
      </c>
    </row>
    <row r="93" spans="2:12" x14ac:dyDescent="0.35">
      <c r="B93" s="84">
        <v>1057451</v>
      </c>
      <c r="C93" s="69" t="s">
        <v>247</v>
      </c>
      <c r="D93" s="69" t="s">
        <v>423</v>
      </c>
      <c r="E93" s="69" t="s">
        <v>308</v>
      </c>
      <c r="F93" s="70">
        <v>365</v>
      </c>
      <c r="G93" s="70">
        <f t="shared" si="3"/>
        <v>120</v>
      </c>
      <c r="H93" s="70">
        <v>90</v>
      </c>
      <c r="I93" s="70">
        <v>90</v>
      </c>
      <c r="J93" s="70">
        <v>90</v>
      </c>
      <c r="K93" s="70">
        <f t="shared" si="2"/>
        <v>120</v>
      </c>
      <c r="L93" s="72">
        <v>90</v>
      </c>
    </row>
    <row r="94" spans="2:12" x14ac:dyDescent="0.35">
      <c r="B94" s="84">
        <v>1057450</v>
      </c>
      <c r="C94" s="69" t="s">
        <v>255</v>
      </c>
      <c r="D94" s="69" t="s">
        <v>423</v>
      </c>
      <c r="E94" s="69" t="s">
        <v>308</v>
      </c>
      <c r="F94" s="70">
        <v>365</v>
      </c>
      <c r="G94" s="70">
        <f t="shared" si="3"/>
        <v>120</v>
      </c>
      <c r="H94" s="70">
        <v>90</v>
      </c>
      <c r="I94" s="70">
        <v>90</v>
      </c>
      <c r="J94" s="70">
        <v>90</v>
      </c>
      <c r="K94" s="70">
        <f t="shared" si="2"/>
        <v>120</v>
      </c>
      <c r="L94" s="72">
        <v>90</v>
      </c>
    </row>
    <row r="95" spans="2:12" x14ac:dyDescent="0.35">
      <c r="B95" s="84">
        <v>1057482</v>
      </c>
      <c r="C95" s="69" t="s">
        <v>256</v>
      </c>
      <c r="D95" s="69" t="s">
        <v>423</v>
      </c>
      <c r="E95" s="69" t="s">
        <v>308</v>
      </c>
      <c r="F95" s="70">
        <v>365</v>
      </c>
      <c r="G95" s="70">
        <f t="shared" si="3"/>
        <v>120</v>
      </c>
      <c r="H95" s="70">
        <v>90</v>
      </c>
      <c r="I95" s="70">
        <v>90</v>
      </c>
      <c r="J95" s="70">
        <v>90</v>
      </c>
      <c r="K95" s="70">
        <f t="shared" si="2"/>
        <v>120</v>
      </c>
      <c r="L95" s="72">
        <v>90</v>
      </c>
    </row>
    <row r="96" spans="2:12" x14ac:dyDescent="0.35">
      <c r="B96" s="84">
        <v>1042788</v>
      </c>
      <c r="C96" s="69" t="s">
        <v>120</v>
      </c>
      <c r="D96" s="69" t="s">
        <v>424</v>
      </c>
      <c r="E96" s="69" t="s">
        <v>308</v>
      </c>
      <c r="F96" s="70">
        <v>450</v>
      </c>
      <c r="G96" s="70">
        <f t="shared" si="3"/>
        <v>150</v>
      </c>
      <c r="H96" s="70">
        <v>90</v>
      </c>
      <c r="I96" s="70">
        <v>90</v>
      </c>
      <c r="J96" s="70">
        <v>90</v>
      </c>
      <c r="K96" s="70">
        <f t="shared" si="2"/>
        <v>149</v>
      </c>
      <c r="L96" s="72">
        <v>90</v>
      </c>
    </row>
    <row r="97" spans="2:12" x14ac:dyDescent="0.35">
      <c r="B97" s="84">
        <v>1042784</v>
      </c>
      <c r="C97" s="69" t="s">
        <v>124</v>
      </c>
      <c r="D97" s="69" t="s">
        <v>424</v>
      </c>
      <c r="E97" s="69" t="s">
        <v>308</v>
      </c>
      <c r="F97" s="70">
        <v>450</v>
      </c>
      <c r="G97" s="70">
        <f t="shared" si="3"/>
        <v>150</v>
      </c>
      <c r="H97" s="70">
        <v>90</v>
      </c>
      <c r="I97" s="70">
        <v>90</v>
      </c>
      <c r="J97" s="70">
        <v>90</v>
      </c>
      <c r="K97" s="70">
        <f t="shared" si="2"/>
        <v>149</v>
      </c>
      <c r="L97" s="72">
        <v>90</v>
      </c>
    </row>
    <row r="98" spans="2:12" x14ac:dyDescent="0.35">
      <c r="B98" s="84">
        <v>1042783</v>
      </c>
      <c r="C98" s="69" t="s">
        <v>138</v>
      </c>
      <c r="D98" s="69" t="s">
        <v>424</v>
      </c>
      <c r="E98" s="69" t="s">
        <v>308</v>
      </c>
      <c r="F98" s="70">
        <v>450</v>
      </c>
      <c r="G98" s="70">
        <f t="shared" si="3"/>
        <v>150</v>
      </c>
      <c r="H98" s="70">
        <v>90</v>
      </c>
      <c r="I98" s="70">
        <v>90</v>
      </c>
      <c r="J98" s="70">
        <v>90</v>
      </c>
      <c r="K98" s="70">
        <f t="shared" si="2"/>
        <v>149</v>
      </c>
      <c r="L98" s="72">
        <v>90</v>
      </c>
    </row>
    <row r="99" spans="2:12" x14ac:dyDescent="0.35">
      <c r="B99" s="84">
        <v>1042782</v>
      </c>
      <c r="C99" s="69" t="s">
        <v>116</v>
      </c>
      <c r="D99" s="69" t="s">
        <v>424</v>
      </c>
      <c r="E99" s="69" t="s">
        <v>308</v>
      </c>
      <c r="F99" s="70">
        <v>450</v>
      </c>
      <c r="G99" s="70">
        <f t="shared" si="3"/>
        <v>150</v>
      </c>
      <c r="H99" s="70">
        <v>90</v>
      </c>
      <c r="I99" s="70">
        <v>90</v>
      </c>
      <c r="J99" s="70">
        <v>90</v>
      </c>
      <c r="K99" s="70">
        <f t="shared" si="2"/>
        <v>149</v>
      </c>
      <c r="L99" s="72">
        <v>90</v>
      </c>
    </row>
    <row r="100" spans="2:12" x14ac:dyDescent="0.35">
      <c r="B100" s="84">
        <v>1042786</v>
      </c>
      <c r="C100" s="69" t="s">
        <v>87</v>
      </c>
      <c r="D100" s="69" t="s">
        <v>424</v>
      </c>
      <c r="E100" s="69" t="s">
        <v>308</v>
      </c>
      <c r="F100" s="70">
        <v>450</v>
      </c>
      <c r="G100" s="70">
        <f t="shared" si="3"/>
        <v>150</v>
      </c>
      <c r="H100" s="70">
        <v>90</v>
      </c>
      <c r="I100" s="70">
        <v>90</v>
      </c>
      <c r="J100" s="70">
        <v>90</v>
      </c>
      <c r="K100" s="70">
        <f t="shared" si="2"/>
        <v>149</v>
      </c>
      <c r="L100" s="72">
        <v>90</v>
      </c>
    </row>
    <row r="101" spans="2:12" x14ac:dyDescent="0.35">
      <c r="B101" s="84">
        <v>1042787</v>
      </c>
      <c r="C101" s="69" t="s">
        <v>133</v>
      </c>
      <c r="D101" s="69" t="s">
        <v>424</v>
      </c>
      <c r="E101" s="69" t="s">
        <v>308</v>
      </c>
      <c r="F101" s="70">
        <v>450</v>
      </c>
      <c r="G101" s="70">
        <f t="shared" si="3"/>
        <v>150</v>
      </c>
      <c r="H101" s="70">
        <v>90</v>
      </c>
      <c r="I101" s="70">
        <v>90</v>
      </c>
      <c r="J101" s="70">
        <v>90</v>
      </c>
      <c r="K101" s="70">
        <f t="shared" si="2"/>
        <v>149</v>
      </c>
      <c r="L101" s="72">
        <v>90</v>
      </c>
    </row>
    <row r="102" spans="2:12" x14ac:dyDescent="0.35">
      <c r="B102" s="84">
        <v>1042785</v>
      </c>
      <c r="C102" s="69" t="s">
        <v>29</v>
      </c>
      <c r="D102" s="69" t="s">
        <v>424</v>
      </c>
      <c r="E102" s="69" t="s">
        <v>308</v>
      </c>
      <c r="F102" s="70">
        <v>450</v>
      </c>
      <c r="G102" s="70">
        <f t="shared" si="3"/>
        <v>150</v>
      </c>
      <c r="H102" s="70">
        <v>90</v>
      </c>
      <c r="I102" s="70">
        <v>90</v>
      </c>
      <c r="J102" s="70">
        <v>90</v>
      </c>
      <c r="K102" s="70">
        <f t="shared" si="2"/>
        <v>149</v>
      </c>
      <c r="L102" s="72">
        <v>90</v>
      </c>
    </row>
    <row r="103" spans="2:12" x14ac:dyDescent="0.35">
      <c r="B103" s="84">
        <v>1013790</v>
      </c>
      <c r="C103" s="69" t="s">
        <v>43</v>
      </c>
      <c r="D103" s="69" t="s">
        <v>424</v>
      </c>
      <c r="E103" s="69" t="s">
        <v>308</v>
      </c>
      <c r="F103" s="70">
        <v>180</v>
      </c>
      <c r="G103" s="70">
        <f t="shared" si="3"/>
        <v>108</v>
      </c>
      <c r="H103" s="70">
        <v>90</v>
      </c>
      <c r="I103" s="70">
        <v>90</v>
      </c>
      <c r="J103" s="70">
        <v>90</v>
      </c>
      <c r="K103" s="70">
        <f t="shared" si="2"/>
        <v>59</v>
      </c>
      <c r="L103" s="72">
        <v>90</v>
      </c>
    </row>
    <row r="104" spans="2:12" x14ac:dyDescent="0.35">
      <c r="B104" s="84">
        <v>1052762</v>
      </c>
      <c r="C104" s="69" t="s">
        <v>185</v>
      </c>
      <c r="D104" s="69" t="s">
        <v>424</v>
      </c>
      <c r="E104" s="69" t="s">
        <v>308</v>
      </c>
      <c r="F104" s="70">
        <v>210</v>
      </c>
      <c r="G104" s="70">
        <f t="shared" si="3"/>
        <v>126</v>
      </c>
      <c r="H104" s="70">
        <v>90</v>
      </c>
      <c r="I104" s="70">
        <v>90</v>
      </c>
      <c r="J104" s="70">
        <v>90</v>
      </c>
      <c r="K104" s="70">
        <f t="shared" si="2"/>
        <v>69</v>
      </c>
      <c r="L104" s="72">
        <v>90</v>
      </c>
    </row>
    <row r="105" spans="2:12" x14ac:dyDescent="0.35">
      <c r="B105" s="84">
        <v>1052761</v>
      </c>
      <c r="C105" s="69" t="s">
        <v>199</v>
      </c>
      <c r="D105" s="69" t="s">
        <v>424</v>
      </c>
      <c r="E105" s="69" t="s">
        <v>308</v>
      </c>
      <c r="F105" s="70">
        <v>210</v>
      </c>
      <c r="G105" s="70">
        <f t="shared" si="3"/>
        <v>126</v>
      </c>
      <c r="H105" s="70">
        <v>90</v>
      </c>
      <c r="I105" s="70">
        <v>90</v>
      </c>
      <c r="J105" s="70">
        <v>90</v>
      </c>
      <c r="K105" s="70">
        <f t="shared" si="2"/>
        <v>69</v>
      </c>
      <c r="L105" s="72">
        <v>90</v>
      </c>
    </row>
    <row r="106" spans="2:12" x14ac:dyDescent="0.35">
      <c r="B106" s="84">
        <v>1050644</v>
      </c>
      <c r="C106" s="69" t="s">
        <v>41</v>
      </c>
      <c r="D106" s="69" t="s">
        <v>424</v>
      </c>
      <c r="E106" s="69" t="s">
        <v>308</v>
      </c>
      <c r="F106" s="70">
        <v>210</v>
      </c>
      <c r="G106" s="70">
        <f t="shared" si="3"/>
        <v>126</v>
      </c>
      <c r="H106" s="70">
        <v>90</v>
      </c>
      <c r="I106" s="70">
        <v>90</v>
      </c>
      <c r="J106" s="70">
        <v>90</v>
      </c>
      <c r="K106" s="70">
        <f t="shared" si="2"/>
        <v>69</v>
      </c>
      <c r="L106" s="72">
        <v>90</v>
      </c>
    </row>
    <row r="107" spans="2:12" x14ac:dyDescent="0.35">
      <c r="B107" s="84">
        <v>1029107</v>
      </c>
      <c r="C107" s="69" t="s">
        <v>34</v>
      </c>
      <c r="D107" s="69" t="s">
        <v>424</v>
      </c>
      <c r="E107" s="69" t="s">
        <v>308</v>
      </c>
      <c r="F107" s="70">
        <v>210</v>
      </c>
      <c r="G107" s="70">
        <f t="shared" si="3"/>
        <v>126</v>
      </c>
      <c r="H107" s="70">
        <v>90</v>
      </c>
      <c r="I107" s="70">
        <v>90</v>
      </c>
      <c r="J107" s="70">
        <v>90</v>
      </c>
      <c r="K107" s="70">
        <f t="shared" si="2"/>
        <v>69</v>
      </c>
      <c r="L107" s="72">
        <v>90</v>
      </c>
    </row>
    <row r="108" spans="2:12" x14ac:dyDescent="0.35">
      <c r="B108" s="84">
        <v>1009960</v>
      </c>
      <c r="C108" s="69" t="s">
        <v>69</v>
      </c>
      <c r="D108" s="69" t="s">
        <v>424</v>
      </c>
      <c r="E108" s="69" t="s">
        <v>308</v>
      </c>
      <c r="F108" s="70">
        <v>180</v>
      </c>
      <c r="G108" s="70">
        <f t="shared" si="3"/>
        <v>108</v>
      </c>
      <c r="H108" s="70">
        <v>90</v>
      </c>
      <c r="I108" s="70">
        <v>90</v>
      </c>
      <c r="J108" s="70">
        <v>90</v>
      </c>
      <c r="K108" s="70">
        <f t="shared" si="2"/>
        <v>59</v>
      </c>
      <c r="L108" s="72">
        <v>90</v>
      </c>
    </row>
    <row r="109" spans="2:12" x14ac:dyDescent="0.35">
      <c r="B109" s="84">
        <v>1009961</v>
      </c>
      <c r="C109" s="69" t="s">
        <v>90</v>
      </c>
      <c r="D109" s="69" t="s">
        <v>424</v>
      </c>
      <c r="E109" s="69" t="s">
        <v>308</v>
      </c>
      <c r="F109" s="70">
        <v>180</v>
      </c>
      <c r="G109" s="70">
        <f t="shared" si="3"/>
        <v>108</v>
      </c>
      <c r="H109" s="70">
        <v>90</v>
      </c>
      <c r="I109" s="70">
        <v>90</v>
      </c>
      <c r="J109" s="70">
        <v>90</v>
      </c>
      <c r="K109" s="70">
        <f t="shared" si="2"/>
        <v>59</v>
      </c>
      <c r="L109" s="72">
        <v>90</v>
      </c>
    </row>
    <row r="110" spans="2:12" x14ac:dyDescent="0.35">
      <c r="B110" s="84">
        <v>1041905</v>
      </c>
      <c r="C110" s="69" t="s">
        <v>59</v>
      </c>
      <c r="D110" s="69" t="s">
        <v>423</v>
      </c>
      <c r="E110" s="69" t="s">
        <v>308</v>
      </c>
      <c r="F110" s="70">
        <v>302</v>
      </c>
      <c r="G110" s="70">
        <f t="shared" si="3"/>
        <v>120</v>
      </c>
      <c r="H110" s="70">
        <v>90</v>
      </c>
      <c r="I110" s="70">
        <v>90</v>
      </c>
      <c r="J110" s="70">
        <v>90</v>
      </c>
      <c r="K110" s="70">
        <f t="shared" si="2"/>
        <v>99</v>
      </c>
      <c r="L110" s="72">
        <v>90</v>
      </c>
    </row>
    <row r="111" spans="2:12" x14ac:dyDescent="0.35">
      <c r="B111" s="84">
        <v>1038130</v>
      </c>
      <c r="C111" s="69" t="s">
        <v>115</v>
      </c>
      <c r="D111" s="69" t="s">
        <v>423</v>
      </c>
      <c r="E111" s="69" t="s">
        <v>308</v>
      </c>
      <c r="F111" s="70">
        <v>304</v>
      </c>
      <c r="G111" s="70">
        <f t="shared" si="3"/>
        <v>120</v>
      </c>
      <c r="H111" s="70">
        <v>90</v>
      </c>
      <c r="I111" s="70">
        <v>90</v>
      </c>
      <c r="J111" s="70">
        <v>90</v>
      </c>
      <c r="K111" s="70">
        <f t="shared" si="2"/>
        <v>100</v>
      </c>
      <c r="L111" s="72">
        <v>90</v>
      </c>
    </row>
    <row r="112" spans="2:12" x14ac:dyDescent="0.35">
      <c r="B112" s="84">
        <v>1043642</v>
      </c>
      <c r="C112" s="69" t="s">
        <v>6</v>
      </c>
      <c r="D112" s="69" t="s">
        <v>423</v>
      </c>
      <c r="E112" s="69" t="s">
        <v>308</v>
      </c>
      <c r="F112" s="70">
        <v>274</v>
      </c>
      <c r="G112" s="70">
        <f t="shared" si="3"/>
        <v>120</v>
      </c>
      <c r="H112" s="70">
        <v>90</v>
      </c>
      <c r="I112" s="70">
        <v>90</v>
      </c>
      <c r="J112" s="70">
        <v>90</v>
      </c>
      <c r="K112" s="70">
        <f t="shared" si="2"/>
        <v>90</v>
      </c>
      <c r="L112" s="72">
        <v>90</v>
      </c>
    </row>
    <row r="113" spans="2:12" x14ac:dyDescent="0.35">
      <c r="B113" s="84">
        <v>1038131</v>
      </c>
      <c r="C113" s="69" t="s">
        <v>75</v>
      </c>
      <c r="D113" s="69" t="s">
        <v>423</v>
      </c>
      <c r="E113" s="69" t="s">
        <v>308</v>
      </c>
      <c r="F113" s="70">
        <v>274</v>
      </c>
      <c r="G113" s="70">
        <f t="shared" si="3"/>
        <v>120</v>
      </c>
      <c r="H113" s="70">
        <v>90</v>
      </c>
      <c r="I113" s="70">
        <v>90</v>
      </c>
      <c r="J113" s="70">
        <v>90</v>
      </c>
      <c r="K113" s="70">
        <f t="shared" si="2"/>
        <v>90</v>
      </c>
      <c r="L113" s="72">
        <v>90</v>
      </c>
    </row>
    <row r="114" spans="2:12" x14ac:dyDescent="0.35">
      <c r="B114" s="84">
        <v>1038132</v>
      </c>
      <c r="C114" s="69" t="s">
        <v>112</v>
      </c>
      <c r="D114" s="69" t="s">
        <v>423</v>
      </c>
      <c r="E114" s="69" t="s">
        <v>308</v>
      </c>
      <c r="F114" s="70">
        <v>365</v>
      </c>
      <c r="G114" s="70">
        <f t="shared" si="3"/>
        <v>120</v>
      </c>
      <c r="H114" s="70">
        <v>90</v>
      </c>
      <c r="I114" s="70">
        <v>90</v>
      </c>
      <c r="J114" s="70">
        <v>90</v>
      </c>
      <c r="K114" s="70">
        <f t="shared" si="2"/>
        <v>120</v>
      </c>
      <c r="L114" s="72">
        <v>90</v>
      </c>
    </row>
    <row r="115" spans="2:12" x14ac:dyDescent="0.35">
      <c r="B115" s="84">
        <v>1046506</v>
      </c>
      <c r="C115" s="69" t="s">
        <v>130</v>
      </c>
      <c r="D115" s="69" t="s">
        <v>423</v>
      </c>
      <c r="E115" s="69" t="s">
        <v>308</v>
      </c>
      <c r="F115" s="70">
        <v>360</v>
      </c>
      <c r="G115" s="70">
        <f t="shared" si="3"/>
        <v>120</v>
      </c>
      <c r="H115" s="70">
        <v>90</v>
      </c>
      <c r="I115" s="70">
        <v>90</v>
      </c>
      <c r="J115" s="70">
        <v>90</v>
      </c>
      <c r="K115" s="70">
        <f t="shared" si="2"/>
        <v>119</v>
      </c>
      <c r="L115" s="72">
        <v>90</v>
      </c>
    </row>
    <row r="116" spans="2:12" x14ac:dyDescent="0.35">
      <c r="B116" s="84">
        <v>1042076</v>
      </c>
      <c r="C116" s="69" t="s">
        <v>100</v>
      </c>
      <c r="D116" s="69" t="s">
        <v>423</v>
      </c>
      <c r="E116" s="69" t="s">
        <v>310</v>
      </c>
      <c r="F116" s="70">
        <v>365</v>
      </c>
      <c r="G116" s="70">
        <f t="shared" si="3"/>
        <v>120</v>
      </c>
      <c r="H116" s="70">
        <v>120</v>
      </c>
      <c r="I116" s="70">
        <v>90</v>
      </c>
      <c r="J116" s="70">
        <v>90</v>
      </c>
      <c r="K116" s="70">
        <f t="shared" si="2"/>
        <v>120</v>
      </c>
      <c r="L116" s="72">
        <v>90</v>
      </c>
    </row>
    <row r="117" spans="2:12" x14ac:dyDescent="0.35">
      <c r="B117" s="84">
        <v>1057891</v>
      </c>
      <c r="C117" s="69" t="s">
        <v>250</v>
      </c>
      <c r="D117" s="69" t="s">
        <v>423</v>
      </c>
      <c r="E117" s="69" t="s">
        <v>310</v>
      </c>
      <c r="F117" s="70">
        <v>365</v>
      </c>
      <c r="G117" s="70">
        <f t="shared" si="3"/>
        <v>120</v>
      </c>
      <c r="H117" s="70">
        <v>120</v>
      </c>
      <c r="I117" s="70">
        <v>90</v>
      </c>
      <c r="J117" s="70">
        <v>90</v>
      </c>
      <c r="K117" s="70">
        <f t="shared" si="2"/>
        <v>120</v>
      </c>
      <c r="L117" s="72">
        <v>90</v>
      </c>
    </row>
    <row r="118" spans="2:12" x14ac:dyDescent="0.35">
      <c r="B118" s="84">
        <v>1042080</v>
      </c>
      <c r="C118" s="69" t="s">
        <v>52</v>
      </c>
      <c r="D118" s="69" t="s">
        <v>423</v>
      </c>
      <c r="E118" s="69" t="s">
        <v>310</v>
      </c>
      <c r="F118" s="70">
        <v>365</v>
      </c>
      <c r="G118" s="70">
        <f t="shared" si="3"/>
        <v>120</v>
      </c>
      <c r="H118" s="70">
        <v>120</v>
      </c>
      <c r="I118" s="70">
        <v>90</v>
      </c>
      <c r="J118" s="70">
        <v>90</v>
      </c>
      <c r="K118" s="70">
        <f t="shared" si="2"/>
        <v>120</v>
      </c>
      <c r="L118" s="72">
        <v>90</v>
      </c>
    </row>
    <row r="119" spans="2:12" x14ac:dyDescent="0.35">
      <c r="B119" s="84">
        <v>1042081</v>
      </c>
      <c r="C119" s="69" t="s">
        <v>81</v>
      </c>
      <c r="D119" s="69" t="s">
        <v>423</v>
      </c>
      <c r="E119" s="69" t="s">
        <v>310</v>
      </c>
      <c r="F119" s="70">
        <v>365</v>
      </c>
      <c r="G119" s="70">
        <f t="shared" si="3"/>
        <v>120</v>
      </c>
      <c r="H119" s="70">
        <v>120</v>
      </c>
      <c r="I119" s="70">
        <v>90</v>
      </c>
      <c r="J119" s="70">
        <v>90</v>
      </c>
      <c r="K119" s="70">
        <f t="shared" si="2"/>
        <v>120</v>
      </c>
      <c r="L119" s="72">
        <v>90</v>
      </c>
    </row>
    <row r="120" spans="2:12" x14ac:dyDescent="0.35">
      <c r="B120" s="84">
        <v>1042079</v>
      </c>
      <c r="C120" s="69" t="s">
        <v>79</v>
      </c>
      <c r="D120" s="69" t="s">
        <v>423</v>
      </c>
      <c r="E120" s="69" t="s">
        <v>310</v>
      </c>
      <c r="F120" s="70">
        <v>365</v>
      </c>
      <c r="G120" s="70">
        <f t="shared" si="3"/>
        <v>120</v>
      </c>
      <c r="H120" s="70">
        <v>120</v>
      </c>
      <c r="I120" s="70">
        <v>90</v>
      </c>
      <c r="J120" s="70">
        <v>90</v>
      </c>
      <c r="K120" s="70">
        <f t="shared" si="2"/>
        <v>120</v>
      </c>
      <c r="L120" s="72">
        <v>90</v>
      </c>
    </row>
    <row r="121" spans="2:12" x14ac:dyDescent="0.35">
      <c r="B121" s="84">
        <v>1051339</v>
      </c>
      <c r="C121" s="69" t="s">
        <v>215</v>
      </c>
      <c r="D121" s="69" t="s">
        <v>423</v>
      </c>
      <c r="E121" s="69" t="s">
        <v>310</v>
      </c>
      <c r="F121" s="70">
        <v>365</v>
      </c>
      <c r="G121" s="70">
        <f t="shared" si="3"/>
        <v>120</v>
      </c>
      <c r="H121" s="70">
        <v>120</v>
      </c>
      <c r="I121" s="70">
        <v>90</v>
      </c>
      <c r="J121" s="70">
        <v>90</v>
      </c>
      <c r="K121" s="70">
        <f t="shared" si="2"/>
        <v>120</v>
      </c>
      <c r="L121" s="72">
        <v>90</v>
      </c>
    </row>
    <row r="122" spans="2:12" x14ac:dyDescent="0.35">
      <c r="B122" s="84">
        <v>1034575</v>
      </c>
      <c r="C122" s="69" t="s">
        <v>99</v>
      </c>
      <c r="D122" s="69" t="s">
        <v>423</v>
      </c>
      <c r="E122" s="69" t="s">
        <v>310</v>
      </c>
      <c r="F122" s="70">
        <v>364</v>
      </c>
      <c r="G122" s="70">
        <f t="shared" si="3"/>
        <v>120</v>
      </c>
      <c r="H122" s="70">
        <v>120</v>
      </c>
      <c r="I122" s="70">
        <v>90</v>
      </c>
      <c r="J122" s="70">
        <v>90</v>
      </c>
      <c r="K122" s="70">
        <f t="shared" si="2"/>
        <v>120</v>
      </c>
      <c r="L122" s="72">
        <v>90</v>
      </c>
    </row>
    <row r="123" spans="2:12" x14ac:dyDescent="0.35">
      <c r="B123" s="84">
        <v>1051338</v>
      </c>
      <c r="C123" s="69" t="s">
        <v>218</v>
      </c>
      <c r="D123" s="69" t="s">
        <v>423</v>
      </c>
      <c r="E123" s="69" t="s">
        <v>310</v>
      </c>
      <c r="F123" s="70">
        <v>365</v>
      </c>
      <c r="G123" s="70">
        <f t="shared" si="3"/>
        <v>120</v>
      </c>
      <c r="H123" s="70">
        <v>120</v>
      </c>
      <c r="I123" s="70">
        <v>90</v>
      </c>
      <c r="J123" s="70">
        <v>90</v>
      </c>
      <c r="K123" s="70">
        <f t="shared" si="2"/>
        <v>120</v>
      </c>
      <c r="L123" s="72">
        <v>90</v>
      </c>
    </row>
    <row r="124" spans="2:12" x14ac:dyDescent="0.35">
      <c r="B124" s="84">
        <v>1042466</v>
      </c>
      <c r="C124" s="69" t="s">
        <v>114</v>
      </c>
      <c r="D124" s="69" t="s">
        <v>423</v>
      </c>
      <c r="E124" s="69" t="s">
        <v>310</v>
      </c>
      <c r="F124" s="70">
        <v>365</v>
      </c>
      <c r="G124" s="70">
        <f t="shared" si="3"/>
        <v>120</v>
      </c>
      <c r="H124" s="70">
        <v>120</v>
      </c>
      <c r="I124" s="70">
        <v>90</v>
      </c>
      <c r="J124" s="70">
        <v>90</v>
      </c>
      <c r="K124" s="70">
        <f t="shared" si="2"/>
        <v>120</v>
      </c>
      <c r="L124" s="72">
        <v>90</v>
      </c>
    </row>
    <row r="125" spans="2:12" x14ac:dyDescent="0.35">
      <c r="B125" s="84">
        <v>1042467</v>
      </c>
      <c r="C125" s="69" t="s">
        <v>92</v>
      </c>
      <c r="D125" s="69" t="s">
        <v>423</v>
      </c>
      <c r="E125" s="69" t="s">
        <v>310</v>
      </c>
      <c r="F125" s="70">
        <v>365</v>
      </c>
      <c r="G125" s="70">
        <f t="shared" si="3"/>
        <v>120</v>
      </c>
      <c r="H125" s="70">
        <v>120</v>
      </c>
      <c r="I125" s="70">
        <v>90</v>
      </c>
      <c r="J125" s="70">
        <v>90</v>
      </c>
      <c r="K125" s="70">
        <f t="shared" si="2"/>
        <v>120</v>
      </c>
      <c r="L125" s="72">
        <v>90</v>
      </c>
    </row>
    <row r="126" spans="2:12" x14ac:dyDescent="0.35">
      <c r="B126" s="84">
        <v>1032787</v>
      </c>
      <c r="C126" s="69" t="s">
        <v>53</v>
      </c>
      <c r="D126" s="69" t="s">
        <v>423</v>
      </c>
      <c r="E126" s="69" t="s">
        <v>310</v>
      </c>
      <c r="F126" s="70">
        <v>364</v>
      </c>
      <c r="G126" s="70">
        <f t="shared" si="3"/>
        <v>120</v>
      </c>
      <c r="H126" s="70">
        <v>120</v>
      </c>
      <c r="I126" s="70">
        <v>90</v>
      </c>
      <c r="J126" s="70">
        <v>90</v>
      </c>
      <c r="K126" s="70">
        <f t="shared" si="2"/>
        <v>120</v>
      </c>
      <c r="L126" s="72">
        <v>90</v>
      </c>
    </row>
    <row r="127" spans="2:12" x14ac:dyDescent="0.35">
      <c r="B127" s="84">
        <v>1037104</v>
      </c>
      <c r="C127" s="69" t="s">
        <v>55</v>
      </c>
      <c r="D127" s="69" t="s">
        <v>423</v>
      </c>
      <c r="E127" s="69" t="s">
        <v>310</v>
      </c>
      <c r="F127" s="70">
        <v>365</v>
      </c>
      <c r="G127" s="70">
        <f t="shared" si="3"/>
        <v>120</v>
      </c>
      <c r="H127" s="70">
        <v>120</v>
      </c>
      <c r="I127" s="70">
        <v>90</v>
      </c>
      <c r="J127" s="70">
        <v>90</v>
      </c>
      <c r="K127" s="70">
        <f t="shared" si="2"/>
        <v>120</v>
      </c>
      <c r="L127" s="72">
        <v>90</v>
      </c>
    </row>
    <row r="128" spans="2:12" x14ac:dyDescent="0.35">
      <c r="B128" s="84">
        <v>1041921</v>
      </c>
      <c r="C128" s="69" t="s">
        <v>110</v>
      </c>
      <c r="D128" s="69" t="s">
        <v>423</v>
      </c>
      <c r="E128" s="69" t="s">
        <v>310</v>
      </c>
      <c r="F128" s="70">
        <v>365</v>
      </c>
      <c r="G128" s="70">
        <f t="shared" si="3"/>
        <v>120</v>
      </c>
      <c r="H128" s="70">
        <v>120</v>
      </c>
      <c r="I128" s="70">
        <v>90</v>
      </c>
      <c r="J128" s="70">
        <v>90</v>
      </c>
      <c r="K128" s="70">
        <f t="shared" si="2"/>
        <v>120</v>
      </c>
      <c r="L128" s="72">
        <v>90</v>
      </c>
    </row>
    <row r="129" spans="2:12" x14ac:dyDescent="0.35">
      <c r="B129" s="84">
        <v>1043944</v>
      </c>
      <c r="C129" s="69" t="s">
        <v>107</v>
      </c>
      <c r="D129" s="69" t="s">
        <v>424</v>
      </c>
      <c r="E129" s="69" t="s">
        <v>308</v>
      </c>
      <c r="F129" s="70">
        <v>360</v>
      </c>
      <c r="G129" s="70">
        <f t="shared" si="3"/>
        <v>120</v>
      </c>
      <c r="H129" s="70">
        <v>90</v>
      </c>
      <c r="I129" s="70">
        <v>90</v>
      </c>
      <c r="J129" s="70">
        <v>90</v>
      </c>
      <c r="K129" s="70">
        <f t="shared" si="2"/>
        <v>119</v>
      </c>
      <c r="L129" s="72">
        <v>90</v>
      </c>
    </row>
    <row r="130" spans="2:12" x14ac:dyDescent="0.35">
      <c r="B130" s="84">
        <v>1043942</v>
      </c>
      <c r="C130" s="69" t="s">
        <v>101</v>
      </c>
      <c r="D130" s="69" t="s">
        <v>424</v>
      </c>
      <c r="E130" s="69" t="s">
        <v>308</v>
      </c>
      <c r="F130" s="70">
        <v>360</v>
      </c>
      <c r="G130" s="70">
        <f t="shared" si="3"/>
        <v>120</v>
      </c>
      <c r="H130" s="70">
        <v>90</v>
      </c>
      <c r="I130" s="70">
        <v>90</v>
      </c>
      <c r="J130" s="70">
        <v>90</v>
      </c>
      <c r="K130" s="70">
        <f t="shared" si="2"/>
        <v>119</v>
      </c>
      <c r="L130" s="72">
        <v>90</v>
      </c>
    </row>
    <row r="131" spans="2:12" x14ac:dyDescent="0.35">
      <c r="B131" s="84">
        <v>1043953</v>
      </c>
      <c r="C131" s="69" t="s">
        <v>19</v>
      </c>
      <c r="D131" s="69" t="s">
        <v>424</v>
      </c>
      <c r="E131" s="69" t="s">
        <v>308</v>
      </c>
      <c r="F131" s="70">
        <v>360</v>
      </c>
      <c r="G131" s="70">
        <f t="shared" si="3"/>
        <v>120</v>
      </c>
      <c r="H131" s="70">
        <v>90</v>
      </c>
      <c r="I131" s="70">
        <v>90</v>
      </c>
      <c r="J131" s="70">
        <v>90</v>
      </c>
      <c r="K131" s="70">
        <f t="shared" ref="K131:K194" si="4">ROUNDDOWN(F131/3,0)-1</f>
        <v>119</v>
      </c>
      <c r="L131" s="72">
        <v>90</v>
      </c>
    </row>
    <row r="132" spans="2:12" x14ac:dyDescent="0.35">
      <c r="B132" s="84">
        <v>1050147</v>
      </c>
      <c r="C132" s="69" t="s">
        <v>163</v>
      </c>
      <c r="D132" s="69" t="s">
        <v>423</v>
      </c>
      <c r="E132" s="69" t="s">
        <v>310</v>
      </c>
      <c r="F132" s="70">
        <v>720</v>
      </c>
      <c r="G132" s="70">
        <f t="shared" ref="G132:G195" si="5">IF(F132&lt;=210,F132*0.6,IF(F132&lt;=365,120,IF(F132&lt;=3600,150)))</f>
        <v>150</v>
      </c>
      <c r="H132" s="70">
        <v>120</v>
      </c>
      <c r="I132" s="70">
        <v>90</v>
      </c>
      <c r="J132" s="70">
        <v>90</v>
      </c>
      <c r="K132" s="70">
        <f t="shared" si="4"/>
        <v>239</v>
      </c>
      <c r="L132" s="72">
        <v>90</v>
      </c>
    </row>
    <row r="133" spans="2:12" x14ac:dyDescent="0.35">
      <c r="B133" s="84">
        <v>1050149</v>
      </c>
      <c r="C133" s="69" t="s">
        <v>164</v>
      </c>
      <c r="D133" s="69" t="s">
        <v>423</v>
      </c>
      <c r="E133" s="69" t="s">
        <v>310</v>
      </c>
      <c r="F133" s="70">
        <v>720</v>
      </c>
      <c r="G133" s="70">
        <f t="shared" si="5"/>
        <v>150</v>
      </c>
      <c r="H133" s="70">
        <v>120</v>
      </c>
      <c r="I133" s="70">
        <v>90</v>
      </c>
      <c r="J133" s="70">
        <v>90</v>
      </c>
      <c r="K133" s="70">
        <f t="shared" si="4"/>
        <v>239</v>
      </c>
      <c r="L133" s="72">
        <v>90</v>
      </c>
    </row>
    <row r="134" spans="2:12" x14ac:dyDescent="0.35">
      <c r="B134" s="84">
        <v>1049993</v>
      </c>
      <c r="C134" s="69" t="s">
        <v>181</v>
      </c>
      <c r="D134" s="69" t="s">
        <v>423</v>
      </c>
      <c r="E134" s="69" t="s">
        <v>310</v>
      </c>
      <c r="F134" s="70">
        <v>720</v>
      </c>
      <c r="G134" s="70">
        <f t="shared" si="5"/>
        <v>150</v>
      </c>
      <c r="H134" s="70">
        <v>120</v>
      </c>
      <c r="I134" s="70">
        <v>90</v>
      </c>
      <c r="J134" s="70">
        <v>90</v>
      </c>
      <c r="K134" s="70">
        <f t="shared" si="4"/>
        <v>239</v>
      </c>
      <c r="L134" s="72">
        <v>90</v>
      </c>
    </row>
    <row r="135" spans="2:12" x14ac:dyDescent="0.35">
      <c r="B135" s="84">
        <v>1049995</v>
      </c>
      <c r="C135" s="69" t="s">
        <v>182</v>
      </c>
      <c r="D135" s="69" t="s">
        <v>423</v>
      </c>
      <c r="E135" s="69" t="s">
        <v>310</v>
      </c>
      <c r="F135" s="70">
        <v>720</v>
      </c>
      <c r="G135" s="70">
        <f t="shared" si="5"/>
        <v>150</v>
      </c>
      <c r="H135" s="70">
        <v>120</v>
      </c>
      <c r="I135" s="70">
        <v>90</v>
      </c>
      <c r="J135" s="70">
        <v>90</v>
      </c>
      <c r="K135" s="70">
        <f t="shared" si="4"/>
        <v>239</v>
      </c>
      <c r="L135" s="72">
        <v>90</v>
      </c>
    </row>
    <row r="136" spans="2:12" x14ac:dyDescent="0.35">
      <c r="B136" s="84">
        <v>1042368</v>
      </c>
      <c r="C136" s="69" t="s">
        <v>134</v>
      </c>
      <c r="D136" s="69" t="s">
        <v>424</v>
      </c>
      <c r="E136" s="69" t="s">
        <v>394</v>
      </c>
      <c r="F136" s="70">
        <v>360</v>
      </c>
      <c r="G136" s="70">
        <f t="shared" si="5"/>
        <v>120</v>
      </c>
      <c r="H136" s="70">
        <v>180</v>
      </c>
      <c r="I136" s="70">
        <v>90</v>
      </c>
      <c r="J136" s="70">
        <v>90</v>
      </c>
      <c r="K136" s="70">
        <f t="shared" si="4"/>
        <v>119</v>
      </c>
      <c r="L136" s="72">
        <v>90</v>
      </c>
    </row>
    <row r="137" spans="2:12" x14ac:dyDescent="0.35">
      <c r="B137" s="84">
        <v>1040797</v>
      </c>
      <c r="C137" s="69" t="s">
        <v>84</v>
      </c>
      <c r="D137" s="69" t="s">
        <v>424</v>
      </c>
      <c r="E137" s="69" t="s">
        <v>394</v>
      </c>
      <c r="F137" s="70">
        <v>300</v>
      </c>
      <c r="G137" s="70">
        <f t="shared" si="5"/>
        <v>120</v>
      </c>
      <c r="H137" s="70">
        <v>180</v>
      </c>
      <c r="I137" s="70">
        <v>90</v>
      </c>
      <c r="J137" s="70">
        <v>90</v>
      </c>
      <c r="K137" s="70">
        <f t="shared" si="4"/>
        <v>99</v>
      </c>
      <c r="L137" s="72">
        <v>90</v>
      </c>
    </row>
    <row r="138" spans="2:12" x14ac:dyDescent="0.35">
      <c r="B138" s="84">
        <v>1040796</v>
      </c>
      <c r="C138" s="69" t="s">
        <v>85</v>
      </c>
      <c r="D138" s="69" t="s">
        <v>424</v>
      </c>
      <c r="E138" s="69" t="s">
        <v>394</v>
      </c>
      <c r="F138" s="70">
        <v>360</v>
      </c>
      <c r="G138" s="70">
        <f t="shared" si="5"/>
        <v>120</v>
      </c>
      <c r="H138" s="70">
        <v>180</v>
      </c>
      <c r="I138" s="70">
        <v>90</v>
      </c>
      <c r="J138" s="70">
        <v>90</v>
      </c>
      <c r="K138" s="70">
        <f t="shared" si="4"/>
        <v>119</v>
      </c>
      <c r="L138" s="72">
        <v>90</v>
      </c>
    </row>
    <row r="139" spans="2:12" x14ac:dyDescent="0.35">
      <c r="B139" s="84">
        <v>1044033</v>
      </c>
      <c r="C139" s="69" t="s">
        <v>48</v>
      </c>
      <c r="D139" s="69" t="s">
        <v>423</v>
      </c>
      <c r="E139" s="69" t="s">
        <v>394</v>
      </c>
      <c r="F139" s="70">
        <v>365</v>
      </c>
      <c r="G139" s="70">
        <f t="shared" si="5"/>
        <v>120</v>
      </c>
      <c r="H139" s="70">
        <v>120</v>
      </c>
      <c r="I139" s="70">
        <v>90</v>
      </c>
      <c r="J139" s="70">
        <v>90</v>
      </c>
      <c r="K139" s="70">
        <f t="shared" si="4"/>
        <v>120</v>
      </c>
      <c r="L139" s="72">
        <v>90</v>
      </c>
    </row>
    <row r="140" spans="2:12" x14ac:dyDescent="0.35">
      <c r="B140" s="84">
        <v>1044034</v>
      </c>
      <c r="C140" s="69" t="s">
        <v>137</v>
      </c>
      <c r="D140" s="69" t="s">
        <v>423</v>
      </c>
      <c r="E140" s="69" t="s">
        <v>394</v>
      </c>
      <c r="F140" s="70">
        <v>274</v>
      </c>
      <c r="G140" s="70">
        <f t="shared" si="5"/>
        <v>120</v>
      </c>
      <c r="H140" s="70">
        <v>120</v>
      </c>
      <c r="I140" s="70">
        <v>90</v>
      </c>
      <c r="J140" s="70">
        <v>90</v>
      </c>
      <c r="K140" s="70">
        <f t="shared" si="4"/>
        <v>90</v>
      </c>
      <c r="L140" s="72">
        <v>90</v>
      </c>
    </row>
    <row r="141" spans="2:12" x14ac:dyDescent="0.35">
      <c r="B141" s="84">
        <v>1043304</v>
      </c>
      <c r="C141" s="69" t="s">
        <v>123</v>
      </c>
      <c r="D141" s="69" t="s">
        <v>423</v>
      </c>
      <c r="E141" s="69" t="s">
        <v>394</v>
      </c>
      <c r="F141" s="70">
        <v>365</v>
      </c>
      <c r="G141" s="70">
        <f t="shared" si="5"/>
        <v>120</v>
      </c>
      <c r="H141" s="70">
        <v>120</v>
      </c>
      <c r="I141" s="70">
        <v>90</v>
      </c>
      <c r="J141" s="70">
        <v>90</v>
      </c>
      <c r="K141" s="70">
        <f t="shared" si="4"/>
        <v>120</v>
      </c>
      <c r="L141" s="72">
        <v>90</v>
      </c>
    </row>
    <row r="142" spans="2:12" x14ac:dyDescent="0.35">
      <c r="B142" s="84">
        <v>1043306</v>
      </c>
      <c r="C142" s="69" t="s">
        <v>10</v>
      </c>
      <c r="D142" s="69" t="s">
        <v>423</v>
      </c>
      <c r="E142" s="69" t="s">
        <v>394</v>
      </c>
      <c r="F142" s="70">
        <v>365</v>
      </c>
      <c r="G142" s="70">
        <f t="shared" si="5"/>
        <v>120</v>
      </c>
      <c r="H142" s="70">
        <v>120</v>
      </c>
      <c r="I142" s="70">
        <v>90</v>
      </c>
      <c r="J142" s="70">
        <v>90</v>
      </c>
      <c r="K142" s="70">
        <f t="shared" si="4"/>
        <v>120</v>
      </c>
      <c r="L142" s="72">
        <v>90</v>
      </c>
    </row>
    <row r="143" spans="2:12" x14ac:dyDescent="0.35">
      <c r="B143" s="84">
        <v>1043305</v>
      </c>
      <c r="C143" s="69" t="s">
        <v>128</v>
      </c>
      <c r="D143" s="69" t="s">
        <v>423</v>
      </c>
      <c r="E143" s="69" t="s">
        <v>394</v>
      </c>
      <c r="F143" s="70">
        <v>731</v>
      </c>
      <c r="G143" s="70">
        <f t="shared" si="5"/>
        <v>150</v>
      </c>
      <c r="H143" s="70">
        <v>120</v>
      </c>
      <c r="I143" s="70">
        <v>90</v>
      </c>
      <c r="J143" s="70">
        <v>90</v>
      </c>
      <c r="K143" s="70">
        <f t="shared" si="4"/>
        <v>242</v>
      </c>
      <c r="L143" s="72">
        <v>90</v>
      </c>
    </row>
    <row r="144" spans="2:12" x14ac:dyDescent="0.35">
      <c r="B144" s="84">
        <v>1042714</v>
      </c>
      <c r="C144" s="69" t="s">
        <v>68</v>
      </c>
      <c r="D144" s="69" t="s">
        <v>423</v>
      </c>
      <c r="E144" s="69" t="s">
        <v>394</v>
      </c>
      <c r="F144" s="70">
        <v>365</v>
      </c>
      <c r="G144" s="70">
        <f t="shared" si="5"/>
        <v>120</v>
      </c>
      <c r="H144" s="70">
        <v>120</v>
      </c>
      <c r="I144" s="70">
        <v>90</v>
      </c>
      <c r="J144" s="70">
        <v>90</v>
      </c>
      <c r="K144" s="70">
        <f t="shared" si="4"/>
        <v>120</v>
      </c>
      <c r="L144" s="72">
        <v>90</v>
      </c>
    </row>
    <row r="145" spans="2:12" x14ac:dyDescent="0.35">
      <c r="B145" s="84">
        <v>1020395</v>
      </c>
      <c r="C145" s="69" t="s">
        <v>42</v>
      </c>
      <c r="D145" s="69" t="s">
        <v>424</v>
      </c>
      <c r="E145" s="69" t="s">
        <v>394</v>
      </c>
      <c r="F145" s="70">
        <v>540</v>
      </c>
      <c r="G145" s="70">
        <f t="shared" si="5"/>
        <v>150</v>
      </c>
      <c r="H145" s="70">
        <v>180</v>
      </c>
      <c r="I145" s="70">
        <v>90</v>
      </c>
      <c r="J145" s="70">
        <v>90</v>
      </c>
      <c r="K145" s="70">
        <f t="shared" si="4"/>
        <v>179</v>
      </c>
      <c r="L145" s="72">
        <v>90</v>
      </c>
    </row>
    <row r="146" spans="2:12" x14ac:dyDescent="0.35">
      <c r="B146" s="84">
        <v>1051098</v>
      </c>
      <c r="C146" s="69" t="s">
        <v>167</v>
      </c>
      <c r="D146" s="69" t="s">
        <v>424</v>
      </c>
      <c r="E146" s="69" t="s">
        <v>394</v>
      </c>
      <c r="F146" s="70">
        <v>540</v>
      </c>
      <c r="G146" s="70">
        <f t="shared" si="5"/>
        <v>150</v>
      </c>
      <c r="H146" s="70">
        <v>180</v>
      </c>
      <c r="I146" s="70">
        <v>90</v>
      </c>
      <c r="J146" s="70">
        <v>90</v>
      </c>
      <c r="K146" s="70">
        <f t="shared" si="4"/>
        <v>179</v>
      </c>
      <c r="L146" s="72">
        <v>90</v>
      </c>
    </row>
    <row r="147" spans="2:12" x14ac:dyDescent="0.35">
      <c r="B147" s="84">
        <v>1051099</v>
      </c>
      <c r="C147" s="69" t="s">
        <v>168</v>
      </c>
      <c r="D147" s="69" t="s">
        <v>424</v>
      </c>
      <c r="E147" s="69" t="s">
        <v>394</v>
      </c>
      <c r="F147" s="70">
        <v>540</v>
      </c>
      <c r="G147" s="70">
        <f t="shared" si="5"/>
        <v>150</v>
      </c>
      <c r="H147" s="70">
        <v>180</v>
      </c>
      <c r="I147" s="70">
        <v>90</v>
      </c>
      <c r="J147" s="70">
        <v>90</v>
      </c>
      <c r="K147" s="70">
        <f t="shared" si="4"/>
        <v>179</v>
      </c>
      <c r="L147" s="72">
        <v>90</v>
      </c>
    </row>
    <row r="148" spans="2:12" x14ac:dyDescent="0.35">
      <c r="B148" s="84">
        <v>1058296</v>
      </c>
      <c r="C148" s="69" t="s">
        <v>249</v>
      </c>
      <c r="D148" s="69" t="s">
        <v>424</v>
      </c>
      <c r="E148" s="69" t="s">
        <v>394</v>
      </c>
      <c r="F148" s="70">
        <v>360</v>
      </c>
      <c r="G148" s="70">
        <f t="shared" si="5"/>
        <v>120</v>
      </c>
      <c r="H148" s="70">
        <v>180</v>
      </c>
      <c r="I148" s="70">
        <v>90</v>
      </c>
      <c r="J148" s="70">
        <v>90</v>
      </c>
      <c r="K148" s="70">
        <f t="shared" si="4"/>
        <v>119</v>
      </c>
      <c r="L148" s="72">
        <v>90</v>
      </c>
    </row>
    <row r="149" spans="2:12" x14ac:dyDescent="0.35">
      <c r="B149" s="84">
        <v>1036533</v>
      </c>
      <c r="C149" s="69" t="s">
        <v>132</v>
      </c>
      <c r="D149" s="69" t="s">
        <v>424</v>
      </c>
      <c r="E149" s="69" t="s">
        <v>394</v>
      </c>
      <c r="F149" s="70">
        <v>300</v>
      </c>
      <c r="G149" s="70">
        <f t="shared" si="5"/>
        <v>120</v>
      </c>
      <c r="H149" s="70">
        <v>180</v>
      </c>
      <c r="I149" s="70">
        <v>90</v>
      </c>
      <c r="J149" s="70">
        <v>90</v>
      </c>
      <c r="K149" s="70">
        <f t="shared" si="4"/>
        <v>99</v>
      </c>
      <c r="L149" s="72">
        <v>90</v>
      </c>
    </row>
    <row r="150" spans="2:12" x14ac:dyDescent="0.35">
      <c r="B150" s="84">
        <v>1062009</v>
      </c>
      <c r="C150" s="69" t="s">
        <v>344</v>
      </c>
      <c r="D150" s="69" t="s">
        <v>424</v>
      </c>
      <c r="E150" s="69" t="s">
        <v>394</v>
      </c>
      <c r="F150" s="70" t="e">
        <v>#N/A</v>
      </c>
      <c r="G150" s="70" t="e">
        <f t="shared" si="5"/>
        <v>#N/A</v>
      </c>
      <c r="H150" s="70">
        <v>180</v>
      </c>
      <c r="I150" s="70">
        <v>90</v>
      </c>
      <c r="J150" s="70">
        <v>90</v>
      </c>
      <c r="K150" s="70" t="e">
        <f t="shared" si="4"/>
        <v>#N/A</v>
      </c>
      <c r="L150" s="72">
        <v>90</v>
      </c>
    </row>
    <row r="151" spans="2:12" x14ac:dyDescent="0.35">
      <c r="B151" s="84">
        <v>1051097</v>
      </c>
      <c r="C151" s="69" t="s">
        <v>187</v>
      </c>
      <c r="D151" s="69" t="s">
        <v>424</v>
      </c>
      <c r="E151" s="69" t="s">
        <v>394</v>
      </c>
      <c r="F151" s="70">
        <v>540</v>
      </c>
      <c r="G151" s="70">
        <f t="shared" si="5"/>
        <v>150</v>
      </c>
      <c r="H151" s="70">
        <v>180</v>
      </c>
      <c r="I151" s="70">
        <v>90</v>
      </c>
      <c r="J151" s="70">
        <v>90</v>
      </c>
      <c r="K151" s="70">
        <f t="shared" si="4"/>
        <v>179</v>
      </c>
      <c r="L151" s="72">
        <v>90</v>
      </c>
    </row>
    <row r="152" spans="2:12" x14ac:dyDescent="0.35">
      <c r="B152" s="84">
        <v>1036942</v>
      </c>
      <c r="C152" s="69" t="s">
        <v>154</v>
      </c>
      <c r="D152" s="69" t="s">
        <v>423</v>
      </c>
      <c r="E152" s="69" t="s">
        <v>312</v>
      </c>
      <c r="F152" s="70">
        <v>356</v>
      </c>
      <c r="G152" s="70">
        <f t="shared" si="5"/>
        <v>120</v>
      </c>
      <c r="H152" s="70">
        <v>90</v>
      </c>
      <c r="I152" s="70">
        <v>90</v>
      </c>
      <c r="J152" s="70">
        <v>90</v>
      </c>
      <c r="K152" s="70">
        <f t="shared" si="4"/>
        <v>117</v>
      </c>
      <c r="L152" s="72">
        <v>90</v>
      </c>
    </row>
    <row r="153" spans="2:12" x14ac:dyDescent="0.35">
      <c r="B153" s="84">
        <v>1036948</v>
      </c>
      <c r="C153" s="69" t="s">
        <v>157</v>
      </c>
      <c r="D153" s="69" t="s">
        <v>423</v>
      </c>
      <c r="E153" s="69" t="s">
        <v>312</v>
      </c>
      <c r="F153" s="70">
        <v>332</v>
      </c>
      <c r="G153" s="70">
        <f t="shared" si="5"/>
        <v>120</v>
      </c>
      <c r="H153" s="70">
        <v>90</v>
      </c>
      <c r="I153" s="70">
        <v>90</v>
      </c>
      <c r="J153" s="70">
        <v>90</v>
      </c>
      <c r="K153" s="70">
        <f t="shared" si="4"/>
        <v>109</v>
      </c>
      <c r="L153" s="72">
        <v>90</v>
      </c>
    </row>
    <row r="154" spans="2:12" x14ac:dyDescent="0.35">
      <c r="B154" s="84">
        <v>1043119</v>
      </c>
      <c r="C154" s="69" t="s">
        <v>146</v>
      </c>
      <c r="D154" s="69" t="s">
        <v>423</v>
      </c>
      <c r="E154" s="69" t="s">
        <v>312</v>
      </c>
      <c r="F154" s="70">
        <v>356</v>
      </c>
      <c r="G154" s="70">
        <f t="shared" si="5"/>
        <v>120</v>
      </c>
      <c r="H154" s="70">
        <v>90</v>
      </c>
      <c r="I154" s="70">
        <v>90</v>
      </c>
      <c r="J154" s="70">
        <v>90</v>
      </c>
      <c r="K154" s="70">
        <f t="shared" si="4"/>
        <v>117</v>
      </c>
      <c r="L154" s="72">
        <v>90</v>
      </c>
    </row>
    <row r="155" spans="2:12" x14ac:dyDescent="0.35">
      <c r="B155" s="84">
        <v>1043123</v>
      </c>
      <c r="C155" s="69" t="s">
        <v>149</v>
      </c>
      <c r="D155" s="69" t="s">
        <v>423</v>
      </c>
      <c r="E155" s="69" t="s">
        <v>312</v>
      </c>
      <c r="F155" s="70">
        <v>345</v>
      </c>
      <c r="G155" s="70">
        <f t="shared" si="5"/>
        <v>120</v>
      </c>
      <c r="H155" s="70">
        <v>90</v>
      </c>
      <c r="I155" s="70">
        <v>90</v>
      </c>
      <c r="J155" s="70">
        <v>90</v>
      </c>
      <c r="K155" s="70">
        <f t="shared" si="4"/>
        <v>114</v>
      </c>
      <c r="L155" s="72">
        <v>90</v>
      </c>
    </row>
    <row r="156" spans="2:12" x14ac:dyDescent="0.35">
      <c r="B156" s="84">
        <v>1046962</v>
      </c>
      <c r="C156" s="69" t="s">
        <v>97</v>
      </c>
      <c r="D156" s="69" t="s">
        <v>424</v>
      </c>
      <c r="E156" s="69" t="s">
        <v>308</v>
      </c>
      <c r="F156" s="70">
        <v>300</v>
      </c>
      <c r="G156" s="70">
        <f t="shared" si="5"/>
        <v>120</v>
      </c>
      <c r="H156" s="70">
        <v>90</v>
      </c>
      <c r="I156" s="70">
        <v>90</v>
      </c>
      <c r="J156" s="70">
        <v>90</v>
      </c>
      <c r="K156" s="70">
        <f t="shared" si="4"/>
        <v>99</v>
      </c>
      <c r="L156" s="72">
        <v>90</v>
      </c>
    </row>
    <row r="157" spans="2:12" x14ac:dyDescent="0.35">
      <c r="B157" s="84">
        <v>1058351</v>
      </c>
      <c r="C157" s="69" t="s">
        <v>227</v>
      </c>
      <c r="D157" s="69" t="s">
        <v>424</v>
      </c>
      <c r="E157" s="69" t="s">
        <v>308</v>
      </c>
      <c r="F157" s="70">
        <v>360</v>
      </c>
      <c r="G157" s="70">
        <f t="shared" si="5"/>
        <v>120</v>
      </c>
      <c r="H157" s="70">
        <v>90</v>
      </c>
      <c r="I157" s="70">
        <v>90</v>
      </c>
      <c r="J157" s="70">
        <v>90</v>
      </c>
      <c r="K157" s="70">
        <f t="shared" si="4"/>
        <v>119</v>
      </c>
      <c r="L157" s="72">
        <v>90</v>
      </c>
    </row>
    <row r="158" spans="2:12" x14ac:dyDescent="0.35">
      <c r="B158" s="84">
        <v>1047908</v>
      </c>
      <c r="C158" s="69" t="s">
        <v>58</v>
      </c>
      <c r="D158" s="69" t="s">
        <v>424</v>
      </c>
      <c r="E158" s="69" t="s">
        <v>308</v>
      </c>
      <c r="F158" s="70">
        <v>210</v>
      </c>
      <c r="G158" s="70">
        <f t="shared" si="5"/>
        <v>126</v>
      </c>
      <c r="H158" s="70">
        <v>90</v>
      </c>
      <c r="I158" s="70">
        <v>90</v>
      </c>
      <c r="J158" s="70">
        <v>90</v>
      </c>
      <c r="K158" s="70">
        <f t="shared" si="4"/>
        <v>69</v>
      </c>
      <c r="L158" s="72">
        <v>90</v>
      </c>
    </row>
    <row r="159" spans="2:12" x14ac:dyDescent="0.35">
      <c r="B159" s="84">
        <v>1046963</v>
      </c>
      <c r="C159" s="69" t="s">
        <v>108</v>
      </c>
      <c r="D159" s="69" t="s">
        <v>424</v>
      </c>
      <c r="E159" s="69" t="s">
        <v>312</v>
      </c>
      <c r="F159" s="70">
        <v>360</v>
      </c>
      <c r="G159" s="70">
        <f t="shared" si="5"/>
        <v>120</v>
      </c>
      <c r="H159" s="70">
        <v>90</v>
      </c>
      <c r="I159" s="70">
        <v>90</v>
      </c>
      <c r="J159" s="70">
        <v>90</v>
      </c>
      <c r="K159" s="70">
        <f t="shared" si="4"/>
        <v>119</v>
      </c>
      <c r="L159" s="72">
        <v>90</v>
      </c>
    </row>
    <row r="160" spans="2:12" x14ac:dyDescent="0.35">
      <c r="B160" s="84">
        <v>1049607</v>
      </c>
      <c r="C160" s="69" t="s">
        <v>136</v>
      </c>
      <c r="D160" s="69" t="s">
        <v>423</v>
      </c>
      <c r="E160" s="69" t="s">
        <v>310</v>
      </c>
      <c r="F160" s="70">
        <v>365</v>
      </c>
      <c r="G160" s="70">
        <f t="shared" si="5"/>
        <v>120</v>
      </c>
      <c r="H160" s="70">
        <v>120</v>
      </c>
      <c r="I160" s="70">
        <v>90</v>
      </c>
      <c r="J160" s="70">
        <v>90</v>
      </c>
      <c r="K160" s="70">
        <f t="shared" si="4"/>
        <v>120</v>
      </c>
      <c r="L160" s="72">
        <v>90</v>
      </c>
    </row>
    <row r="161" spans="2:12" x14ac:dyDescent="0.35">
      <c r="B161" s="84">
        <v>1049606</v>
      </c>
      <c r="C161" s="69" t="s">
        <v>125</v>
      </c>
      <c r="D161" s="69" t="s">
        <v>423</v>
      </c>
      <c r="E161" s="69" t="s">
        <v>310</v>
      </c>
      <c r="F161" s="70">
        <v>365</v>
      </c>
      <c r="G161" s="70">
        <f t="shared" si="5"/>
        <v>120</v>
      </c>
      <c r="H161" s="70">
        <v>120</v>
      </c>
      <c r="I161" s="70">
        <v>90</v>
      </c>
      <c r="J161" s="70">
        <v>90</v>
      </c>
      <c r="K161" s="70">
        <f t="shared" si="4"/>
        <v>120</v>
      </c>
      <c r="L161" s="72">
        <v>90</v>
      </c>
    </row>
    <row r="162" spans="2:12" x14ac:dyDescent="0.35">
      <c r="B162" s="84">
        <v>1049641</v>
      </c>
      <c r="C162" s="69" t="s">
        <v>142</v>
      </c>
      <c r="D162" s="69" t="s">
        <v>424</v>
      </c>
      <c r="E162" s="69" t="s">
        <v>394</v>
      </c>
      <c r="F162" s="70">
        <v>360</v>
      </c>
      <c r="G162" s="70">
        <f t="shared" si="5"/>
        <v>120</v>
      </c>
      <c r="H162" s="70">
        <v>180</v>
      </c>
      <c r="I162" s="70">
        <v>90</v>
      </c>
      <c r="J162" s="70">
        <v>90</v>
      </c>
      <c r="K162" s="70">
        <f t="shared" si="4"/>
        <v>119</v>
      </c>
      <c r="L162" s="72">
        <v>90</v>
      </c>
    </row>
    <row r="163" spans="2:12" x14ac:dyDescent="0.35">
      <c r="B163" s="84">
        <v>1048121</v>
      </c>
      <c r="C163" s="69" t="s">
        <v>135</v>
      </c>
      <c r="D163" s="69" t="s">
        <v>423</v>
      </c>
      <c r="E163" s="69" t="s">
        <v>310</v>
      </c>
      <c r="F163" s="70">
        <v>365</v>
      </c>
      <c r="G163" s="70">
        <f t="shared" si="5"/>
        <v>120</v>
      </c>
      <c r="H163" s="70">
        <v>120</v>
      </c>
      <c r="I163" s="70">
        <v>90</v>
      </c>
      <c r="J163" s="70">
        <v>90</v>
      </c>
      <c r="K163" s="70">
        <f t="shared" si="4"/>
        <v>120</v>
      </c>
      <c r="L163" s="72">
        <v>90</v>
      </c>
    </row>
    <row r="164" spans="2:12" x14ac:dyDescent="0.35">
      <c r="B164" s="84">
        <v>1047344</v>
      </c>
      <c r="C164" s="69" t="s">
        <v>144</v>
      </c>
      <c r="D164" s="69" t="s">
        <v>423</v>
      </c>
      <c r="E164" s="69" t="s">
        <v>308</v>
      </c>
      <c r="F164" s="70">
        <v>365</v>
      </c>
      <c r="G164" s="70">
        <f t="shared" si="5"/>
        <v>120</v>
      </c>
      <c r="H164" s="70">
        <v>90</v>
      </c>
      <c r="I164" s="70">
        <v>90</v>
      </c>
      <c r="J164" s="70">
        <v>90</v>
      </c>
      <c r="K164" s="70">
        <f t="shared" si="4"/>
        <v>120</v>
      </c>
      <c r="L164" s="72">
        <v>90</v>
      </c>
    </row>
    <row r="165" spans="2:12" x14ac:dyDescent="0.35">
      <c r="B165" s="84">
        <v>1049036</v>
      </c>
      <c r="C165" s="69" t="s">
        <v>139</v>
      </c>
      <c r="D165" s="69" t="s">
        <v>424</v>
      </c>
      <c r="E165" s="69" t="s">
        <v>308</v>
      </c>
      <c r="F165" s="70">
        <v>450</v>
      </c>
      <c r="G165" s="70">
        <f t="shared" si="5"/>
        <v>150</v>
      </c>
      <c r="H165" s="70">
        <v>90</v>
      </c>
      <c r="I165" s="70">
        <v>90</v>
      </c>
      <c r="J165" s="70">
        <v>90</v>
      </c>
      <c r="K165" s="70">
        <f t="shared" si="4"/>
        <v>149</v>
      </c>
      <c r="L165" s="72">
        <v>90</v>
      </c>
    </row>
    <row r="166" spans="2:12" x14ac:dyDescent="0.35">
      <c r="B166" s="84">
        <v>1049476</v>
      </c>
      <c r="C166" s="69" t="s">
        <v>141</v>
      </c>
      <c r="D166" s="69" t="s">
        <v>424</v>
      </c>
      <c r="E166" s="69" t="s">
        <v>308</v>
      </c>
      <c r="F166" s="70">
        <v>450</v>
      </c>
      <c r="G166" s="70">
        <f t="shared" si="5"/>
        <v>150</v>
      </c>
      <c r="H166" s="70">
        <v>90</v>
      </c>
      <c r="I166" s="70">
        <v>90</v>
      </c>
      <c r="J166" s="70">
        <v>90</v>
      </c>
      <c r="K166" s="70">
        <f t="shared" si="4"/>
        <v>149</v>
      </c>
      <c r="L166" s="72">
        <v>90</v>
      </c>
    </row>
    <row r="167" spans="2:12" x14ac:dyDescent="0.35">
      <c r="B167" s="84">
        <v>1058893</v>
      </c>
      <c r="C167" s="69" t="s">
        <v>261</v>
      </c>
      <c r="D167" s="69" t="s">
        <v>424</v>
      </c>
      <c r="E167" s="69" t="s">
        <v>306</v>
      </c>
      <c r="F167" s="70">
        <v>540</v>
      </c>
      <c r="G167" s="70">
        <f t="shared" si="5"/>
        <v>150</v>
      </c>
      <c r="H167" s="70">
        <v>90</v>
      </c>
      <c r="I167" s="70">
        <v>90</v>
      </c>
      <c r="J167" s="70">
        <v>90</v>
      </c>
      <c r="K167" s="70">
        <f t="shared" si="4"/>
        <v>179</v>
      </c>
      <c r="L167" s="72">
        <v>90</v>
      </c>
    </row>
    <row r="168" spans="2:12" x14ac:dyDescent="0.35">
      <c r="B168" s="84">
        <v>2014940</v>
      </c>
      <c r="C168" s="69" t="s">
        <v>176</v>
      </c>
      <c r="D168" s="69" t="s">
        <v>423</v>
      </c>
      <c r="E168" s="69" t="s">
        <v>394</v>
      </c>
      <c r="F168" s="70">
        <v>360</v>
      </c>
      <c r="G168" s="70">
        <f t="shared" si="5"/>
        <v>120</v>
      </c>
      <c r="H168" s="70">
        <v>120</v>
      </c>
      <c r="I168" s="70">
        <v>90</v>
      </c>
      <c r="J168" s="70">
        <v>90</v>
      </c>
      <c r="K168" s="70">
        <f t="shared" si="4"/>
        <v>119</v>
      </c>
      <c r="L168" s="72">
        <v>90</v>
      </c>
    </row>
    <row r="169" spans="2:12" x14ac:dyDescent="0.35">
      <c r="B169" s="84">
        <v>2014937</v>
      </c>
      <c r="C169" s="69" t="s">
        <v>175</v>
      </c>
      <c r="D169" s="69" t="s">
        <v>423</v>
      </c>
      <c r="E169" s="69" t="s">
        <v>394</v>
      </c>
      <c r="F169" s="70">
        <v>360</v>
      </c>
      <c r="G169" s="70">
        <f t="shared" si="5"/>
        <v>120</v>
      </c>
      <c r="H169" s="70">
        <v>120</v>
      </c>
      <c r="I169" s="70">
        <v>90</v>
      </c>
      <c r="J169" s="70">
        <v>90</v>
      </c>
      <c r="K169" s="70">
        <f t="shared" si="4"/>
        <v>119</v>
      </c>
      <c r="L169" s="72">
        <v>90</v>
      </c>
    </row>
    <row r="170" spans="2:12" x14ac:dyDescent="0.35">
      <c r="B170" s="84">
        <v>1057049</v>
      </c>
      <c r="C170" s="69" t="s">
        <v>223</v>
      </c>
      <c r="D170" s="69" t="s">
        <v>424</v>
      </c>
      <c r="E170" s="69" t="s">
        <v>308</v>
      </c>
      <c r="F170" s="70">
        <v>540</v>
      </c>
      <c r="G170" s="70">
        <f t="shared" si="5"/>
        <v>150</v>
      </c>
      <c r="H170" s="70">
        <v>90</v>
      </c>
      <c r="I170" s="70">
        <v>90</v>
      </c>
      <c r="J170" s="70">
        <v>90</v>
      </c>
      <c r="K170" s="70">
        <f t="shared" si="4"/>
        <v>179</v>
      </c>
      <c r="L170" s="72">
        <v>90</v>
      </c>
    </row>
    <row r="171" spans="2:12" x14ac:dyDescent="0.35">
      <c r="B171" s="84">
        <v>1057050</v>
      </c>
      <c r="C171" s="69" t="s">
        <v>224</v>
      </c>
      <c r="D171" s="69" t="s">
        <v>424</v>
      </c>
      <c r="E171" s="69" t="s">
        <v>308</v>
      </c>
      <c r="F171" s="70">
        <v>540</v>
      </c>
      <c r="G171" s="70">
        <f t="shared" si="5"/>
        <v>150</v>
      </c>
      <c r="H171" s="70">
        <v>90</v>
      </c>
      <c r="I171" s="70">
        <v>90</v>
      </c>
      <c r="J171" s="70">
        <v>90</v>
      </c>
      <c r="K171" s="70">
        <f t="shared" si="4"/>
        <v>179</v>
      </c>
      <c r="L171" s="72">
        <v>90</v>
      </c>
    </row>
    <row r="172" spans="2:12" x14ac:dyDescent="0.35">
      <c r="B172" s="84">
        <v>1051095</v>
      </c>
      <c r="C172" s="69" t="s">
        <v>166</v>
      </c>
      <c r="D172" s="69" t="s">
        <v>423</v>
      </c>
      <c r="E172" s="69" t="s">
        <v>394</v>
      </c>
      <c r="F172" s="70">
        <v>365</v>
      </c>
      <c r="G172" s="70">
        <f t="shared" si="5"/>
        <v>120</v>
      </c>
      <c r="H172" s="70">
        <v>120</v>
      </c>
      <c r="I172" s="70">
        <v>90</v>
      </c>
      <c r="J172" s="70">
        <v>90</v>
      </c>
      <c r="K172" s="70">
        <f t="shared" si="4"/>
        <v>120</v>
      </c>
      <c r="L172" s="72">
        <v>90</v>
      </c>
    </row>
    <row r="173" spans="2:12" x14ac:dyDescent="0.35">
      <c r="B173" s="84">
        <v>1058230</v>
      </c>
      <c r="C173" s="69" t="s">
        <v>345</v>
      </c>
      <c r="D173" s="69" t="s">
        <v>424</v>
      </c>
      <c r="E173" s="69" t="s">
        <v>312</v>
      </c>
      <c r="F173" s="70">
        <v>360</v>
      </c>
      <c r="G173" s="70">
        <f t="shared" si="5"/>
        <v>120</v>
      </c>
      <c r="H173" s="70">
        <v>90</v>
      </c>
      <c r="I173" s="70">
        <v>90</v>
      </c>
      <c r="J173" s="70">
        <v>90</v>
      </c>
      <c r="K173" s="70">
        <f t="shared" si="4"/>
        <v>119</v>
      </c>
      <c r="L173" s="72">
        <v>90</v>
      </c>
    </row>
    <row r="174" spans="2:12" x14ac:dyDescent="0.35">
      <c r="B174" s="84">
        <v>1059094</v>
      </c>
      <c r="C174" s="69" t="s">
        <v>352</v>
      </c>
      <c r="D174" s="69" t="s">
        <v>424</v>
      </c>
      <c r="E174" s="69" t="s">
        <v>308</v>
      </c>
      <c r="F174" s="70">
        <v>360</v>
      </c>
      <c r="G174" s="70">
        <f t="shared" si="5"/>
        <v>120</v>
      </c>
      <c r="H174" s="70">
        <v>90</v>
      </c>
      <c r="I174" s="70">
        <v>90</v>
      </c>
      <c r="J174" s="70">
        <v>90</v>
      </c>
      <c r="K174" s="70">
        <f t="shared" si="4"/>
        <v>119</v>
      </c>
      <c r="L174" s="72">
        <v>90</v>
      </c>
    </row>
    <row r="175" spans="2:12" x14ac:dyDescent="0.35">
      <c r="B175" s="84">
        <v>1059095</v>
      </c>
      <c r="C175" s="69" t="s">
        <v>346</v>
      </c>
      <c r="D175" s="69" t="s">
        <v>424</v>
      </c>
      <c r="E175" s="69" t="s">
        <v>308</v>
      </c>
      <c r="F175" s="70">
        <v>360</v>
      </c>
      <c r="G175" s="70">
        <f t="shared" si="5"/>
        <v>120</v>
      </c>
      <c r="H175" s="70">
        <v>90</v>
      </c>
      <c r="I175" s="70">
        <v>90</v>
      </c>
      <c r="J175" s="70">
        <v>90</v>
      </c>
      <c r="K175" s="70">
        <f t="shared" si="4"/>
        <v>119</v>
      </c>
      <c r="L175" s="72">
        <v>90</v>
      </c>
    </row>
    <row r="176" spans="2:12" x14ac:dyDescent="0.35">
      <c r="B176" s="84">
        <v>1058983</v>
      </c>
      <c r="C176" s="69" t="s">
        <v>258</v>
      </c>
      <c r="D176" s="69" t="s">
        <v>424</v>
      </c>
      <c r="E176" s="69" t="s">
        <v>308</v>
      </c>
      <c r="F176" s="70">
        <v>210</v>
      </c>
      <c r="G176" s="70">
        <f t="shared" si="5"/>
        <v>126</v>
      </c>
      <c r="H176" s="70">
        <v>90</v>
      </c>
      <c r="I176" s="70">
        <v>90</v>
      </c>
      <c r="J176" s="70">
        <v>90</v>
      </c>
      <c r="K176" s="70">
        <f t="shared" si="4"/>
        <v>69</v>
      </c>
      <c r="L176" s="72">
        <v>90</v>
      </c>
    </row>
    <row r="177" spans="2:12" x14ac:dyDescent="0.35">
      <c r="B177" s="84">
        <v>1058690</v>
      </c>
      <c r="C177" s="69" t="s">
        <v>257</v>
      </c>
      <c r="D177" s="69" t="s">
        <v>424</v>
      </c>
      <c r="E177" s="69" t="s">
        <v>308</v>
      </c>
      <c r="F177" s="70">
        <v>210</v>
      </c>
      <c r="G177" s="70">
        <f t="shared" si="5"/>
        <v>126</v>
      </c>
      <c r="H177" s="70">
        <v>90</v>
      </c>
      <c r="I177" s="70">
        <v>90</v>
      </c>
      <c r="J177" s="70">
        <v>90</v>
      </c>
      <c r="K177" s="70">
        <f t="shared" si="4"/>
        <v>69</v>
      </c>
      <c r="L177" s="72">
        <v>90</v>
      </c>
    </row>
    <row r="178" spans="2:12" x14ac:dyDescent="0.35">
      <c r="B178" s="84">
        <v>1058069</v>
      </c>
      <c r="C178" s="69" t="s">
        <v>253</v>
      </c>
      <c r="D178" s="69" t="s">
        <v>423</v>
      </c>
      <c r="E178" s="69" t="s">
        <v>316</v>
      </c>
      <c r="F178" s="70" t="e">
        <v>#N/A</v>
      </c>
      <c r="G178" s="70" t="e">
        <f t="shared" si="5"/>
        <v>#N/A</v>
      </c>
      <c r="H178" s="70">
        <v>150</v>
      </c>
      <c r="I178" s="70">
        <v>90</v>
      </c>
      <c r="J178" s="70">
        <v>90</v>
      </c>
      <c r="K178" s="70" t="e">
        <f t="shared" si="4"/>
        <v>#N/A</v>
      </c>
      <c r="L178" s="72">
        <v>90</v>
      </c>
    </row>
    <row r="179" spans="2:12" x14ac:dyDescent="0.35">
      <c r="B179" s="84">
        <v>1060289</v>
      </c>
      <c r="C179" s="69" t="s">
        <v>353</v>
      </c>
      <c r="D179" s="69" t="s">
        <v>423</v>
      </c>
      <c r="E179" s="69" t="s">
        <v>316</v>
      </c>
      <c r="F179" s="70">
        <v>1096</v>
      </c>
      <c r="G179" s="70">
        <f t="shared" si="5"/>
        <v>150</v>
      </c>
      <c r="H179" s="70">
        <v>150</v>
      </c>
      <c r="I179" s="70">
        <v>90</v>
      </c>
      <c r="J179" s="70">
        <v>90</v>
      </c>
      <c r="K179" s="70">
        <f t="shared" si="4"/>
        <v>364</v>
      </c>
      <c r="L179" s="72">
        <v>90</v>
      </c>
    </row>
    <row r="180" spans="2:12" x14ac:dyDescent="0.35">
      <c r="B180" s="84">
        <v>1058285</v>
      </c>
      <c r="C180" s="69" t="s">
        <v>239</v>
      </c>
      <c r="D180" s="69" t="s">
        <v>423</v>
      </c>
      <c r="E180" s="69" t="s">
        <v>306</v>
      </c>
      <c r="F180" s="70">
        <v>730</v>
      </c>
      <c r="G180" s="70">
        <f t="shared" si="5"/>
        <v>150</v>
      </c>
      <c r="H180" s="70">
        <v>150</v>
      </c>
      <c r="I180" s="70">
        <v>90</v>
      </c>
      <c r="J180" s="70">
        <v>90</v>
      </c>
      <c r="K180" s="70">
        <f t="shared" si="4"/>
        <v>242</v>
      </c>
      <c r="L180" s="72">
        <v>90</v>
      </c>
    </row>
    <row r="181" spans="2:12" x14ac:dyDescent="0.35">
      <c r="B181" s="84">
        <v>1057534</v>
      </c>
      <c r="C181" s="69" t="s">
        <v>242</v>
      </c>
      <c r="D181" s="69" t="s">
        <v>423</v>
      </c>
      <c r="E181" s="69" t="s">
        <v>306</v>
      </c>
      <c r="F181" s="70">
        <v>450</v>
      </c>
      <c r="G181" s="70">
        <f t="shared" si="5"/>
        <v>150</v>
      </c>
      <c r="H181" s="70">
        <v>150</v>
      </c>
      <c r="I181" s="70">
        <v>90</v>
      </c>
      <c r="J181" s="70">
        <v>90</v>
      </c>
      <c r="K181" s="70">
        <f t="shared" si="4"/>
        <v>149</v>
      </c>
      <c r="L181" s="72">
        <v>90</v>
      </c>
    </row>
    <row r="182" spans="2:12" x14ac:dyDescent="0.35">
      <c r="B182" s="84">
        <v>1056131</v>
      </c>
      <c r="C182" s="69" t="s">
        <v>210</v>
      </c>
      <c r="D182" s="69" t="s">
        <v>423</v>
      </c>
      <c r="E182" s="69" t="s">
        <v>306</v>
      </c>
      <c r="F182" s="70">
        <v>540</v>
      </c>
      <c r="G182" s="70">
        <f t="shared" si="5"/>
        <v>150</v>
      </c>
      <c r="H182" s="70">
        <v>150</v>
      </c>
      <c r="I182" s="70">
        <v>90</v>
      </c>
      <c r="J182" s="70">
        <v>90</v>
      </c>
      <c r="K182" s="70">
        <f t="shared" si="4"/>
        <v>179</v>
      </c>
      <c r="L182" s="72">
        <v>90</v>
      </c>
    </row>
    <row r="183" spans="2:12" x14ac:dyDescent="0.35">
      <c r="B183" s="84">
        <v>1056132</v>
      </c>
      <c r="C183" s="69" t="s">
        <v>211</v>
      </c>
      <c r="D183" s="69" t="s">
        <v>423</v>
      </c>
      <c r="E183" s="69" t="s">
        <v>306</v>
      </c>
      <c r="F183" s="70">
        <v>540</v>
      </c>
      <c r="G183" s="70">
        <f t="shared" si="5"/>
        <v>150</v>
      </c>
      <c r="H183" s="70">
        <v>150</v>
      </c>
      <c r="I183" s="70">
        <v>90</v>
      </c>
      <c r="J183" s="70">
        <v>90</v>
      </c>
      <c r="K183" s="70">
        <f t="shared" si="4"/>
        <v>179</v>
      </c>
      <c r="L183" s="72">
        <v>90</v>
      </c>
    </row>
    <row r="184" spans="2:12" x14ac:dyDescent="0.35">
      <c r="B184" s="84">
        <v>1056133</v>
      </c>
      <c r="C184" s="69" t="s">
        <v>212</v>
      </c>
      <c r="D184" s="69" t="s">
        <v>423</v>
      </c>
      <c r="E184" s="69" t="s">
        <v>306</v>
      </c>
      <c r="F184" s="70">
        <v>540</v>
      </c>
      <c r="G184" s="70">
        <f t="shared" si="5"/>
        <v>150</v>
      </c>
      <c r="H184" s="70">
        <v>150</v>
      </c>
      <c r="I184" s="70">
        <v>90</v>
      </c>
      <c r="J184" s="70">
        <v>90</v>
      </c>
      <c r="K184" s="70">
        <f t="shared" si="4"/>
        <v>179</v>
      </c>
      <c r="L184" s="72">
        <v>90</v>
      </c>
    </row>
    <row r="185" spans="2:12" x14ac:dyDescent="0.35">
      <c r="B185" s="84">
        <v>1056128</v>
      </c>
      <c r="C185" s="69" t="s">
        <v>216</v>
      </c>
      <c r="D185" s="69" t="s">
        <v>423</v>
      </c>
      <c r="E185" s="69" t="s">
        <v>306</v>
      </c>
      <c r="F185" s="70">
        <v>540</v>
      </c>
      <c r="G185" s="70">
        <f t="shared" si="5"/>
        <v>150</v>
      </c>
      <c r="H185" s="70">
        <v>150</v>
      </c>
      <c r="I185" s="70">
        <v>90</v>
      </c>
      <c r="J185" s="70">
        <v>90</v>
      </c>
      <c r="K185" s="70">
        <f t="shared" si="4"/>
        <v>179</v>
      </c>
      <c r="L185" s="72">
        <v>90</v>
      </c>
    </row>
    <row r="186" spans="2:12" x14ac:dyDescent="0.35">
      <c r="B186" s="84">
        <v>1056130</v>
      </c>
      <c r="C186" s="69" t="s">
        <v>217</v>
      </c>
      <c r="D186" s="69" t="s">
        <v>423</v>
      </c>
      <c r="E186" s="69" t="s">
        <v>306</v>
      </c>
      <c r="F186" s="70">
        <v>540</v>
      </c>
      <c r="G186" s="70">
        <f t="shared" si="5"/>
        <v>150</v>
      </c>
      <c r="H186" s="70">
        <v>150</v>
      </c>
      <c r="I186" s="70">
        <v>90</v>
      </c>
      <c r="J186" s="70">
        <v>90</v>
      </c>
      <c r="K186" s="70">
        <f t="shared" si="4"/>
        <v>179</v>
      </c>
      <c r="L186" s="72">
        <v>90</v>
      </c>
    </row>
    <row r="187" spans="2:12" x14ac:dyDescent="0.35">
      <c r="B187" s="84">
        <v>1050062</v>
      </c>
      <c r="C187" s="69" t="s">
        <v>122</v>
      </c>
      <c r="D187" s="69" t="s">
        <v>423</v>
      </c>
      <c r="E187" s="69" t="s">
        <v>306</v>
      </c>
      <c r="F187" s="70">
        <v>730</v>
      </c>
      <c r="G187" s="70">
        <f t="shared" si="5"/>
        <v>150</v>
      </c>
      <c r="H187" s="70">
        <v>150</v>
      </c>
      <c r="I187" s="70">
        <v>90</v>
      </c>
      <c r="J187" s="70">
        <v>90</v>
      </c>
      <c r="K187" s="70">
        <f t="shared" si="4"/>
        <v>242</v>
      </c>
      <c r="L187" s="72">
        <v>90</v>
      </c>
    </row>
    <row r="188" spans="2:12" x14ac:dyDescent="0.35">
      <c r="B188" s="84">
        <v>1058418</v>
      </c>
      <c r="C188" s="69" t="s">
        <v>235</v>
      </c>
      <c r="D188" s="69" t="s">
        <v>424</v>
      </c>
      <c r="E188" s="69" t="s">
        <v>308</v>
      </c>
      <c r="F188" s="70">
        <v>360</v>
      </c>
      <c r="G188" s="70">
        <f t="shared" si="5"/>
        <v>120</v>
      </c>
      <c r="H188" s="70">
        <v>90</v>
      </c>
      <c r="I188" s="70">
        <v>90</v>
      </c>
      <c r="J188" s="70">
        <v>90</v>
      </c>
      <c r="K188" s="70">
        <f t="shared" si="4"/>
        <v>119</v>
      </c>
      <c r="L188" s="72">
        <v>90</v>
      </c>
    </row>
    <row r="189" spans="2:12" x14ac:dyDescent="0.35">
      <c r="B189" s="84">
        <v>1009982</v>
      </c>
      <c r="C189" s="69" t="s">
        <v>158</v>
      </c>
      <c r="D189" s="69" t="s">
        <v>424</v>
      </c>
      <c r="E189" s="69" t="s">
        <v>318</v>
      </c>
      <c r="F189" s="70">
        <v>240</v>
      </c>
      <c r="G189" s="70">
        <f t="shared" si="5"/>
        <v>120</v>
      </c>
      <c r="H189" s="70"/>
      <c r="I189" s="70">
        <v>90</v>
      </c>
      <c r="J189" s="70">
        <v>90</v>
      </c>
      <c r="K189" s="70">
        <f t="shared" si="4"/>
        <v>79</v>
      </c>
      <c r="L189" s="72">
        <v>90</v>
      </c>
    </row>
    <row r="190" spans="2:12" x14ac:dyDescent="0.35">
      <c r="B190" s="84">
        <v>1058428</v>
      </c>
      <c r="C190" s="69" t="s">
        <v>354</v>
      </c>
      <c r="D190" s="69" t="s">
        <v>424</v>
      </c>
      <c r="E190" s="69" t="s">
        <v>318</v>
      </c>
      <c r="F190" s="70" t="e">
        <v>#N/A</v>
      </c>
      <c r="G190" s="70" t="e">
        <f t="shared" si="5"/>
        <v>#N/A</v>
      </c>
      <c r="H190" s="70"/>
      <c r="I190" s="70">
        <v>90</v>
      </c>
      <c r="J190" s="70">
        <v>90</v>
      </c>
      <c r="K190" s="70" t="e">
        <f t="shared" si="4"/>
        <v>#N/A</v>
      </c>
      <c r="L190" s="72">
        <v>90</v>
      </c>
    </row>
    <row r="191" spans="2:12" x14ac:dyDescent="0.35">
      <c r="B191" s="84">
        <v>1010130</v>
      </c>
      <c r="C191" s="69" t="s">
        <v>179</v>
      </c>
      <c r="D191" s="69" t="s">
        <v>424</v>
      </c>
      <c r="E191" s="69" t="s">
        <v>318</v>
      </c>
      <c r="F191" s="70">
        <v>300</v>
      </c>
      <c r="G191" s="70">
        <f t="shared" si="5"/>
        <v>120</v>
      </c>
      <c r="H191" s="70"/>
      <c r="I191" s="70">
        <v>90</v>
      </c>
      <c r="J191" s="70">
        <v>90</v>
      </c>
      <c r="K191" s="70">
        <f t="shared" si="4"/>
        <v>99</v>
      </c>
      <c r="L191" s="72">
        <v>90</v>
      </c>
    </row>
    <row r="192" spans="2:12" x14ac:dyDescent="0.35">
      <c r="B192" s="84">
        <v>1049655</v>
      </c>
      <c r="C192" s="69" t="s">
        <v>355</v>
      </c>
      <c r="D192" s="69" t="s">
        <v>424</v>
      </c>
      <c r="E192" s="69" t="s">
        <v>318</v>
      </c>
      <c r="F192" s="70">
        <v>300</v>
      </c>
      <c r="G192" s="70">
        <f t="shared" si="5"/>
        <v>120</v>
      </c>
      <c r="H192" s="70"/>
      <c r="I192" s="70">
        <v>90</v>
      </c>
      <c r="J192" s="70">
        <v>90</v>
      </c>
      <c r="K192" s="70">
        <f t="shared" si="4"/>
        <v>99</v>
      </c>
      <c r="L192" s="72">
        <v>90</v>
      </c>
    </row>
    <row r="193" spans="2:12" x14ac:dyDescent="0.35">
      <c r="B193" s="84">
        <v>1054530</v>
      </c>
      <c r="C193" s="69" t="s">
        <v>361</v>
      </c>
      <c r="D193" s="69" t="s">
        <v>424</v>
      </c>
      <c r="E193" s="69" t="s">
        <v>318</v>
      </c>
      <c r="F193" s="70" t="e">
        <v>#N/A</v>
      </c>
      <c r="G193" s="70" t="e">
        <f t="shared" si="5"/>
        <v>#N/A</v>
      </c>
      <c r="H193" s="70"/>
      <c r="I193" s="70">
        <v>90</v>
      </c>
      <c r="J193" s="70">
        <v>90</v>
      </c>
      <c r="K193" s="70" t="e">
        <f t="shared" si="4"/>
        <v>#N/A</v>
      </c>
      <c r="L193" s="72">
        <v>90</v>
      </c>
    </row>
    <row r="194" spans="2:12" x14ac:dyDescent="0.35">
      <c r="B194" s="84">
        <v>1012344</v>
      </c>
      <c r="C194" s="69" t="s">
        <v>180</v>
      </c>
      <c r="D194" s="69" t="s">
        <v>424</v>
      </c>
      <c r="E194" s="69" t="s">
        <v>318</v>
      </c>
      <c r="F194" s="70">
        <v>300</v>
      </c>
      <c r="G194" s="70">
        <f t="shared" si="5"/>
        <v>120</v>
      </c>
      <c r="H194" s="70"/>
      <c r="I194" s="70">
        <v>90</v>
      </c>
      <c r="J194" s="70">
        <v>90</v>
      </c>
      <c r="K194" s="70">
        <f t="shared" si="4"/>
        <v>99</v>
      </c>
      <c r="L194" s="72">
        <v>90</v>
      </c>
    </row>
    <row r="195" spans="2:12" x14ac:dyDescent="0.35">
      <c r="B195" s="84">
        <v>1058429</v>
      </c>
      <c r="C195" s="69" t="s">
        <v>356</v>
      </c>
      <c r="D195" s="69" t="s">
        <v>424</v>
      </c>
      <c r="E195" s="69" t="s">
        <v>318</v>
      </c>
      <c r="F195" s="70" t="e">
        <v>#N/A</v>
      </c>
      <c r="G195" s="70" t="e">
        <f t="shared" si="5"/>
        <v>#N/A</v>
      </c>
      <c r="H195" s="70"/>
      <c r="I195" s="70">
        <v>90</v>
      </c>
      <c r="J195" s="70">
        <v>90</v>
      </c>
      <c r="K195" s="70" t="e">
        <f t="shared" ref="K195:K222" si="6">ROUNDDOWN(F195/3,0)-1</f>
        <v>#N/A</v>
      </c>
      <c r="L195" s="72">
        <v>90</v>
      </c>
    </row>
    <row r="196" spans="2:12" x14ac:dyDescent="0.35">
      <c r="B196" s="84">
        <v>1058894</v>
      </c>
      <c r="C196" s="69" t="s">
        <v>389</v>
      </c>
      <c r="D196" s="69" t="s">
        <v>424</v>
      </c>
      <c r="E196" s="69" t="s">
        <v>318</v>
      </c>
      <c r="F196" s="70">
        <v>300</v>
      </c>
      <c r="G196" s="70">
        <f t="shared" ref="G196:G204" si="7">IF(F196&lt;=210,F196*0.6,IF(F196&lt;=365,120,IF(F196&lt;=3600,150)))</f>
        <v>120</v>
      </c>
      <c r="H196" s="70"/>
      <c r="I196" s="70">
        <v>90</v>
      </c>
      <c r="J196" s="70">
        <v>90</v>
      </c>
      <c r="K196" s="70">
        <f t="shared" si="6"/>
        <v>99</v>
      </c>
      <c r="L196" s="72">
        <v>90</v>
      </c>
    </row>
    <row r="197" spans="2:12" x14ac:dyDescent="0.35">
      <c r="B197" s="84">
        <v>1058427</v>
      </c>
      <c r="C197" s="69" t="s">
        <v>357</v>
      </c>
      <c r="D197" s="69" t="s">
        <v>424</v>
      </c>
      <c r="E197" s="69" t="s">
        <v>318</v>
      </c>
      <c r="F197" s="70" t="e">
        <v>#N/A</v>
      </c>
      <c r="G197" s="70" t="e">
        <f t="shared" si="7"/>
        <v>#N/A</v>
      </c>
      <c r="H197" s="70"/>
      <c r="I197" s="70">
        <v>90</v>
      </c>
      <c r="J197" s="70">
        <v>90</v>
      </c>
      <c r="K197" s="70" t="e">
        <f t="shared" si="6"/>
        <v>#N/A</v>
      </c>
      <c r="L197" s="72">
        <v>90</v>
      </c>
    </row>
    <row r="198" spans="2:12" x14ac:dyDescent="0.35">
      <c r="B198" s="84">
        <v>1054529</v>
      </c>
      <c r="C198" s="69" t="s">
        <v>358</v>
      </c>
      <c r="D198" s="69" t="s">
        <v>424</v>
      </c>
      <c r="E198" s="69" t="s">
        <v>318</v>
      </c>
      <c r="F198" s="70" t="e">
        <v>#N/A</v>
      </c>
      <c r="G198" s="70" t="e">
        <f t="shared" si="7"/>
        <v>#N/A</v>
      </c>
      <c r="H198" s="70"/>
      <c r="I198" s="70">
        <v>90</v>
      </c>
      <c r="J198" s="70">
        <v>90</v>
      </c>
      <c r="K198" s="70" t="e">
        <f t="shared" si="6"/>
        <v>#N/A</v>
      </c>
      <c r="L198" s="72">
        <v>90</v>
      </c>
    </row>
    <row r="199" spans="2:12" x14ac:dyDescent="0.35">
      <c r="B199" s="84">
        <v>1054528</v>
      </c>
      <c r="C199" s="69" t="s">
        <v>359</v>
      </c>
      <c r="D199" s="69" t="s">
        <v>424</v>
      </c>
      <c r="E199" s="69" t="s">
        <v>318</v>
      </c>
      <c r="F199" s="70">
        <v>300</v>
      </c>
      <c r="G199" s="70">
        <f t="shared" si="7"/>
        <v>120</v>
      </c>
      <c r="H199" s="70"/>
      <c r="I199" s="70">
        <v>90</v>
      </c>
      <c r="J199" s="70">
        <v>90</v>
      </c>
      <c r="K199" s="70">
        <f t="shared" si="6"/>
        <v>99</v>
      </c>
      <c r="L199" s="72">
        <v>90</v>
      </c>
    </row>
    <row r="200" spans="2:12" x14ac:dyDescent="0.35">
      <c r="B200" s="84">
        <v>1055455</v>
      </c>
      <c r="C200" s="69" t="s">
        <v>208</v>
      </c>
      <c r="D200" s="69" t="s">
        <v>424</v>
      </c>
      <c r="E200" s="69" t="s">
        <v>318</v>
      </c>
      <c r="F200" s="70">
        <v>240</v>
      </c>
      <c r="G200" s="70">
        <f t="shared" si="7"/>
        <v>120</v>
      </c>
      <c r="H200" s="70"/>
      <c r="I200" s="70">
        <v>90</v>
      </c>
      <c r="J200" s="70">
        <v>90</v>
      </c>
      <c r="K200" s="70">
        <f t="shared" si="6"/>
        <v>79</v>
      </c>
      <c r="L200" s="72">
        <v>90</v>
      </c>
    </row>
    <row r="201" spans="2:12" x14ac:dyDescent="0.35">
      <c r="B201" s="84">
        <v>1055499</v>
      </c>
      <c r="C201" s="69" t="s">
        <v>362</v>
      </c>
      <c r="D201" s="69" t="s">
        <v>424</v>
      </c>
      <c r="E201" s="69" t="s">
        <v>318</v>
      </c>
      <c r="F201" s="70">
        <v>240</v>
      </c>
      <c r="G201" s="70">
        <f t="shared" si="7"/>
        <v>120</v>
      </c>
      <c r="H201" s="70"/>
      <c r="I201" s="70">
        <v>90</v>
      </c>
      <c r="J201" s="70">
        <v>90</v>
      </c>
      <c r="K201" s="70">
        <f t="shared" si="6"/>
        <v>79</v>
      </c>
      <c r="L201" s="72">
        <v>90</v>
      </c>
    </row>
    <row r="202" spans="2:12" x14ac:dyDescent="0.35">
      <c r="B202" s="84">
        <v>1049744</v>
      </c>
      <c r="C202" s="69" t="s">
        <v>161</v>
      </c>
      <c r="D202" s="69" t="s">
        <v>424</v>
      </c>
      <c r="E202" s="69" t="s">
        <v>318</v>
      </c>
      <c r="F202" s="70" t="e">
        <v>#N/A</v>
      </c>
      <c r="G202" s="70" t="e">
        <f t="shared" si="7"/>
        <v>#N/A</v>
      </c>
      <c r="H202" s="70"/>
      <c r="I202" s="70">
        <v>90</v>
      </c>
      <c r="J202" s="70">
        <v>90</v>
      </c>
      <c r="K202" s="70" t="e">
        <f t="shared" si="6"/>
        <v>#N/A</v>
      </c>
      <c r="L202" s="72">
        <v>90</v>
      </c>
    </row>
    <row r="203" spans="2:12" x14ac:dyDescent="0.35">
      <c r="B203" s="84">
        <v>1060034</v>
      </c>
      <c r="C203" s="69" t="s">
        <v>390</v>
      </c>
      <c r="D203" s="69" t="s">
        <v>424</v>
      </c>
      <c r="E203" s="69" t="s">
        <v>318</v>
      </c>
      <c r="F203" s="70" t="e">
        <v>#N/A</v>
      </c>
      <c r="G203" s="70" t="e">
        <f t="shared" si="7"/>
        <v>#N/A</v>
      </c>
      <c r="H203" s="70"/>
      <c r="I203" s="70">
        <v>90</v>
      </c>
      <c r="J203" s="70">
        <v>90</v>
      </c>
      <c r="K203" s="70" t="e">
        <f t="shared" si="6"/>
        <v>#N/A</v>
      </c>
      <c r="L203" s="72">
        <v>90</v>
      </c>
    </row>
    <row r="204" spans="2:12" x14ac:dyDescent="0.35">
      <c r="B204" s="85">
        <v>1032153</v>
      </c>
      <c r="C204" s="75" t="s">
        <v>172</v>
      </c>
      <c r="D204" s="69" t="s">
        <v>423</v>
      </c>
      <c r="E204" s="69" t="s">
        <v>316</v>
      </c>
      <c r="F204" s="14">
        <v>731</v>
      </c>
      <c r="G204" s="70">
        <f t="shared" si="7"/>
        <v>150</v>
      </c>
      <c r="H204" s="70">
        <v>150</v>
      </c>
      <c r="I204" s="70">
        <v>90</v>
      </c>
      <c r="J204" s="70">
        <v>90</v>
      </c>
      <c r="K204" s="70">
        <f t="shared" si="6"/>
        <v>242</v>
      </c>
      <c r="L204" s="72">
        <v>90</v>
      </c>
    </row>
    <row r="205" spans="2:12" x14ac:dyDescent="0.35">
      <c r="B205" s="85">
        <v>1031077</v>
      </c>
      <c r="C205" s="75" t="s">
        <v>177</v>
      </c>
      <c r="D205" s="75" t="s">
        <v>424</v>
      </c>
      <c r="E205" s="75" t="s">
        <v>308</v>
      </c>
      <c r="F205" s="15">
        <v>360</v>
      </c>
      <c r="G205" s="70">
        <f t="shared" ref="G205:G222" si="8">IF(F205&lt;=210,F205*0.6,IF(F205&lt;=365,120,IF(F205&lt;=3600,150)))</f>
        <v>120</v>
      </c>
      <c r="H205" s="70">
        <v>90</v>
      </c>
      <c r="I205" s="70">
        <v>90</v>
      </c>
      <c r="J205" s="70">
        <v>90</v>
      </c>
      <c r="K205" s="70">
        <f t="shared" si="6"/>
        <v>119</v>
      </c>
      <c r="L205" s="72">
        <v>90</v>
      </c>
    </row>
    <row r="206" spans="2:12" x14ac:dyDescent="0.35">
      <c r="B206" s="85">
        <v>1036334</v>
      </c>
      <c r="C206" s="75" t="s">
        <v>282</v>
      </c>
      <c r="D206" s="75" t="s">
        <v>424</v>
      </c>
      <c r="E206" s="75" t="s">
        <v>308</v>
      </c>
      <c r="F206" s="15">
        <v>240</v>
      </c>
      <c r="G206" s="70">
        <f t="shared" si="8"/>
        <v>120</v>
      </c>
      <c r="H206" s="70">
        <v>90</v>
      </c>
      <c r="I206" s="70">
        <v>90</v>
      </c>
      <c r="J206" s="70">
        <v>90</v>
      </c>
      <c r="K206" s="70">
        <f t="shared" si="6"/>
        <v>79</v>
      </c>
      <c r="L206" s="72">
        <v>90</v>
      </c>
    </row>
    <row r="207" spans="2:12" x14ac:dyDescent="0.35">
      <c r="B207" s="85">
        <v>1001815</v>
      </c>
      <c r="C207" s="75" t="s">
        <v>16</v>
      </c>
      <c r="D207" s="75" t="s">
        <v>423</v>
      </c>
      <c r="E207" s="75" t="s">
        <v>312</v>
      </c>
      <c r="F207" s="15">
        <v>300</v>
      </c>
      <c r="G207" s="70">
        <f t="shared" si="8"/>
        <v>120</v>
      </c>
      <c r="H207" s="70">
        <v>90</v>
      </c>
      <c r="I207" s="70">
        <v>90</v>
      </c>
      <c r="J207" s="70">
        <v>90</v>
      </c>
      <c r="K207" s="70">
        <f t="shared" si="6"/>
        <v>99</v>
      </c>
      <c r="L207" s="72">
        <v>90</v>
      </c>
    </row>
    <row r="208" spans="2:12" x14ac:dyDescent="0.35">
      <c r="B208" s="85">
        <v>1013361</v>
      </c>
      <c r="C208" s="75" t="s">
        <v>248</v>
      </c>
      <c r="D208" s="75" t="s">
        <v>424</v>
      </c>
      <c r="E208" s="75" t="e">
        <v>#N/A</v>
      </c>
      <c r="F208" s="15">
        <v>720</v>
      </c>
      <c r="G208" s="70">
        <f t="shared" si="8"/>
        <v>150</v>
      </c>
      <c r="H208" s="70"/>
      <c r="I208" s="70">
        <v>90</v>
      </c>
      <c r="J208" s="70">
        <v>90</v>
      </c>
      <c r="K208" s="70">
        <f t="shared" si="6"/>
        <v>239</v>
      </c>
      <c r="L208" s="72">
        <v>90</v>
      </c>
    </row>
    <row r="209" spans="2:12" x14ac:dyDescent="0.35">
      <c r="B209" s="85">
        <v>1029998</v>
      </c>
      <c r="C209" s="75" t="s">
        <v>290</v>
      </c>
      <c r="D209" s="75" t="s">
        <v>424</v>
      </c>
      <c r="E209" s="69" t="s">
        <v>306</v>
      </c>
      <c r="F209" s="15">
        <v>540</v>
      </c>
      <c r="G209" s="70">
        <f t="shared" si="8"/>
        <v>150</v>
      </c>
      <c r="H209" s="70">
        <v>90</v>
      </c>
      <c r="I209" s="70">
        <v>90</v>
      </c>
      <c r="J209" s="70">
        <v>90</v>
      </c>
      <c r="K209" s="70">
        <f t="shared" si="6"/>
        <v>179</v>
      </c>
      <c r="L209" s="72">
        <v>90</v>
      </c>
    </row>
    <row r="210" spans="2:12" x14ac:dyDescent="0.35">
      <c r="B210" s="85">
        <v>1033944</v>
      </c>
      <c r="C210" s="75" t="s">
        <v>291</v>
      </c>
      <c r="D210" s="75" t="s">
        <v>424</v>
      </c>
      <c r="E210" s="75" t="s">
        <v>394</v>
      </c>
      <c r="F210" s="15">
        <v>240</v>
      </c>
      <c r="G210" s="70">
        <f t="shared" si="8"/>
        <v>120</v>
      </c>
      <c r="H210" s="70">
        <v>180</v>
      </c>
      <c r="I210" s="70">
        <v>90</v>
      </c>
      <c r="J210" s="70">
        <v>90</v>
      </c>
      <c r="K210" s="70">
        <f t="shared" si="6"/>
        <v>79</v>
      </c>
      <c r="L210" s="72">
        <v>90</v>
      </c>
    </row>
    <row r="211" spans="2:12" x14ac:dyDescent="0.35">
      <c r="B211" s="85">
        <v>1044326</v>
      </c>
      <c r="C211" s="75" t="s">
        <v>74</v>
      </c>
      <c r="D211" s="75" t="s">
        <v>424</v>
      </c>
      <c r="E211" s="75" t="s">
        <v>308</v>
      </c>
      <c r="F211" s="15">
        <v>360</v>
      </c>
      <c r="G211" s="70">
        <f t="shared" si="8"/>
        <v>120</v>
      </c>
      <c r="H211" s="70">
        <v>90</v>
      </c>
      <c r="I211" s="70">
        <v>90</v>
      </c>
      <c r="J211" s="70">
        <v>90</v>
      </c>
      <c r="K211" s="70">
        <f t="shared" si="6"/>
        <v>119</v>
      </c>
      <c r="L211" s="72">
        <v>90</v>
      </c>
    </row>
    <row r="212" spans="2:12" x14ac:dyDescent="0.35">
      <c r="B212" s="85">
        <v>1045151</v>
      </c>
      <c r="C212" s="75" t="s">
        <v>162</v>
      </c>
      <c r="D212" s="75" t="s">
        <v>423</v>
      </c>
      <c r="E212" s="75" t="e">
        <v>#N/A</v>
      </c>
      <c r="F212" s="15">
        <v>365</v>
      </c>
      <c r="G212" s="70">
        <f t="shared" si="8"/>
        <v>120</v>
      </c>
      <c r="H212" s="70"/>
      <c r="I212" s="70">
        <v>90</v>
      </c>
      <c r="J212" s="70">
        <v>90</v>
      </c>
      <c r="K212" s="70">
        <f t="shared" si="6"/>
        <v>120</v>
      </c>
      <c r="L212" s="72">
        <v>90</v>
      </c>
    </row>
    <row r="213" spans="2:12" x14ac:dyDescent="0.35">
      <c r="B213" s="85">
        <v>1047159</v>
      </c>
      <c r="C213" s="75" t="s">
        <v>118</v>
      </c>
      <c r="D213" s="75" t="s">
        <v>424</v>
      </c>
      <c r="E213" s="75" t="s">
        <v>308</v>
      </c>
      <c r="F213" s="15">
        <v>360</v>
      </c>
      <c r="G213" s="70">
        <f t="shared" si="8"/>
        <v>120</v>
      </c>
      <c r="H213" s="70">
        <v>90</v>
      </c>
      <c r="I213" s="70">
        <v>90</v>
      </c>
      <c r="J213" s="70">
        <v>90</v>
      </c>
      <c r="K213" s="70">
        <f t="shared" si="6"/>
        <v>119</v>
      </c>
      <c r="L213" s="72">
        <v>90</v>
      </c>
    </row>
    <row r="214" spans="2:12" x14ac:dyDescent="0.35">
      <c r="B214" s="85">
        <v>1057511</v>
      </c>
      <c r="C214" s="75" t="s">
        <v>246</v>
      </c>
      <c r="D214" s="75" t="s">
        <v>423</v>
      </c>
      <c r="E214" s="75" t="e">
        <v>#N/A</v>
      </c>
      <c r="F214" s="15">
        <v>365</v>
      </c>
      <c r="G214" s="70">
        <f t="shared" si="8"/>
        <v>120</v>
      </c>
      <c r="H214" s="70"/>
      <c r="I214" s="70">
        <v>90</v>
      </c>
      <c r="J214" s="70">
        <v>90</v>
      </c>
      <c r="K214" s="70">
        <f t="shared" si="6"/>
        <v>120</v>
      </c>
      <c r="L214" s="72">
        <v>90</v>
      </c>
    </row>
    <row r="215" spans="2:12" x14ac:dyDescent="0.35">
      <c r="B215" s="85">
        <v>1057533</v>
      </c>
      <c r="C215" s="75" t="s">
        <v>251</v>
      </c>
      <c r="D215" s="75" t="s">
        <v>423</v>
      </c>
      <c r="E215" s="75" t="e">
        <v>#N/A</v>
      </c>
      <c r="F215" s="15">
        <v>450</v>
      </c>
      <c r="G215" s="70">
        <f t="shared" si="8"/>
        <v>150</v>
      </c>
      <c r="H215" s="70"/>
      <c r="I215" s="70">
        <v>90</v>
      </c>
      <c r="J215" s="70">
        <v>90</v>
      </c>
      <c r="K215" s="70">
        <f t="shared" si="6"/>
        <v>149</v>
      </c>
      <c r="L215" s="72">
        <v>90</v>
      </c>
    </row>
    <row r="216" spans="2:12" x14ac:dyDescent="0.35">
      <c r="B216" s="85">
        <v>1059078</v>
      </c>
      <c r="C216" s="75" t="s">
        <v>411</v>
      </c>
      <c r="D216" s="75" t="s">
        <v>423</v>
      </c>
      <c r="E216" s="75" t="s">
        <v>310</v>
      </c>
      <c r="F216" s="15">
        <v>365</v>
      </c>
      <c r="G216" s="70">
        <f t="shared" si="8"/>
        <v>120</v>
      </c>
      <c r="H216" s="70">
        <v>120</v>
      </c>
      <c r="I216" s="70">
        <v>90</v>
      </c>
      <c r="J216" s="70">
        <v>90</v>
      </c>
      <c r="K216" s="70">
        <f t="shared" si="6"/>
        <v>120</v>
      </c>
      <c r="L216" s="72">
        <v>90</v>
      </c>
    </row>
    <row r="217" spans="2:12" x14ac:dyDescent="0.35">
      <c r="B217" s="85">
        <v>1059307</v>
      </c>
      <c r="C217" s="75" t="s">
        <v>269</v>
      </c>
      <c r="D217" s="75" t="s">
        <v>424</v>
      </c>
      <c r="E217" s="75" t="e">
        <v>#N/A</v>
      </c>
      <c r="F217" s="15">
        <v>240</v>
      </c>
      <c r="G217" s="70">
        <f t="shared" si="8"/>
        <v>120</v>
      </c>
      <c r="H217" s="70"/>
      <c r="I217" s="70">
        <v>90</v>
      </c>
      <c r="J217" s="70">
        <v>90</v>
      </c>
      <c r="K217" s="70">
        <f t="shared" si="6"/>
        <v>79</v>
      </c>
      <c r="L217" s="72">
        <v>90</v>
      </c>
    </row>
    <row r="218" spans="2:12" x14ac:dyDescent="0.35">
      <c r="B218" s="85">
        <v>1059375</v>
      </c>
      <c r="C218" s="75" t="s">
        <v>349</v>
      </c>
      <c r="D218" s="75" t="s">
        <v>424</v>
      </c>
      <c r="E218" s="69" t="s">
        <v>306</v>
      </c>
      <c r="F218" s="15">
        <v>420</v>
      </c>
      <c r="G218" s="70">
        <f t="shared" si="8"/>
        <v>150</v>
      </c>
      <c r="H218" s="70">
        <v>90</v>
      </c>
      <c r="I218" s="70">
        <v>90</v>
      </c>
      <c r="J218" s="70">
        <v>90</v>
      </c>
      <c r="K218" s="70">
        <f t="shared" si="6"/>
        <v>139</v>
      </c>
      <c r="L218" s="72">
        <v>90</v>
      </c>
    </row>
    <row r="219" spans="2:12" x14ac:dyDescent="0.35">
      <c r="B219" s="85">
        <v>1059550</v>
      </c>
      <c r="C219" s="75" t="s">
        <v>374</v>
      </c>
      <c r="D219" s="75" t="s">
        <v>423</v>
      </c>
      <c r="E219" s="69" t="s">
        <v>306</v>
      </c>
      <c r="F219" s="15">
        <v>730</v>
      </c>
      <c r="G219" s="70">
        <f t="shared" si="8"/>
        <v>150</v>
      </c>
      <c r="H219" s="70">
        <v>150</v>
      </c>
      <c r="I219" s="70">
        <v>90</v>
      </c>
      <c r="J219" s="70">
        <v>90</v>
      </c>
      <c r="K219" s="70">
        <f t="shared" si="6"/>
        <v>242</v>
      </c>
      <c r="L219" s="72">
        <v>90</v>
      </c>
    </row>
    <row r="220" spans="2:12" x14ac:dyDescent="0.35">
      <c r="B220" s="85">
        <v>1059918</v>
      </c>
      <c r="C220" s="75" t="s">
        <v>347</v>
      </c>
      <c r="D220" s="75" t="s">
        <v>423</v>
      </c>
      <c r="E220" s="75" t="s">
        <v>310</v>
      </c>
      <c r="F220" s="15">
        <v>274</v>
      </c>
      <c r="G220" s="70">
        <f t="shared" si="8"/>
        <v>120</v>
      </c>
      <c r="H220" s="70">
        <v>120</v>
      </c>
      <c r="I220" s="70">
        <v>90</v>
      </c>
      <c r="J220" s="70">
        <v>90</v>
      </c>
      <c r="K220" s="70">
        <f t="shared" si="6"/>
        <v>90</v>
      </c>
      <c r="L220" s="72">
        <v>90</v>
      </c>
    </row>
    <row r="221" spans="2:12" x14ac:dyDescent="0.35">
      <c r="B221" s="85">
        <v>1062351</v>
      </c>
      <c r="C221" s="75" t="s">
        <v>412</v>
      </c>
      <c r="D221" s="75" t="s">
        <v>424</v>
      </c>
      <c r="E221" s="75" t="s">
        <v>394</v>
      </c>
      <c r="F221" s="15">
        <v>540</v>
      </c>
      <c r="G221" s="70">
        <f t="shared" si="8"/>
        <v>150</v>
      </c>
      <c r="H221" s="70">
        <v>180</v>
      </c>
      <c r="I221" s="70">
        <v>90</v>
      </c>
      <c r="J221" s="70">
        <v>90</v>
      </c>
      <c r="K221" s="70">
        <f t="shared" si="6"/>
        <v>179</v>
      </c>
      <c r="L221" s="72">
        <v>90</v>
      </c>
    </row>
    <row r="222" spans="2:12" x14ac:dyDescent="0.35">
      <c r="B222" s="86">
        <v>1063068</v>
      </c>
      <c r="C222" s="76" t="s">
        <v>414</v>
      </c>
      <c r="D222" s="76" t="s">
        <v>424</v>
      </c>
      <c r="E222" s="76" t="s">
        <v>312</v>
      </c>
      <c r="F222" s="81">
        <v>360</v>
      </c>
      <c r="G222" s="77">
        <f t="shared" si="8"/>
        <v>120</v>
      </c>
      <c r="H222" s="77">
        <v>90</v>
      </c>
      <c r="I222" s="77">
        <v>90</v>
      </c>
      <c r="J222" s="77">
        <v>90</v>
      </c>
      <c r="K222" s="77">
        <f t="shared" si="6"/>
        <v>119</v>
      </c>
      <c r="L222" s="78">
        <v>90</v>
      </c>
    </row>
  </sheetData>
  <conditionalFormatting sqref="B2">
    <cfRule type="duplicateValues" dxfId="127" priority="2"/>
  </conditionalFormatting>
  <conditionalFormatting sqref="B3:B222">
    <cfRule type="duplicateValues" dxfId="126" priority="1"/>
  </conditionalFormatting>
  <pageMargins left="0.7" right="0.7" top="0.75" bottom="0.75" header="0.3" footer="0.3"/>
  <pageSetup orientation="portrait" horizontalDpi="300" verticalDpi="0" copies="0" r:id="rId1"/>
  <customProperties>
    <customPr name="_pios_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B2:G106"/>
  <sheetViews>
    <sheetView topLeftCell="A82" zoomScale="85" zoomScaleNormal="85" workbookViewId="0">
      <selection activeCell="D90" sqref="D90"/>
    </sheetView>
  </sheetViews>
  <sheetFormatPr baseColWidth="10" defaultRowHeight="14.5" x14ac:dyDescent="0.35"/>
  <cols>
    <col min="1" max="1" width="3.81640625" customWidth="1"/>
    <col min="2" max="2" width="11.453125" style="1"/>
    <col min="3" max="3" width="44.1796875" style="1" bestFit="1" customWidth="1"/>
    <col min="4" max="4" width="61.54296875" style="1" bestFit="1" customWidth="1"/>
  </cols>
  <sheetData>
    <row r="2" spans="2:7" x14ac:dyDescent="0.35">
      <c r="B2" s="55" t="s">
        <v>271</v>
      </c>
      <c r="C2" s="55" t="s">
        <v>272</v>
      </c>
      <c r="D2" s="55" t="s">
        <v>392</v>
      </c>
    </row>
    <row r="3" spans="2:7" x14ac:dyDescent="0.35">
      <c r="B3" s="56">
        <v>1036068</v>
      </c>
      <c r="C3" s="56" t="s">
        <v>40</v>
      </c>
      <c r="D3" s="57">
        <v>1058339</v>
      </c>
    </row>
    <row r="4" spans="2:7" x14ac:dyDescent="0.35">
      <c r="B4" s="56">
        <v>1036069</v>
      </c>
      <c r="C4" s="56" t="s">
        <v>28</v>
      </c>
      <c r="D4" s="57">
        <v>1058340</v>
      </c>
    </row>
    <row r="5" spans="2:7" x14ac:dyDescent="0.35">
      <c r="B5" s="56">
        <v>1046404</v>
      </c>
      <c r="C5" s="56" t="s">
        <v>121</v>
      </c>
      <c r="D5" s="57">
        <v>1059113</v>
      </c>
    </row>
    <row r="6" spans="2:7" x14ac:dyDescent="0.35">
      <c r="B6" s="56">
        <v>1044312</v>
      </c>
      <c r="C6" s="56" t="s">
        <v>98</v>
      </c>
      <c r="D6" s="57">
        <v>1058350</v>
      </c>
    </row>
    <row r="7" spans="2:7" x14ac:dyDescent="0.35">
      <c r="B7" s="56">
        <v>1030067</v>
      </c>
      <c r="C7" s="56" t="s">
        <v>76</v>
      </c>
      <c r="D7" s="57">
        <v>1057172</v>
      </c>
    </row>
    <row r="8" spans="2:7" x14ac:dyDescent="0.35">
      <c r="B8" s="56">
        <v>1044316</v>
      </c>
      <c r="C8" s="56" t="s">
        <v>12</v>
      </c>
      <c r="D8" s="57">
        <v>1056692</v>
      </c>
    </row>
    <row r="9" spans="2:7" x14ac:dyDescent="0.35">
      <c r="B9" s="56">
        <v>1030002</v>
      </c>
      <c r="C9" s="56" t="s">
        <v>88</v>
      </c>
      <c r="D9" s="57">
        <v>1056631</v>
      </c>
    </row>
    <row r="10" spans="2:7" x14ac:dyDescent="0.35">
      <c r="B10" s="56">
        <v>1029998</v>
      </c>
      <c r="C10" s="56" t="s">
        <v>290</v>
      </c>
      <c r="D10" s="57">
        <v>1056628</v>
      </c>
    </row>
    <row r="11" spans="2:7" x14ac:dyDescent="0.35">
      <c r="B11" s="56">
        <v>1014201</v>
      </c>
      <c r="C11" s="56" t="s">
        <v>365</v>
      </c>
      <c r="D11" s="57">
        <v>1052763</v>
      </c>
    </row>
    <row r="12" spans="2:7" x14ac:dyDescent="0.35">
      <c r="B12" s="56">
        <v>1010207</v>
      </c>
      <c r="C12" s="56" t="s">
        <v>152</v>
      </c>
      <c r="D12" s="57">
        <v>1058427</v>
      </c>
      <c r="E12" s="61"/>
      <c r="F12" s="61"/>
      <c r="G12" s="61"/>
    </row>
    <row r="13" spans="2:7" x14ac:dyDescent="0.35">
      <c r="B13" s="56">
        <v>1044325</v>
      </c>
      <c r="C13" s="56" t="s">
        <v>73</v>
      </c>
      <c r="D13" s="57">
        <v>1057719</v>
      </c>
      <c r="E13" s="61"/>
      <c r="F13" s="61"/>
      <c r="G13" s="61"/>
    </row>
    <row r="14" spans="2:7" x14ac:dyDescent="0.35">
      <c r="B14" s="58">
        <v>1053414</v>
      </c>
      <c r="C14" s="58" t="s">
        <v>197</v>
      </c>
      <c r="D14" s="59" t="e">
        <v>#N/A</v>
      </c>
    </row>
    <row r="15" spans="2:7" x14ac:dyDescent="0.35">
      <c r="B15" s="56">
        <v>1033943</v>
      </c>
      <c r="C15" s="5" t="s">
        <v>44</v>
      </c>
      <c r="D15" s="57">
        <v>1058296</v>
      </c>
    </row>
    <row r="16" spans="2:7" x14ac:dyDescent="0.35">
      <c r="B16" s="56">
        <v>1037762</v>
      </c>
      <c r="C16" s="5" t="s">
        <v>156</v>
      </c>
      <c r="D16" s="57">
        <v>1058894</v>
      </c>
    </row>
    <row r="17" spans="2:4" x14ac:dyDescent="0.35">
      <c r="B17" s="56">
        <v>1042077</v>
      </c>
      <c r="C17" s="5" t="s">
        <v>63</v>
      </c>
      <c r="D17" s="57">
        <v>1057891</v>
      </c>
    </row>
    <row r="18" spans="2:4" x14ac:dyDescent="0.35">
      <c r="B18" s="56">
        <v>1013317</v>
      </c>
      <c r="C18" s="5" t="s">
        <v>151</v>
      </c>
      <c r="D18" s="57">
        <v>1058429</v>
      </c>
    </row>
    <row r="19" spans="2:4" x14ac:dyDescent="0.35">
      <c r="B19" s="56">
        <v>1041969</v>
      </c>
      <c r="C19" s="5" t="s">
        <v>3</v>
      </c>
      <c r="D19" s="57">
        <v>1057482</v>
      </c>
    </row>
    <row r="20" spans="2:4" x14ac:dyDescent="0.35">
      <c r="B20" s="56">
        <v>1041971</v>
      </c>
      <c r="C20" s="5" t="s">
        <v>323</v>
      </c>
      <c r="D20" s="57">
        <v>1057450</v>
      </c>
    </row>
    <row r="21" spans="2:4" x14ac:dyDescent="0.35">
      <c r="B21" s="56">
        <v>1044313</v>
      </c>
      <c r="C21" s="5" t="s">
        <v>65</v>
      </c>
      <c r="D21" s="57">
        <v>1058352</v>
      </c>
    </row>
    <row r="22" spans="2:4" x14ac:dyDescent="0.35">
      <c r="B22" s="56">
        <v>1041972</v>
      </c>
      <c r="C22" s="5" t="s">
        <v>0</v>
      </c>
      <c r="D22" s="57">
        <v>1057451</v>
      </c>
    </row>
    <row r="23" spans="2:4" x14ac:dyDescent="0.35">
      <c r="B23" s="58">
        <v>1044070</v>
      </c>
      <c r="C23" s="58" t="s">
        <v>143</v>
      </c>
      <c r="D23" s="59" t="e">
        <v>#N/A</v>
      </c>
    </row>
    <row r="24" spans="2:4" x14ac:dyDescent="0.35">
      <c r="B24" s="56">
        <v>1050061</v>
      </c>
      <c r="C24" s="5" t="s">
        <v>82</v>
      </c>
      <c r="D24" s="57">
        <v>1058418</v>
      </c>
    </row>
    <row r="25" spans="2:4" x14ac:dyDescent="0.35">
      <c r="B25" s="56">
        <v>1013316</v>
      </c>
      <c r="C25" s="5" t="s">
        <v>153</v>
      </c>
      <c r="D25" s="57">
        <v>1058428</v>
      </c>
    </row>
    <row r="26" spans="2:4" x14ac:dyDescent="0.35">
      <c r="B26" s="56">
        <v>1046964</v>
      </c>
      <c r="C26" s="41" t="s">
        <v>363</v>
      </c>
      <c r="D26" s="57">
        <v>1058351</v>
      </c>
    </row>
    <row r="27" spans="2:4" x14ac:dyDescent="0.35">
      <c r="B27" s="56">
        <v>1046403</v>
      </c>
      <c r="C27" s="41" t="s">
        <v>46</v>
      </c>
      <c r="D27" s="57">
        <v>1059112</v>
      </c>
    </row>
    <row r="28" spans="2:4" x14ac:dyDescent="0.35">
      <c r="B28" s="56">
        <v>1023267</v>
      </c>
      <c r="C28" s="41" t="s">
        <v>126</v>
      </c>
      <c r="D28" s="57">
        <v>1052078</v>
      </c>
    </row>
    <row r="29" spans="2:4" x14ac:dyDescent="0.35">
      <c r="B29" s="60">
        <v>1033030</v>
      </c>
      <c r="C29" s="60" t="s">
        <v>67</v>
      </c>
      <c r="D29" s="59" t="e">
        <v>#N/A</v>
      </c>
    </row>
    <row r="30" spans="2:4" x14ac:dyDescent="0.35">
      <c r="B30" s="60">
        <v>1046842</v>
      </c>
      <c r="C30" s="60" t="s">
        <v>351</v>
      </c>
      <c r="D30" s="59" t="e">
        <v>#N/A</v>
      </c>
    </row>
    <row r="31" spans="2:4" x14ac:dyDescent="0.35">
      <c r="B31" s="60">
        <v>1052998</v>
      </c>
      <c r="C31" s="60" t="s">
        <v>364</v>
      </c>
      <c r="D31" s="59" t="e">
        <v>#N/A</v>
      </c>
    </row>
    <row r="32" spans="2:4" x14ac:dyDescent="0.35">
      <c r="B32" s="60">
        <v>1052747</v>
      </c>
      <c r="C32" s="60" t="s">
        <v>174</v>
      </c>
      <c r="D32" s="59" t="e">
        <v>#N/A</v>
      </c>
    </row>
    <row r="33" spans="2:4" x14ac:dyDescent="0.35">
      <c r="B33" s="60">
        <v>1051958</v>
      </c>
      <c r="C33" s="60" t="s">
        <v>171</v>
      </c>
      <c r="D33" s="59" t="e">
        <v>#N/A</v>
      </c>
    </row>
    <row r="34" spans="2:4" x14ac:dyDescent="0.35">
      <c r="B34" s="60">
        <v>1051959</v>
      </c>
      <c r="C34" s="60" t="s">
        <v>170</v>
      </c>
      <c r="D34" s="59" t="e">
        <v>#N/A</v>
      </c>
    </row>
    <row r="35" spans="2:4" x14ac:dyDescent="0.35">
      <c r="B35" s="60">
        <v>1042488</v>
      </c>
      <c r="C35" s="60" t="s">
        <v>324</v>
      </c>
      <c r="D35" s="59" t="e">
        <v>#N/A</v>
      </c>
    </row>
    <row r="36" spans="2:4" x14ac:dyDescent="0.35">
      <c r="B36" s="60">
        <v>1035685</v>
      </c>
      <c r="C36" s="60" t="s">
        <v>145</v>
      </c>
      <c r="D36" s="59" t="e">
        <v>#N/A</v>
      </c>
    </row>
    <row r="37" spans="2:4" x14ac:dyDescent="0.35">
      <c r="B37" s="5">
        <v>1043953</v>
      </c>
      <c r="C37" s="7" t="s">
        <v>19</v>
      </c>
      <c r="D37" s="62" t="s">
        <v>332</v>
      </c>
    </row>
    <row r="38" spans="2:4" x14ac:dyDescent="0.35">
      <c r="B38" s="5">
        <v>1041905</v>
      </c>
      <c r="C38" s="7" t="s">
        <v>59</v>
      </c>
      <c r="D38" s="62" t="s">
        <v>332</v>
      </c>
    </row>
    <row r="39" spans="2:4" x14ac:dyDescent="0.35">
      <c r="B39" s="5">
        <v>1043942</v>
      </c>
      <c r="C39" s="7" t="s">
        <v>101</v>
      </c>
      <c r="D39" s="62" t="s">
        <v>332</v>
      </c>
    </row>
    <row r="40" spans="2:4" x14ac:dyDescent="0.35">
      <c r="B40" s="5">
        <v>1053415</v>
      </c>
      <c r="C40" s="7" t="s">
        <v>198</v>
      </c>
      <c r="D40" s="62" t="s">
        <v>332</v>
      </c>
    </row>
    <row r="41" spans="2:4" x14ac:dyDescent="0.35">
      <c r="B41" s="5">
        <v>1053414</v>
      </c>
      <c r="C41" s="7" t="s">
        <v>197</v>
      </c>
      <c r="D41" s="62" t="s">
        <v>332</v>
      </c>
    </row>
    <row r="42" spans="2:4" x14ac:dyDescent="0.35">
      <c r="B42" s="5">
        <v>1044070</v>
      </c>
      <c r="C42" s="7" t="s">
        <v>143</v>
      </c>
      <c r="D42" s="62" t="s">
        <v>332</v>
      </c>
    </row>
    <row r="43" spans="2:4" x14ac:dyDescent="0.35">
      <c r="B43" s="41">
        <v>1033030</v>
      </c>
      <c r="C43" s="42" t="s">
        <v>67</v>
      </c>
      <c r="D43" s="62" t="s">
        <v>332</v>
      </c>
    </row>
    <row r="44" spans="2:4" x14ac:dyDescent="0.35">
      <c r="B44" s="41">
        <v>1046842</v>
      </c>
      <c r="C44" s="42" t="s">
        <v>351</v>
      </c>
      <c r="D44" s="62" t="s">
        <v>332</v>
      </c>
    </row>
    <row r="45" spans="2:4" x14ac:dyDescent="0.35">
      <c r="B45" s="41">
        <v>1052998</v>
      </c>
      <c r="C45" s="42" t="s">
        <v>364</v>
      </c>
      <c r="D45" s="62" t="s">
        <v>332</v>
      </c>
    </row>
    <row r="46" spans="2:4" x14ac:dyDescent="0.35">
      <c r="B46" s="41">
        <v>1036334</v>
      </c>
      <c r="C46" s="42" t="s">
        <v>282</v>
      </c>
      <c r="D46" s="62" t="s">
        <v>332</v>
      </c>
    </row>
    <row r="47" spans="2:4" x14ac:dyDescent="0.35">
      <c r="B47" s="41">
        <v>1024141</v>
      </c>
      <c r="C47" s="42" t="s">
        <v>159</v>
      </c>
      <c r="D47" s="62" t="s">
        <v>332</v>
      </c>
    </row>
    <row r="48" spans="2:4" x14ac:dyDescent="0.35">
      <c r="B48" s="41">
        <v>1033041</v>
      </c>
      <c r="C48" s="42" t="s">
        <v>178</v>
      </c>
      <c r="D48" s="62" t="s">
        <v>332</v>
      </c>
    </row>
    <row r="49" spans="2:4" x14ac:dyDescent="0.35">
      <c r="B49" s="41">
        <v>1035685</v>
      </c>
      <c r="C49" s="42" t="s">
        <v>145</v>
      </c>
      <c r="D49" s="62" t="s">
        <v>332</v>
      </c>
    </row>
    <row r="50" spans="2:4" x14ac:dyDescent="0.35">
      <c r="B50" s="49">
        <v>1034576</v>
      </c>
      <c r="C50" s="50" t="s">
        <v>383</v>
      </c>
      <c r="D50" s="62" t="s">
        <v>332</v>
      </c>
    </row>
    <row r="51" spans="2:4" x14ac:dyDescent="0.35">
      <c r="B51" s="5">
        <v>1047908</v>
      </c>
      <c r="C51" s="7" t="s">
        <v>58</v>
      </c>
      <c r="D51" s="62" t="s">
        <v>334</v>
      </c>
    </row>
    <row r="52" spans="2:4" x14ac:dyDescent="0.35">
      <c r="B52" s="5">
        <v>1058230</v>
      </c>
      <c r="C52" s="7" t="s">
        <v>231</v>
      </c>
      <c r="D52" s="62" t="s">
        <v>333</v>
      </c>
    </row>
    <row r="53" spans="2:4" x14ac:dyDescent="0.35">
      <c r="B53" s="41">
        <v>1052747</v>
      </c>
      <c r="C53" s="42" t="s">
        <v>174</v>
      </c>
      <c r="D53" s="62" t="s">
        <v>366</v>
      </c>
    </row>
    <row r="54" spans="2:4" x14ac:dyDescent="0.35">
      <c r="B54" s="41">
        <v>1057512</v>
      </c>
      <c r="C54" s="42" t="s">
        <v>221</v>
      </c>
      <c r="D54" s="62" t="s">
        <v>367</v>
      </c>
    </row>
    <row r="55" spans="2:4" x14ac:dyDescent="0.35">
      <c r="B55" s="41">
        <v>1048788</v>
      </c>
      <c r="C55" s="42" t="s">
        <v>160</v>
      </c>
      <c r="D55" s="62" t="s">
        <v>368</v>
      </c>
    </row>
    <row r="56" spans="2:4" x14ac:dyDescent="0.35">
      <c r="B56" s="41">
        <v>1051958</v>
      </c>
      <c r="C56" s="42" t="s">
        <v>171</v>
      </c>
      <c r="D56" s="62" t="s">
        <v>369</v>
      </c>
    </row>
    <row r="57" spans="2:4" x14ac:dyDescent="0.35">
      <c r="B57" s="41">
        <v>1051959</v>
      </c>
      <c r="C57" s="42" t="s">
        <v>170</v>
      </c>
      <c r="D57" s="62" t="s">
        <v>369</v>
      </c>
    </row>
    <row r="58" spans="2:4" x14ac:dyDescent="0.35">
      <c r="B58" s="41">
        <v>1042488</v>
      </c>
      <c r="C58" s="42" t="s">
        <v>324</v>
      </c>
      <c r="D58" s="62" t="s">
        <v>369</v>
      </c>
    </row>
    <row r="59" spans="2:4" x14ac:dyDescent="0.35">
      <c r="B59" s="41">
        <v>1057764</v>
      </c>
      <c r="C59" s="42" t="s">
        <v>244</v>
      </c>
      <c r="D59" s="62" t="s">
        <v>370</v>
      </c>
    </row>
    <row r="60" spans="2:4" x14ac:dyDescent="0.35">
      <c r="B60" s="41">
        <v>1054935</v>
      </c>
      <c r="C60" s="42" t="s">
        <v>207</v>
      </c>
      <c r="D60" s="62" t="s">
        <v>1</v>
      </c>
    </row>
    <row r="61" spans="2:4" x14ac:dyDescent="0.35">
      <c r="B61" s="41">
        <v>1056307</v>
      </c>
      <c r="C61" s="42" t="s">
        <v>214</v>
      </c>
      <c r="D61" s="62" t="s">
        <v>1</v>
      </c>
    </row>
    <row r="62" spans="2:4" x14ac:dyDescent="0.35">
      <c r="B62" s="41">
        <v>1054925</v>
      </c>
      <c r="C62" s="42" t="s">
        <v>205</v>
      </c>
      <c r="D62" s="62" t="s">
        <v>1</v>
      </c>
    </row>
    <row r="63" spans="2:4" x14ac:dyDescent="0.35">
      <c r="B63" s="41">
        <v>1053200</v>
      </c>
      <c r="C63" s="42" t="s">
        <v>263</v>
      </c>
      <c r="D63" s="62" t="s">
        <v>371</v>
      </c>
    </row>
    <row r="64" spans="2:4" x14ac:dyDescent="0.35">
      <c r="B64" s="41">
        <v>1053201</v>
      </c>
      <c r="C64" s="42" t="s">
        <v>264</v>
      </c>
      <c r="D64" s="62" t="s">
        <v>371</v>
      </c>
    </row>
    <row r="65" spans="2:4" x14ac:dyDescent="0.35">
      <c r="B65" s="41">
        <v>1058231</v>
      </c>
      <c r="C65" s="42" t="s">
        <v>267</v>
      </c>
      <c r="D65" s="62" t="s">
        <v>1</v>
      </c>
    </row>
    <row r="66" spans="2:4" x14ac:dyDescent="0.35">
      <c r="B66" s="41">
        <v>1051439</v>
      </c>
      <c r="C66" s="42" t="s">
        <v>165</v>
      </c>
      <c r="D66" s="62" t="s">
        <v>1</v>
      </c>
    </row>
    <row r="67" spans="2:4" x14ac:dyDescent="0.35">
      <c r="B67" s="41">
        <v>1011250</v>
      </c>
      <c r="C67" s="42" t="s">
        <v>360</v>
      </c>
      <c r="D67" s="62" t="s">
        <v>1</v>
      </c>
    </row>
    <row r="68" spans="2:4" x14ac:dyDescent="0.35">
      <c r="B68" s="49">
        <v>1013035</v>
      </c>
      <c r="C68" s="50" t="s">
        <v>375</v>
      </c>
      <c r="D68" s="62" t="s">
        <v>1</v>
      </c>
    </row>
    <row r="69" spans="2:4" x14ac:dyDescent="0.35">
      <c r="B69" s="49">
        <v>1019759</v>
      </c>
      <c r="C69" s="50" t="s">
        <v>376</v>
      </c>
      <c r="D69" s="62" t="s">
        <v>1</v>
      </c>
    </row>
    <row r="70" spans="2:4" x14ac:dyDescent="0.35">
      <c r="B70" s="49">
        <v>1023265</v>
      </c>
      <c r="C70" s="50" t="s">
        <v>377</v>
      </c>
      <c r="D70" s="62" t="s">
        <v>1</v>
      </c>
    </row>
    <row r="71" spans="2:4" x14ac:dyDescent="0.35">
      <c r="B71" s="41">
        <v>1027884</v>
      </c>
      <c r="C71" s="42" t="s">
        <v>379</v>
      </c>
      <c r="D71" s="62" t="s">
        <v>1</v>
      </c>
    </row>
    <row r="72" spans="2:4" x14ac:dyDescent="0.35">
      <c r="B72" s="41">
        <v>1028209</v>
      </c>
      <c r="C72" s="42" t="s">
        <v>380</v>
      </c>
      <c r="D72" s="62" t="s">
        <v>1</v>
      </c>
    </row>
    <row r="73" spans="2:4" x14ac:dyDescent="0.35">
      <c r="B73" s="49">
        <v>1028715</v>
      </c>
      <c r="C73" s="50" t="s">
        <v>200</v>
      </c>
      <c r="D73" s="62" t="s">
        <v>1</v>
      </c>
    </row>
    <row r="74" spans="2:4" x14ac:dyDescent="0.35">
      <c r="B74" s="49">
        <v>1031501</v>
      </c>
      <c r="C74" s="50" t="s">
        <v>381</v>
      </c>
      <c r="D74" s="62" t="s">
        <v>1</v>
      </c>
    </row>
    <row r="75" spans="2:4" x14ac:dyDescent="0.35">
      <c r="B75" s="49">
        <v>1036960</v>
      </c>
      <c r="C75" s="50" t="s">
        <v>385</v>
      </c>
      <c r="D75" s="62" t="s">
        <v>1</v>
      </c>
    </row>
    <row r="76" spans="2:4" x14ac:dyDescent="0.35">
      <c r="B76" s="49">
        <v>1038668</v>
      </c>
      <c r="C76" s="50" t="s">
        <v>386</v>
      </c>
      <c r="D76" s="62" t="s">
        <v>1</v>
      </c>
    </row>
    <row r="77" spans="2:4" x14ac:dyDescent="0.35">
      <c r="B77" s="51">
        <v>1042078</v>
      </c>
      <c r="C77" s="52" t="s">
        <v>388</v>
      </c>
      <c r="D77" s="62" t="s">
        <v>1</v>
      </c>
    </row>
    <row r="78" spans="2:4" x14ac:dyDescent="0.35">
      <c r="B78" s="54">
        <v>1059822</v>
      </c>
      <c r="C78" s="53" t="s">
        <v>391</v>
      </c>
      <c r="D78" s="62" t="s">
        <v>1</v>
      </c>
    </row>
    <row r="79" spans="2:4" x14ac:dyDescent="0.35">
      <c r="B79" s="49">
        <v>1014201</v>
      </c>
      <c r="C79" s="50" t="s">
        <v>365</v>
      </c>
      <c r="D79" s="62" t="s">
        <v>1</v>
      </c>
    </row>
    <row r="80" spans="2:4" x14ac:dyDescent="0.35">
      <c r="B80" s="49">
        <v>1023267</v>
      </c>
      <c r="C80" s="50" t="s">
        <v>378</v>
      </c>
      <c r="D80" s="62" t="s">
        <v>1</v>
      </c>
    </row>
    <row r="81" spans="2:4" x14ac:dyDescent="0.35">
      <c r="B81" s="49">
        <v>1030002</v>
      </c>
      <c r="C81" s="50" t="s">
        <v>373</v>
      </c>
      <c r="D81" s="62" t="s">
        <v>1</v>
      </c>
    </row>
    <row r="82" spans="2:4" x14ac:dyDescent="0.35">
      <c r="B82" s="49">
        <v>1033943</v>
      </c>
      <c r="C82" s="50" t="s">
        <v>382</v>
      </c>
      <c r="D82" s="62" t="s">
        <v>1</v>
      </c>
    </row>
    <row r="83" spans="2:4" x14ac:dyDescent="0.35">
      <c r="B83" s="49">
        <v>1036068</v>
      </c>
      <c r="C83" s="50" t="s">
        <v>384</v>
      </c>
      <c r="D83" s="62" t="s">
        <v>1</v>
      </c>
    </row>
    <row r="84" spans="2:4" x14ac:dyDescent="0.35">
      <c r="B84" s="49">
        <v>1041969</v>
      </c>
      <c r="C84" s="50" t="s">
        <v>387</v>
      </c>
      <c r="D84" s="62" t="s">
        <v>1</v>
      </c>
    </row>
    <row r="85" spans="2:4" x14ac:dyDescent="0.35">
      <c r="B85" s="41">
        <v>1044312</v>
      </c>
      <c r="C85" s="42" t="s">
        <v>98</v>
      </c>
      <c r="D85" s="62" t="s">
        <v>1</v>
      </c>
    </row>
    <row r="86" spans="2:4" x14ac:dyDescent="0.35">
      <c r="B86" s="41">
        <v>1044316</v>
      </c>
      <c r="C86" s="42" t="s">
        <v>12</v>
      </c>
      <c r="D86" s="62" t="s">
        <v>1</v>
      </c>
    </row>
    <row r="87" spans="2:4" x14ac:dyDescent="0.35">
      <c r="B87" s="49">
        <v>1044325</v>
      </c>
      <c r="C87" s="50" t="s">
        <v>73</v>
      </c>
      <c r="D87" s="62" t="s">
        <v>1</v>
      </c>
    </row>
    <row r="88" spans="2:4" x14ac:dyDescent="0.35">
      <c r="B88" s="49">
        <v>1046403</v>
      </c>
      <c r="C88" s="50" t="s">
        <v>46</v>
      </c>
      <c r="D88" s="62" t="s">
        <v>1</v>
      </c>
    </row>
    <row r="89" spans="2:4" x14ac:dyDescent="0.35">
      <c r="B89" s="49">
        <v>1050061</v>
      </c>
      <c r="C89" s="50" t="s">
        <v>82</v>
      </c>
      <c r="D89" s="62" t="s">
        <v>1</v>
      </c>
    </row>
    <row r="90" spans="2:4" x14ac:dyDescent="0.35">
      <c r="B90" s="49">
        <v>1050149</v>
      </c>
      <c r="C90" s="50" t="s">
        <v>164</v>
      </c>
      <c r="D90" s="88">
        <v>1061343</v>
      </c>
    </row>
    <row r="91" spans="2:4" x14ac:dyDescent="0.35">
      <c r="B91" s="49">
        <v>1050147</v>
      </c>
      <c r="C91" s="50" t="s">
        <v>163</v>
      </c>
      <c r="D91" s="88">
        <v>1061341</v>
      </c>
    </row>
    <row r="92" spans="2:4" x14ac:dyDescent="0.35">
      <c r="B92" s="49">
        <v>1021931</v>
      </c>
      <c r="C92" s="90" t="s">
        <v>91</v>
      </c>
      <c r="D92" s="88">
        <v>1060791</v>
      </c>
    </row>
    <row r="93" spans="2:4" x14ac:dyDescent="0.35">
      <c r="B93" s="49">
        <v>1029958</v>
      </c>
      <c r="C93" s="90" t="s">
        <v>49</v>
      </c>
      <c r="D93" s="88">
        <v>1060800</v>
      </c>
    </row>
    <row r="94" spans="2:4" x14ac:dyDescent="0.35">
      <c r="B94" s="49">
        <v>1034162</v>
      </c>
      <c r="C94" s="90" t="s">
        <v>105</v>
      </c>
      <c r="D94" s="88">
        <v>1060794</v>
      </c>
    </row>
    <row r="95" spans="2:4" x14ac:dyDescent="0.35">
      <c r="B95" s="49">
        <v>1034164</v>
      </c>
      <c r="C95" s="90" t="s">
        <v>83</v>
      </c>
      <c r="D95" s="88">
        <v>1060796</v>
      </c>
    </row>
    <row r="96" spans="2:4" x14ac:dyDescent="0.35">
      <c r="B96" s="49">
        <v>1034163</v>
      </c>
      <c r="C96" s="90" t="s">
        <v>111</v>
      </c>
      <c r="D96" s="88">
        <v>1060795</v>
      </c>
    </row>
    <row r="97" spans="2:4" x14ac:dyDescent="0.35">
      <c r="B97" s="49">
        <v>1020912</v>
      </c>
      <c r="C97" s="50" t="s">
        <v>71</v>
      </c>
      <c r="D97" s="88">
        <v>1060742</v>
      </c>
    </row>
    <row r="98" spans="2:4" x14ac:dyDescent="0.35">
      <c r="B98" s="49">
        <v>1034195</v>
      </c>
      <c r="C98" s="90" t="s">
        <v>109</v>
      </c>
      <c r="D98" s="88">
        <v>1060799</v>
      </c>
    </row>
    <row r="99" spans="2:4" x14ac:dyDescent="0.35">
      <c r="B99" s="49">
        <v>1021934</v>
      </c>
      <c r="C99" s="90" t="s">
        <v>60</v>
      </c>
      <c r="D99" s="88">
        <v>1060792</v>
      </c>
    </row>
    <row r="100" spans="2:4" x14ac:dyDescent="0.35">
      <c r="B100" s="49">
        <v>1034166</v>
      </c>
      <c r="C100" s="90" t="s">
        <v>104</v>
      </c>
      <c r="D100" s="88">
        <v>1060798</v>
      </c>
    </row>
    <row r="101" spans="2:4" x14ac:dyDescent="0.35">
      <c r="B101" s="49">
        <v>1049995</v>
      </c>
      <c r="C101" s="50" t="s">
        <v>182</v>
      </c>
      <c r="D101" s="88">
        <v>1061340</v>
      </c>
    </row>
    <row r="102" spans="2:4" x14ac:dyDescent="0.35">
      <c r="B102" s="49">
        <v>1029959</v>
      </c>
      <c r="C102" s="90" t="s">
        <v>66</v>
      </c>
      <c r="D102" s="88">
        <v>1060793</v>
      </c>
    </row>
    <row r="103" spans="2:4" x14ac:dyDescent="0.35">
      <c r="B103" s="49">
        <v>1034165</v>
      </c>
      <c r="C103" s="90" t="s">
        <v>86</v>
      </c>
      <c r="D103" s="88">
        <v>1060797</v>
      </c>
    </row>
    <row r="104" spans="2:4" x14ac:dyDescent="0.35">
      <c r="B104" s="49">
        <v>1033370</v>
      </c>
      <c r="C104" s="50" t="s">
        <v>64</v>
      </c>
      <c r="D104" s="88">
        <v>1060662</v>
      </c>
    </row>
    <row r="105" spans="2:4" x14ac:dyDescent="0.35">
      <c r="B105" s="49">
        <v>1049993</v>
      </c>
      <c r="C105" s="50" t="s">
        <v>181</v>
      </c>
      <c r="D105" s="88">
        <v>1061338</v>
      </c>
    </row>
    <row r="106" spans="2:4" x14ac:dyDescent="0.35">
      <c r="B106" s="56">
        <v>1062009</v>
      </c>
      <c r="C106" s="65" t="s">
        <v>344</v>
      </c>
      <c r="D106" s="1" t="s">
        <v>447</v>
      </c>
    </row>
  </sheetData>
  <conditionalFormatting sqref="B2">
    <cfRule type="duplicateValues" dxfId="125" priority="2"/>
  </conditionalFormatting>
  <conditionalFormatting sqref="D2">
    <cfRule type="duplicateValues" dxfId="124" priority="1"/>
  </conditionalFormatting>
  <pageMargins left="0.7" right="0.7" top="0.75" bottom="0.75" header="0.3" footer="0.3"/>
  <pageSetup orientation="portrait" horizontalDpi="300" verticalDpi="0" copies="0" r:id="rId1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>
    <tabColor rgb="FF00B050"/>
  </sheetPr>
  <dimension ref="A1:BJ549"/>
  <sheetViews>
    <sheetView showGridLines="0" tabSelected="1" zoomScale="85" zoomScaleNormal="85" workbookViewId="0">
      <selection activeCell="G4" sqref="G4"/>
    </sheetView>
  </sheetViews>
  <sheetFormatPr baseColWidth="10" defaultColWidth="11.453125" defaultRowHeight="13" outlineLevelCol="1" x14ac:dyDescent="0.35"/>
  <cols>
    <col min="1" max="1" width="2" style="3" customWidth="1"/>
    <col min="2" max="2" width="15" style="2" customWidth="1"/>
    <col min="3" max="3" width="11.453125" style="2" customWidth="1"/>
    <col min="4" max="4" width="28.453125" style="2" bestFit="1" customWidth="1"/>
    <col min="5" max="5" width="22.7265625" style="2" customWidth="1"/>
    <col min="6" max="6" width="15.453125" style="2" bestFit="1" customWidth="1"/>
    <col min="7" max="7" width="57.81640625" style="3" customWidth="1"/>
    <col min="8" max="8" width="19.7265625" style="2" customWidth="1"/>
    <col min="9" max="9" width="13.54296875" style="2" customWidth="1"/>
    <col min="10" max="11" width="11.453125" style="2" customWidth="1"/>
    <col min="12" max="12" width="13.1796875" style="3" customWidth="1"/>
    <col min="13" max="13" width="13.1796875" style="3" bestFit="1" customWidth="1"/>
    <col min="14" max="14" width="16.26953125" style="3" customWidth="1"/>
    <col min="15" max="15" width="16.1796875" style="2" customWidth="1"/>
    <col min="16" max="16" width="13.26953125" style="2" customWidth="1"/>
    <col min="17" max="17" width="15.1796875" style="2" customWidth="1"/>
    <col min="18" max="18" width="10.7265625" style="2" customWidth="1"/>
    <col min="19" max="19" width="11.453125" style="2" customWidth="1"/>
    <col min="20" max="20" width="11.1796875" style="2" customWidth="1"/>
    <col min="21" max="21" width="11.453125" style="2" customWidth="1"/>
    <col min="22" max="22" width="13.1796875" style="2" customWidth="1"/>
    <col min="23" max="23" width="12" style="3" customWidth="1"/>
    <col min="24" max="24" width="13.54296875" style="2" customWidth="1"/>
    <col min="25" max="25" width="12.54296875" style="3" customWidth="1"/>
    <col min="26" max="26" width="10.7265625" style="3" customWidth="1"/>
    <col min="27" max="27" width="14.453125" style="3" bestFit="1" customWidth="1"/>
    <col min="28" max="28" width="10.7265625" style="3" customWidth="1"/>
    <col min="29" max="46" width="9.81640625" style="3" hidden="1" customWidth="1" outlineLevel="1"/>
    <col min="47" max="47" width="10.81640625" style="3" hidden="1" customWidth="1" outlineLevel="1"/>
    <col min="48" max="48" width="11.54296875" style="3" hidden="1" customWidth="1" outlineLevel="1"/>
    <col min="49" max="59" width="9.81640625" style="3" hidden="1" customWidth="1" outlineLevel="1"/>
    <col min="60" max="60" width="8.1796875" style="3" hidden="1" customWidth="1" outlineLevel="1"/>
    <col min="61" max="61" width="20.54296875" style="3" bestFit="1" customWidth="1" collapsed="1"/>
    <col min="62" max="62" width="95.1796875" style="3" customWidth="1"/>
    <col min="63" max="16384" width="11.453125" style="3"/>
  </cols>
  <sheetData>
    <row r="1" spans="1:62" ht="13.5" thickBot="1" x14ac:dyDescent="0.4">
      <c r="A1" s="108"/>
      <c r="B1" s="44"/>
      <c r="C1" s="21"/>
      <c r="D1" s="21"/>
      <c r="E1" s="21"/>
      <c r="F1" s="21"/>
      <c r="G1" s="45"/>
    </row>
    <row r="2" spans="1:62" ht="12.75" customHeight="1" x14ac:dyDescent="0.35">
      <c r="A2" s="108"/>
      <c r="B2" s="195" t="s">
        <v>341</v>
      </c>
      <c r="C2" s="196"/>
      <c r="D2" s="196"/>
      <c r="E2" s="196"/>
      <c r="F2" s="196"/>
      <c r="G2" s="199">
        <v>46169</v>
      </c>
    </row>
    <row r="3" spans="1:62" ht="13.5" customHeight="1" thickBot="1" x14ac:dyDescent="0.4">
      <c r="A3" s="108"/>
      <c r="B3" s="197"/>
      <c r="C3" s="198"/>
      <c r="D3" s="198"/>
      <c r="E3" s="198"/>
      <c r="F3" s="198"/>
      <c r="G3" s="200"/>
    </row>
    <row r="4" spans="1:62" x14ac:dyDescent="0.35">
      <c r="A4" s="108"/>
      <c r="H4" s="43"/>
      <c r="I4" s="43"/>
    </row>
    <row r="5" spans="1:62" x14ac:dyDescent="0.35">
      <c r="A5" s="108"/>
      <c r="G5" s="2"/>
    </row>
    <row r="6" spans="1:62" ht="13.5" thickBot="1" x14ac:dyDescent="0.4">
      <c r="A6" s="108"/>
    </row>
    <row r="7" spans="1:62" x14ac:dyDescent="0.35">
      <c r="A7" s="108"/>
      <c r="H7" s="4" t="s">
        <v>340</v>
      </c>
    </row>
    <row r="8" spans="1:62" ht="13.5" thickBot="1" x14ac:dyDescent="0.4">
      <c r="A8" s="108"/>
      <c r="D8" s="98" t="s">
        <v>490</v>
      </c>
      <c r="H8" s="106">
        <v>45.833333333333329</v>
      </c>
    </row>
    <row r="9" spans="1:62" ht="13.5" thickBot="1" x14ac:dyDescent="0.4">
      <c r="A9" s="108"/>
      <c r="D9" s="115" t="s">
        <v>785</v>
      </c>
      <c r="H9" s="102"/>
      <c r="N9" s="113"/>
    </row>
    <row r="10" spans="1:62" x14ac:dyDescent="0.35">
      <c r="A10" s="108"/>
      <c r="D10" s="21" t="s">
        <v>491</v>
      </c>
      <c r="G10" s="9" t="s">
        <v>335</v>
      </c>
      <c r="H10" s="103">
        <v>25024780.236279801</v>
      </c>
    </row>
    <row r="11" spans="1:62" x14ac:dyDescent="0.35">
      <c r="A11" s="108"/>
      <c r="D11" s="101" t="s">
        <v>494</v>
      </c>
      <c r="G11" s="10" t="s">
        <v>336</v>
      </c>
      <c r="H11" s="104">
        <v>11668595.730000019</v>
      </c>
      <c r="Q11" s="26"/>
    </row>
    <row r="12" spans="1:62" x14ac:dyDescent="0.35">
      <c r="A12" s="108"/>
      <c r="D12" s="96" t="s">
        <v>492</v>
      </c>
      <c r="G12" s="10" t="s">
        <v>337</v>
      </c>
      <c r="H12" s="104">
        <v>-3464480.7599999979</v>
      </c>
      <c r="L12" s="2"/>
      <c r="M12" s="2"/>
      <c r="N12" s="2"/>
      <c r="W12" s="2"/>
      <c r="Y12" s="2"/>
      <c r="Z12" s="2"/>
      <c r="AA12" s="2"/>
      <c r="AB12" s="2"/>
    </row>
    <row r="13" spans="1:62" x14ac:dyDescent="0.35">
      <c r="A13" s="108"/>
      <c r="D13" s="100" t="s">
        <v>493</v>
      </c>
      <c r="G13" s="11" t="s">
        <v>338</v>
      </c>
      <c r="H13" s="105">
        <v>8204114.9700000202</v>
      </c>
      <c r="BJ13" s="118"/>
    </row>
    <row r="14" spans="1:62" ht="13.5" thickBot="1" x14ac:dyDescent="0.4">
      <c r="A14" s="108"/>
      <c r="D14" s="99" t="s">
        <v>495</v>
      </c>
      <c r="G14" s="12" t="s">
        <v>339</v>
      </c>
      <c r="H14" s="38">
        <v>0.32783964104931734</v>
      </c>
      <c r="I14" s="91"/>
      <c r="L14" s="2"/>
      <c r="M14" s="111"/>
      <c r="P14" s="21"/>
      <c r="Q14" s="21"/>
      <c r="R14" s="21"/>
      <c r="S14" s="21"/>
      <c r="T14" s="21"/>
      <c r="U14" s="21"/>
      <c r="V14" s="21"/>
      <c r="W14" s="20"/>
      <c r="X14" s="20"/>
    </row>
    <row r="15" spans="1:62" ht="13.5" thickBot="1" x14ac:dyDescent="0.4">
      <c r="A15" s="108"/>
      <c r="D15" s="97" t="s">
        <v>496</v>
      </c>
      <c r="G15" s="13"/>
      <c r="H15" s="20"/>
      <c r="I15" s="20"/>
      <c r="J15" s="20"/>
      <c r="K15" s="20"/>
      <c r="L15" s="20"/>
      <c r="M15" s="20"/>
      <c r="N15" s="20"/>
      <c r="O15" s="46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</row>
    <row r="16" spans="1:62" ht="13.5" thickBot="1" x14ac:dyDescent="0.4">
      <c r="A16" s="108"/>
      <c r="D16" s="110" t="s">
        <v>534</v>
      </c>
      <c r="G16" s="93" t="s">
        <v>455</v>
      </c>
      <c r="H16" s="94">
        <v>857730.89911504323</v>
      </c>
      <c r="I16" s="16"/>
      <c r="J16" s="16"/>
      <c r="K16" s="16"/>
      <c r="L16" s="111"/>
      <c r="M16" s="19"/>
      <c r="N16" s="19"/>
      <c r="O16" s="3"/>
      <c r="X16" s="24"/>
      <c r="Y16" s="24"/>
      <c r="Z16" s="22"/>
      <c r="AA16" s="22"/>
      <c r="AB16" s="22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</row>
    <row r="17" spans="1:62" ht="30" customHeight="1" x14ac:dyDescent="0.35">
      <c r="A17" s="108"/>
      <c r="B17" s="6"/>
      <c r="C17" s="6"/>
      <c r="D17" s="6"/>
      <c r="E17" s="6"/>
      <c r="F17" s="5"/>
      <c r="G17"/>
      <c r="H17" s="107"/>
      <c r="I17" s="16"/>
      <c r="J17" s="16"/>
      <c r="K17" s="16"/>
      <c r="L17" s="17"/>
      <c r="M17" s="17"/>
      <c r="N17" s="89"/>
      <c r="O17" s="18"/>
      <c r="Q17" s="201" t="s">
        <v>342</v>
      </c>
      <c r="R17" s="202"/>
      <c r="S17" s="203"/>
      <c r="T17" s="201" t="s">
        <v>497</v>
      </c>
      <c r="U17" s="202"/>
      <c r="V17" s="202"/>
      <c r="W17" s="202"/>
      <c r="X17" s="25"/>
      <c r="Y17" s="25"/>
      <c r="Z17" s="23"/>
      <c r="AA17" s="23"/>
      <c r="AB17" s="23"/>
      <c r="AC17" s="194" t="s">
        <v>331</v>
      </c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194"/>
      <c r="BF17" s="194"/>
      <c r="BG17" s="194"/>
      <c r="BH17" s="6"/>
    </row>
    <row r="18" spans="1:62" ht="91" x14ac:dyDescent="0.35">
      <c r="A18" s="108"/>
      <c r="B18" s="30" t="s">
        <v>273</v>
      </c>
      <c r="C18" s="31" t="s">
        <v>500</v>
      </c>
      <c r="D18" s="31" t="s">
        <v>393</v>
      </c>
      <c r="E18" s="31" t="s">
        <v>413</v>
      </c>
      <c r="F18" s="32" t="s">
        <v>271</v>
      </c>
      <c r="G18" s="32" t="s">
        <v>272</v>
      </c>
      <c r="H18" s="40" t="s">
        <v>794</v>
      </c>
      <c r="I18" s="40" t="s">
        <v>452</v>
      </c>
      <c r="J18" s="33" t="s">
        <v>504</v>
      </c>
      <c r="K18" s="33" t="s">
        <v>791</v>
      </c>
      <c r="L18" s="33" t="s">
        <v>453</v>
      </c>
      <c r="M18" s="34" t="s">
        <v>793</v>
      </c>
      <c r="N18" s="92" t="s">
        <v>454</v>
      </c>
      <c r="O18" s="39" t="s">
        <v>587</v>
      </c>
      <c r="P18" s="39" t="s">
        <v>275</v>
      </c>
      <c r="Q18" s="27" t="s">
        <v>325</v>
      </c>
      <c r="R18" s="28" t="s">
        <v>326</v>
      </c>
      <c r="S18" s="29" t="s">
        <v>792</v>
      </c>
      <c r="T18" s="35" t="s">
        <v>327</v>
      </c>
      <c r="U18" s="35" t="s">
        <v>328</v>
      </c>
      <c r="V18" s="35" t="s">
        <v>329</v>
      </c>
      <c r="W18" s="35" t="s">
        <v>330</v>
      </c>
      <c r="X18" s="36" t="s">
        <v>276</v>
      </c>
      <c r="Y18" s="36" t="s">
        <v>277</v>
      </c>
      <c r="Z18" s="36" t="s">
        <v>278</v>
      </c>
      <c r="AA18" s="36" t="s">
        <v>698</v>
      </c>
      <c r="AB18" s="36" t="s">
        <v>697</v>
      </c>
      <c r="AC18" s="36" t="s">
        <v>279</v>
      </c>
      <c r="AD18" s="95" t="s">
        <v>458</v>
      </c>
      <c r="AE18" s="95" t="s">
        <v>459</v>
      </c>
      <c r="AF18" s="95" t="s">
        <v>460</v>
      </c>
      <c r="AG18" s="95" t="s">
        <v>461</v>
      </c>
      <c r="AH18" s="95" t="s">
        <v>462</v>
      </c>
      <c r="AI18" s="95" t="s">
        <v>463</v>
      </c>
      <c r="AJ18" s="95" t="s">
        <v>464</v>
      </c>
      <c r="AK18" s="95" t="s">
        <v>465</v>
      </c>
      <c r="AL18" s="95" t="s">
        <v>466</v>
      </c>
      <c r="AM18" s="95" t="s">
        <v>467</v>
      </c>
      <c r="AN18" s="95" t="s">
        <v>468</v>
      </c>
      <c r="AO18" s="95" t="s">
        <v>469</v>
      </c>
      <c r="AP18" s="95" t="s">
        <v>470</v>
      </c>
      <c r="AQ18" s="95" t="s">
        <v>471</v>
      </c>
      <c r="AR18" s="95" t="s">
        <v>472</v>
      </c>
      <c r="AS18" s="95" t="s">
        <v>473</v>
      </c>
      <c r="AT18" s="95" t="s">
        <v>474</v>
      </c>
      <c r="AU18" s="95" t="s">
        <v>475</v>
      </c>
      <c r="AV18" s="95" t="s">
        <v>476</v>
      </c>
      <c r="AW18" s="95" t="s">
        <v>477</v>
      </c>
      <c r="AX18" s="95" t="s">
        <v>478</v>
      </c>
      <c r="AY18" s="95" t="s">
        <v>479</v>
      </c>
      <c r="AZ18" s="95" t="s">
        <v>480</v>
      </c>
      <c r="BA18" s="95" t="s">
        <v>481</v>
      </c>
      <c r="BB18" s="95" t="s">
        <v>482</v>
      </c>
      <c r="BC18" s="95" t="s">
        <v>483</v>
      </c>
      <c r="BD18" s="95" t="s">
        <v>484</v>
      </c>
      <c r="BE18" s="95" t="s">
        <v>485</v>
      </c>
      <c r="BF18" s="95" t="s">
        <v>486</v>
      </c>
      <c r="BG18" s="95" t="s">
        <v>487</v>
      </c>
      <c r="BH18" s="95" t="s">
        <v>488</v>
      </c>
      <c r="BI18" s="31" t="s">
        <v>597</v>
      </c>
      <c r="BJ18" s="114" t="s">
        <v>274</v>
      </c>
    </row>
    <row r="19" spans="1:62" ht="12.75" customHeight="1" x14ac:dyDescent="0.35">
      <c r="A19" s="108"/>
      <c r="B19" s="126" t="s">
        <v>148</v>
      </c>
      <c r="C19" s="5" t="s">
        <v>5</v>
      </c>
      <c r="D19" s="5" t="s">
        <v>318</v>
      </c>
      <c r="E19" s="5" t="s">
        <v>307</v>
      </c>
      <c r="F19" s="132">
        <v>1072129</v>
      </c>
      <c r="G19" s="133" t="s">
        <v>603</v>
      </c>
      <c r="H19" s="139">
        <v>3000</v>
      </c>
      <c r="I19" s="139">
        <v>1500</v>
      </c>
      <c r="J19" s="125">
        <v>0</v>
      </c>
      <c r="K19" s="125">
        <v>0</v>
      </c>
      <c r="L19" s="130">
        <v>0</v>
      </c>
      <c r="M19" s="123">
        <v>0</v>
      </c>
      <c r="N19" s="130">
        <v>1500</v>
      </c>
      <c r="O19" s="130">
        <v>0</v>
      </c>
      <c r="P19" s="123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125">
        <v>3000</v>
      </c>
      <c r="Y19" s="125">
        <v>0</v>
      </c>
      <c r="Z19" s="125">
        <v>3000</v>
      </c>
      <c r="AA19" s="112">
        <v>26370</v>
      </c>
      <c r="AB19" s="112">
        <v>0</v>
      </c>
      <c r="AC19" s="8">
        <v>0</v>
      </c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188" t="s">
        <v>1</v>
      </c>
      <c r="BJ19" s="204" t="s">
        <v>851</v>
      </c>
    </row>
    <row r="20" spans="1:62" ht="12.75" customHeight="1" x14ac:dyDescent="0.35">
      <c r="A20" s="108"/>
      <c r="B20" s="126" t="s">
        <v>148</v>
      </c>
      <c r="C20" s="5" t="s">
        <v>5</v>
      </c>
      <c r="D20" s="5" t="s">
        <v>318</v>
      </c>
      <c r="E20" s="5" t="s">
        <v>307</v>
      </c>
      <c r="F20" s="132">
        <v>1072127</v>
      </c>
      <c r="G20" s="133" t="s">
        <v>762</v>
      </c>
      <c r="H20" s="139">
        <v>8000</v>
      </c>
      <c r="I20" s="139">
        <v>4000</v>
      </c>
      <c r="J20" s="125">
        <v>0</v>
      </c>
      <c r="K20" s="125">
        <v>0</v>
      </c>
      <c r="L20" s="130">
        <v>0</v>
      </c>
      <c r="M20" s="123">
        <v>0</v>
      </c>
      <c r="N20" s="130">
        <v>4000</v>
      </c>
      <c r="O20" s="130">
        <v>0</v>
      </c>
      <c r="P20" s="123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125">
        <v>8000</v>
      </c>
      <c r="Y20" s="125">
        <v>0</v>
      </c>
      <c r="Z20" s="125">
        <v>8000</v>
      </c>
      <c r="AA20" s="112">
        <v>51520</v>
      </c>
      <c r="AB20" s="112">
        <v>0</v>
      </c>
      <c r="AC20" s="8">
        <v>0</v>
      </c>
      <c r="AD20" s="66"/>
      <c r="AE20" s="66">
        <v>45.489298158287703</v>
      </c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188" t="s">
        <v>1</v>
      </c>
      <c r="BJ20" s="204" t="s">
        <v>851</v>
      </c>
    </row>
    <row r="21" spans="1:62" ht="12.75" customHeight="1" x14ac:dyDescent="0.35">
      <c r="A21" s="108"/>
      <c r="B21" s="126">
        <v>0</v>
      </c>
      <c r="C21" s="5" t="s">
        <v>2</v>
      </c>
      <c r="D21" s="5" t="s">
        <v>308</v>
      </c>
      <c r="E21" s="5" t="s">
        <v>395</v>
      </c>
      <c r="F21" s="164">
        <v>1080732</v>
      </c>
      <c r="G21" s="169" t="s">
        <v>787</v>
      </c>
      <c r="H21" s="139">
        <v>1008.0001299999999</v>
      </c>
      <c r="I21" s="139">
        <v>94.248012154999984</v>
      </c>
      <c r="J21" s="125">
        <v>0</v>
      </c>
      <c r="K21" s="125">
        <v>1784</v>
      </c>
      <c r="L21" s="130">
        <v>166.804</v>
      </c>
      <c r="M21" s="123">
        <v>1.7698410415879611</v>
      </c>
      <c r="N21" s="130">
        <v>72.555987845000018</v>
      </c>
      <c r="O21" s="130">
        <v>25.595231222837267</v>
      </c>
      <c r="P21" s="123">
        <v>1.1927386501280508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125">
        <v>2123.8095238095239</v>
      </c>
      <c r="Y21" s="125">
        <v>0</v>
      </c>
      <c r="Z21" s="125">
        <v>-775.9998700000001</v>
      </c>
      <c r="AA21" s="112">
        <v>11067.84</v>
      </c>
      <c r="AB21" s="112">
        <v>0</v>
      </c>
      <c r="AC21" s="8">
        <v>1.7698410415879611</v>
      </c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189" t="s">
        <v>1</v>
      </c>
      <c r="BJ21" s="205" t="s">
        <v>853</v>
      </c>
    </row>
    <row r="22" spans="1:62" ht="12.75" customHeight="1" x14ac:dyDescent="0.35">
      <c r="A22" s="108"/>
      <c r="B22" s="126">
        <v>0</v>
      </c>
      <c r="C22" s="5" t="s">
        <v>2</v>
      </c>
      <c r="D22" s="5" t="s">
        <v>308</v>
      </c>
      <c r="E22" s="5" t="s">
        <v>395</v>
      </c>
      <c r="F22" s="164">
        <v>1080731</v>
      </c>
      <c r="G22" s="169" t="s">
        <v>786</v>
      </c>
      <c r="H22" s="139">
        <v>2210.0003600000005</v>
      </c>
      <c r="I22" s="139">
        <v>180.55702941200002</v>
      </c>
      <c r="J22" s="125">
        <v>0</v>
      </c>
      <c r="K22" s="125">
        <v>581</v>
      </c>
      <c r="L22" s="130">
        <v>47.467699999999994</v>
      </c>
      <c r="M22" s="123">
        <v>0.26289588477714088</v>
      </c>
      <c r="N22" s="130">
        <v>133.08932941200004</v>
      </c>
      <c r="O22" s="130">
        <v>23.809946800189646</v>
      </c>
      <c r="P22" s="123">
        <v>1.3431141621803111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11</v>
      </c>
      <c r="X22" s="125">
        <v>2210.0003600000005</v>
      </c>
      <c r="Y22" s="125">
        <v>0</v>
      </c>
      <c r="Z22" s="125">
        <v>1629.0003600000005</v>
      </c>
      <c r="AA22" s="112">
        <v>27426.1</v>
      </c>
      <c r="AB22" s="112">
        <v>136.51</v>
      </c>
      <c r="AC22" s="8">
        <v>0.26289588477714088</v>
      </c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189" t="s">
        <v>1</v>
      </c>
      <c r="BJ22" s="205" t="s">
        <v>853</v>
      </c>
    </row>
    <row r="23" spans="1:62" ht="12.75" customHeight="1" x14ac:dyDescent="0.35">
      <c r="A23" s="108"/>
      <c r="B23" s="126" t="s">
        <v>1</v>
      </c>
      <c r="C23" s="5" t="s">
        <v>24</v>
      </c>
      <c r="D23" s="5" t="s">
        <v>316</v>
      </c>
      <c r="E23" s="5" t="s">
        <v>400</v>
      </c>
      <c r="F23" s="56">
        <v>1024998</v>
      </c>
      <c r="G23" s="65" t="s">
        <v>321</v>
      </c>
      <c r="H23" s="139">
        <v>16148.74525684091</v>
      </c>
      <c r="I23" s="139">
        <v>6863.2167341573868</v>
      </c>
      <c r="J23" s="125">
        <v>0</v>
      </c>
      <c r="K23" s="125">
        <v>8796</v>
      </c>
      <c r="L23" s="130">
        <v>3738.2999999999997</v>
      </c>
      <c r="M23" s="123">
        <v>0.54468628120032114</v>
      </c>
      <c r="N23" s="130">
        <v>3124.9167341573871</v>
      </c>
      <c r="O23" s="130">
        <v>9.601014694127846</v>
      </c>
      <c r="P23" s="123">
        <v>1.3905835243638709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125">
        <v>16148.745256840912</v>
      </c>
      <c r="Y23" s="125">
        <v>0</v>
      </c>
      <c r="Z23" s="125">
        <v>7352.7452568409099</v>
      </c>
      <c r="AA23" s="112">
        <v>149052.92000000001</v>
      </c>
      <c r="AB23" s="112">
        <v>0</v>
      </c>
      <c r="AC23" s="8">
        <v>0.54468628120032114</v>
      </c>
      <c r="AD23" s="66"/>
      <c r="AE23" s="66">
        <v>9.9603550295857985</v>
      </c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188" t="s">
        <v>1</v>
      </c>
      <c r="BJ23" s="205" t="s">
        <v>854</v>
      </c>
    </row>
    <row r="24" spans="1:62" ht="12.75" customHeight="1" x14ac:dyDescent="0.35">
      <c r="A24" s="108"/>
      <c r="B24" s="126" t="s">
        <v>1</v>
      </c>
      <c r="C24" s="5" t="s">
        <v>2</v>
      </c>
      <c r="D24" s="5" t="s">
        <v>310</v>
      </c>
      <c r="E24" s="5" t="s">
        <v>311</v>
      </c>
      <c r="F24" s="5">
        <v>1078887</v>
      </c>
      <c r="G24" s="7" t="s">
        <v>721</v>
      </c>
      <c r="H24" s="139">
        <v>10700</v>
      </c>
      <c r="I24" s="139">
        <v>1070</v>
      </c>
      <c r="J24" s="125">
        <v>0</v>
      </c>
      <c r="K24" s="125">
        <v>2979</v>
      </c>
      <c r="L24" s="130">
        <v>297.90000000000003</v>
      </c>
      <c r="M24" s="123">
        <v>0.27841121495327104</v>
      </c>
      <c r="N24" s="130">
        <v>772.09999999999991</v>
      </c>
      <c r="O24" s="130">
        <v>16.214018691588784</v>
      </c>
      <c r="P24" s="123">
        <v>1.5614563106796115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1289</v>
      </c>
      <c r="X24" s="125">
        <v>10700</v>
      </c>
      <c r="Y24" s="125">
        <v>0</v>
      </c>
      <c r="Z24" s="125">
        <v>7721</v>
      </c>
      <c r="AA24" s="112">
        <v>23326</v>
      </c>
      <c r="AB24" s="112">
        <v>2810.02</v>
      </c>
      <c r="AC24" s="8">
        <v>0.27841121495327104</v>
      </c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188" t="s">
        <v>1</v>
      </c>
      <c r="BJ24" s="205" t="s">
        <v>855</v>
      </c>
    </row>
    <row r="25" spans="1:62" ht="12.75" customHeight="1" x14ac:dyDescent="0.35">
      <c r="A25" s="108"/>
      <c r="B25" s="126" t="s">
        <v>1</v>
      </c>
      <c r="C25" s="5" t="s">
        <v>24</v>
      </c>
      <c r="D25" s="127" t="s">
        <v>316</v>
      </c>
      <c r="E25" s="5" t="s">
        <v>400</v>
      </c>
      <c r="F25" s="5">
        <v>1024997</v>
      </c>
      <c r="G25" s="7" t="s">
        <v>62</v>
      </c>
      <c r="H25" s="139">
        <v>87703.535517053999</v>
      </c>
      <c r="I25" s="139">
        <v>18593.149529615446</v>
      </c>
      <c r="J25" s="125">
        <v>0</v>
      </c>
      <c r="K25" s="125">
        <v>49814</v>
      </c>
      <c r="L25" s="130">
        <v>10560.567999999999</v>
      </c>
      <c r="M25" s="123">
        <v>0.58039849476879857</v>
      </c>
      <c r="N25" s="130">
        <v>8032.5815296154469</v>
      </c>
      <c r="O25" s="130">
        <v>12.2626949075434</v>
      </c>
      <c r="P25" s="123">
        <v>1.5583442252243833</v>
      </c>
      <c r="Q25" s="5">
        <v>1089</v>
      </c>
      <c r="R25" s="5">
        <v>1089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125">
        <v>87703.535517053999</v>
      </c>
      <c r="Y25" s="125">
        <v>0</v>
      </c>
      <c r="Z25" s="125">
        <v>36800.535517053999</v>
      </c>
      <c r="AA25" s="112">
        <v>444656.93</v>
      </c>
      <c r="AB25" s="112">
        <v>0</v>
      </c>
      <c r="AC25" s="8">
        <v>0.58039849476879857</v>
      </c>
      <c r="AD25" s="67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189" t="s">
        <v>1</v>
      </c>
      <c r="BJ25" s="205" t="s">
        <v>856</v>
      </c>
    </row>
    <row r="26" spans="1:62" ht="12.75" customHeight="1" x14ac:dyDescent="0.35">
      <c r="A26" s="108"/>
      <c r="B26" s="126" t="s">
        <v>1</v>
      </c>
      <c r="C26" s="5" t="s">
        <v>2</v>
      </c>
      <c r="D26" s="5" t="s">
        <v>306</v>
      </c>
      <c r="E26" s="5" t="s">
        <v>401</v>
      </c>
      <c r="F26" s="5">
        <v>1075854</v>
      </c>
      <c r="G26" s="7" t="s">
        <v>689</v>
      </c>
      <c r="H26" s="139">
        <v>17340.688388045539</v>
      </c>
      <c r="I26" s="139">
        <v>6242.6478196963935</v>
      </c>
      <c r="J26" s="125">
        <v>0</v>
      </c>
      <c r="K26" s="125">
        <v>25966</v>
      </c>
      <c r="L26" s="130">
        <v>9347.76</v>
      </c>
      <c r="M26" s="123">
        <v>1.5908249651160018</v>
      </c>
      <c r="N26" s="130">
        <v>3105.1121803036067</v>
      </c>
      <c r="O26" s="130">
        <v>13.382584097564999</v>
      </c>
      <c r="P26" s="123">
        <v>1.3659398246994874</v>
      </c>
      <c r="Q26" s="5">
        <v>1620</v>
      </c>
      <c r="R26" s="5">
        <v>1620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125">
        <v>32840.476190476191</v>
      </c>
      <c r="Y26" s="125">
        <v>0</v>
      </c>
      <c r="Z26" s="125">
        <v>-10245.311611954461</v>
      </c>
      <c r="AA26" s="112">
        <v>78379.91</v>
      </c>
      <c r="AB26" s="112">
        <v>0</v>
      </c>
      <c r="AC26" s="8">
        <v>1.5908249651160018</v>
      </c>
      <c r="AD26" s="66"/>
      <c r="AE26" s="66">
        <v>31.309116809116805</v>
      </c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188" t="s">
        <v>1</v>
      </c>
      <c r="BJ26" s="204" t="s">
        <v>857</v>
      </c>
    </row>
    <row r="27" spans="1:62" ht="12.75" customHeight="1" x14ac:dyDescent="0.35">
      <c r="A27" s="108"/>
      <c r="B27" s="126" t="s">
        <v>1</v>
      </c>
      <c r="C27" s="5" t="s">
        <v>24</v>
      </c>
      <c r="D27" s="5" t="s">
        <v>316</v>
      </c>
      <c r="E27" s="5" t="s">
        <v>317</v>
      </c>
      <c r="F27" s="5">
        <v>1070721</v>
      </c>
      <c r="G27" s="7" t="s">
        <v>683</v>
      </c>
      <c r="H27" s="139">
        <v>2965.9138083211847</v>
      </c>
      <c r="I27" s="139">
        <v>320.31869129868795</v>
      </c>
      <c r="J27" s="125">
        <v>0</v>
      </c>
      <c r="K27" s="125">
        <v>1833</v>
      </c>
      <c r="L27" s="130">
        <v>197.964</v>
      </c>
      <c r="M27" s="123">
        <v>1.1085959378776176</v>
      </c>
      <c r="N27" s="130">
        <v>122.35469129868795</v>
      </c>
      <c r="O27" s="130">
        <v>26.300867442102213</v>
      </c>
      <c r="P27" s="123">
        <v>1.8484098557674757</v>
      </c>
      <c r="Q27" s="5">
        <v>1455</v>
      </c>
      <c r="R27" s="5">
        <v>1455</v>
      </c>
      <c r="S27" s="5">
        <v>0</v>
      </c>
      <c r="T27" s="5">
        <v>0</v>
      </c>
      <c r="U27" s="5">
        <v>0</v>
      </c>
      <c r="V27" s="5">
        <v>0</v>
      </c>
      <c r="W27" s="5">
        <v>1574</v>
      </c>
      <c r="X27" s="125">
        <v>3914.2857142857142</v>
      </c>
      <c r="Y27" s="125">
        <v>0</v>
      </c>
      <c r="Z27" s="125">
        <v>-322.08619167881534</v>
      </c>
      <c r="AA27" s="112">
        <v>15689.68</v>
      </c>
      <c r="AB27" s="112">
        <v>8326.4599999999991</v>
      </c>
      <c r="AC27" s="8">
        <v>1.1085959378776176</v>
      </c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188" t="s">
        <v>1</v>
      </c>
      <c r="BJ27" s="205" t="s">
        <v>858</v>
      </c>
    </row>
    <row r="28" spans="1:62" ht="12.75" customHeight="1" x14ac:dyDescent="0.35">
      <c r="A28" s="108"/>
      <c r="B28" s="126" t="s">
        <v>1</v>
      </c>
      <c r="C28" s="5" t="s">
        <v>2</v>
      </c>
      <c r="D28" s="5" t="s">
        <v>310</v>
      </c>
      <c r="E28" s="5" t="s">
        <v>311</v>
      </c>
      <c r="F28" s="5">
        <v>1068805</v>
      </c>
      <c r="G28" s="7" t="s">
        <v>564</v>
      </c>
      <c r="H28" s="139">
        <v>104118.45851353162</v>
      </c>
      <c r="I28" s="139">
        <v>18741.32253243569</v>
      </c>
      <c r="J28" s="125">
        <v>0</v>
      </c>
      <c r="K28" s="125">
        <v>136963</v>
      </c>
      <c r="L28" s="130">
        <v>24653.34</v>
      </c>
      <c r="M28" s="123">
        <v>1.3370635907167927</v>
      </c>
      <c r="N28" s="130">
        <v>5912.0174675643102</v>
      </c>
      <c r="O28" s="130">
        <v>11.907400020130657</v>
      </c>
      <c r="P28" s="123">
        <v>2.425034564222349</v>
      </c>
      <c r="Q28" s="5">
        <v>2262</v>
      </c>
      <c r="R28" s="5">
        <v>2250</v>
      </c>
      <c r="S28" s="5">
        <v>12</v>
      </c>
      <c r="T28" s="5">
        <v>0</v>
      </c>
      <c r="U28" s="5">
        <v>0</v>
      </c>
      <c r="V28" s="5">
        <v>0</v>
      </c>
      <c r="W28" s="5">
        <v>15000</v>
      </c>
      <c r="X28" s="125">
        <v>165729.76190476189</v>
      </c>
      <c r="Y28" s="125">
        <v>2.1722109285770728E-3</v>
      </c>
      <c r="Z28" s="125">
        <v>-35106.541486468384</v>
      </c>
      <c r="AA28" s="112">
        <v>196783.89</v>
      </c>
      <c r="AB28" s="112">
        <v>28372.68</v>
      </c>
      <c r="AC28" s="8">
        <v>1.3371788440558388</v>
      </c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189"/>
      <c r="BJ28" s="205" t="s">
        <v>859</v>
      </c>
    </row>
    <row r="29" spans="1:62" ht="12.75" customHeight="1" x14ac:dyDescent="0.35">
      <c r="A29" s="108"/>
      <c r="B29" s="126" t="s">
        <v>1</v>
      </c>
      <c r="C29" s="5" t="s">
        <v>50</v>
      </c>
      <c r="D29" s="5" t="s">
        <v>320</v>
      </c>
      <c r="E29" s="5" t="s">
        <v>402</v>
      </c>
      <c r="F29" s="5">
        <v>1060796</v>
      </c>
      <c r="G29" s="7" t="s">
        <v>433</v>
      </c>
      <c r="H29" s="139">
        <v>24855.339074512787</v>
      </c>
      <c r="I29" s="139">
        <v>4473.9610334123017</v>
      </c>
      <c r="J29" s="125">
        <v>0</v>
      </c>
      <c r="K29" s="125">
        <v>13007</v>
      </c>
      <c r="L29" s="130">
        <v>2341.2599999999998</v>
      </c>
      <c r="M29" s="123">
        <v>0.52427367661068336</v>
      </c>
      <c r="N29" s="130">
        <v>2132.701033412302</v>
      </c>
      <c r="O29" s="130">
        <v>6.0507176942866732</v>
      </c>
      <c r="P29" s="123">
        <v>1.1221961913676468</v>
      </c>
      <c r="Q29" s="5">
        <v>34</v>
      </c>
      <c r="R29" s="5">
        <v>24</v>
      </c>
      <c r="S29" s="5">
        <v>10</v>
      </c>
      <c r="T29" s="5">
        <v>0</v>
      </c>
      <c r="U29" s="5">
        <v>152</v>
      </c>
      <c r="V29" s="5">
        <v>0</v>
      </c>
      <c r="W29" s="5">
        <v>0</v>
      </c>
      <c r="X29" s="125">
        <v>24855.339074512787</v>
      </c>
      <c r="Y29" s="125">
        <v>1.2069841376963012E-2</v>
      </c>
      <c r="Z29" s="125">
        <v>11814.339074512787</v>
      </c>
      <c r="AA29" s="112">
        <v>170010.52</v>
      </c>
      <c r="AB29" s="112">
        <v>1108.08</v>
      </c>
      <c r="AC29" s="8">
        <v>0.52467600465658215</v>
      </c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188" t="s">
        <v>1</v>
      </c>
      <c r="BJ29" s="204" t="s">
        <v>850</v>
      </c>
    </row>
    <row r="30" spans="1:62" ht="12.75" customHeight="1" x14ac:dyDescent="0.35">
      <c r="A30" s="108"/>
      <c r="B30" s="126" t="s">
        <v>148</v>
      </c>
      <c r="C30" s="5" t="s">
        <v>5</v>
      </c>
      <c r="D30" s="5" t="s">
        <v>318</v>
      </c>
      <c r="E30" s="5" t="s">
        <v>319</v>
      </c>
      <c r="F30" s="142">
        <v>1091732</v>
      </c>
      <c r="G30" s="143" t="s">
        <v>803</v>
      </c>
      <c r="H30" s="139">
        <v>15920</v>
      </c>
      <c r="I30" s="139">
        <v>11940</v>
      </c>
      <c r="J30" s="125">
        <v>0</v>
      </c>
      <c r="K30" s="125">
        <v>8424</v>
      </c>
      <c r="L30" s="130">
        <v>6318</v>
      </c>
      <c r="M30" s="123">
        <v>1.000251256281407</v>
      </c>
      <c r="N30" s="130">
        <v>5622</v>
      </c>
      <c r="O30" s="130">
        <v>0</v>
      </c>
      <c r="P30" s="123">
        <v>1</v>
      </c>
      <c r="Q30" s="5">
        <v>7650</v>
      </c>
      <c r="R30" s="5">
        <v>7500</v>
      </c>
      <c r="S30" s="5">
        <v>150</v>
      </c>
      <c r="T30" s="5">
        <v>0</v>
      </c>
      <c r="U30" s="5">
        <v>0</v>
      </c>
      <c r="V30" s="5">
        <v>0</v>
      </c>
      <c r="W30" s="5">
        <v>0</v>
      </c>
      <c r="X30" s="125">
        <v>18957.142857142859</v>
      </c>
      <c r="Y30" s="125">
        <v>0.23737754333082139</v>
      </c>
      <c r="Z30" s="125">
        <v>-154</v>
      </c>
      <c r="AA30" s="112">
        <v>93450.4</v>
      </c>
      <c r="AB30" s="112">
        <v>880.5</v>
      </c>
      <c r="AC30" s="8">
        <v>1.0096733668341709</v>
      </c>
      <c r="AD30" s="66"/>
      <c r="AE30" s="66">
        <v>3.0745629682483053</v>
      </c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189" t="s">
        <v>1</v>
      </c>
      <c r="BJ30" s="204" t="s">
        <v>860</v>
      </c>
    </row>
    <row r="31" spans="1:62" ht="12.75" customHeight="1" x14ac:dyDescent="0.35">
      <c r="A31" s="108"/>
      <c r="B31" s="126" t="s">
        <v>15</v>
      </c>
      <c r="C31" s="5" t="s">
        <v>5</v>
      </c>
      <c r="D31" s="5" t="s">
        <v>308</v>
      </c>
      <c r="E31" s="5" t="s">
        <v>315</v>
      </c>
      <c r="F31" s="5">
        <v>1073436</v>
      </c>
      <c r="G31" s="7" t="s">
        <v>635</v>
      </c>
      <c r="H31" s="139">
        <v>16498.144551109086</v>
      </c>
      <c r="I31" s="139">
        <v>3695.5843794484354</v>
      </c>
      <c r="J31" s="125">
        <v>0</v>
      </c>
      <c r="K31" s="125">
        <v>24208</v>
      </c>
      <c r="L31" s="130">
        <v>5422.5920000000006</v>
      </c>
      <c r="M31" s="123">
        <v>1.650609855892512</v>
      </c>
      <c r="N31" s="130">
        <v>1727.0076205515652</v>
      </c>
      <c r="O31" s="130">
        <v>1.520170524063567</v>
      </c>
      <c r="P31" s="123">
        <v>1.0614163792276177</v>
      </c>
      <c r="Q31" s="5">
        <v>4122</v>
      </c>
      <c r="R31" s="5">
        <v>3024</v>
      </c>
      <c r="S31" s="5">
        <v>1098</v>
      </c>
      <c r="T31" s="5">
        <v>0</v>
      </c>
      <c r="U31" s="5">
        <v>0</v>
      </c>
      <c r="V31" s="5">
        <v>0</v>
      </c>
      <c r="W31" s="5">
        <v>0</v>
      </c>
      <c r="X31" s="125">
        <v>32419.047619047618</v>
      </c>
      <c r="Y31" s="125">
        <v>1.016069330199765</v>
      </c>
      <c r="Z31" s="125">
        <v>-11831.855448890914</v>
      </c>
      <c r="AA31" s="112">
        <v>73251.759999999995</v>
      </c>
      <c r="AB31" s="112">
        <v>4875.12</v>
      </c>
      <c r="AC31" s="8">
        <v>1.7171627944122674</v>
      </c>
      <c r="AD31" s="66"/>
      <c r="AE31" s="66">
        <v>24.623909411546315</v>
      </c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188" t="s">
        <v>1</v>
      </c>
      <c r="BJ31" s="204" t="s">
        <v>861</v>
      </c>
    </row>
    <row r="32" spans="1:62" ht="12.75" customHeight="1" x14ac:dyDescent="0.35">
      <c r="A32" s="108"/>
      <c r="B32" s="126" t="s">
        <v>15</v>
      </c>
      <c r="C32" s="5" t="s">
        <v>5</v>
      </c>
      <c r="D32" s="5" t="s">
        <v>308</v>
      </c>
      <c r="E32" s="5" t="s">
        <v>315</v>
      </c>
      <c r="F32" s="5">
        <v>1074340</v>
      </c>
      <c r="G32" s="7" t="s">
        <v>650</v>
      </c>
      <c r="H32" s="139">
        <v>20374.291186952585</v>
      </c>
      <c r="I32" s="139">
        <v>4889.82988486862</v>
      </c>
      <c r="J32" s="125">
        <v>0</v>
      </c>
      <c r="K32" s="125">
        <v>11233</v>
      </c>
      <c r="L32" s="130">
        <v>2695.92</v>
      </c>
      <c r="M32" s="123">
        <v>0.5725352549918451</v>
      </c>
      <c r="N32" s="130">
        <v>2193.9098848686199</v>
      </c>
      <c r="O32" s="130">
        <v>0</v>
      </c>
      <c r="P32" s="123">
        <v>0.90252013126400299</v>
      </c>
      <c r="Q32" s="5">
        <v>1629</v>
      </c>
      <c r="R32" s="5">
        <v>432</v>
      </c>
      <c r="S32" s="5">
        <v>1197</v>
      </c>
      <c r="T32" s="5">
        <v>0</v>
      </c>
      <c r="U32" s="5">
        <v>0</v>
      </c>
      <c r="V32" s="5">
        <v>0</v>
      </c>
      <c r="W32" s="5">
        <v>120</v>
      </c>
      <c r="X32" s="125">
        <v>20374.291186952585</v>
      </c>
      <c r="Y32" s="125">
        <v>1.7625153027652942</v>
      </c>
      <c r="Z32" s="125">
        <v>7512.2911869525851</v>
      </c>
      <c r="AA32" s="112">
        <v>99222.8</v>
      </c>
      <c r="AB32" s="112">
        <v>6413.79</v>
      </c>
      <c r="AC32" s="8">
        <v>0.63128576508402157</v>
      </c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189"/>
      <c r="BJ32" s="204" t="s">
        <v>862</v>
      </c>
    </row>
    <row r="33" spans="1:62" ht="12.75" customHeight="1" x14ac:dyDescent="0.35">
      <c r="A33" s="108"/>
      <c r="B33" s="126" t="s">
        <v>1</v>
      </c>
      <c r="C33" s="5" t="s">
        <v>5</v>
      </c>
      <c r="D33" s="5" t="s">
        <v>396</v>
      </c>
      <c r="E33" s="5" t="s">
        <v>397</v>
      </c>
      <c r="F33" s="5">
        <v>1071302</v>
      </c>
      <c r="G33" s="7" t="s">
        <v>685</v>
      </c>
      <c r="H33" s="139">
        <v>350.00000010000002</v>
      </c>
      <c r="I33" s="139">
        <v>1575.00000045</v>
      </c>
      <c r="J33" s="125">
        <v>0</v>
      </c>
      <c r="K33" s="125">
        <v>183</v>
      </c>
      <c r="L33" s="130">
        <v>823.5</v>
      </c>
      <c r="M33" s="123">
        <v>0.52285714270775507</v>
      </c>
      <c r="N33" s="130">
        <v>751.50000045000002</v>
      </c>
      <c r="O33" s="130">
        <v>0</v>
      </c>
      <c r="P33" s="123">
        <v>0.97142857115102033</v>
      </c>
      <c r="Q33" s="5">
        <v>30</v>
      </c>
      <c r="R33" s="5">
        <v>0</v>
      </c>
      <c r="S33" s="5">
        <v>30</v>
      </c>
      <c r="T33" s="5">
        <v>0</v>
      </c>
      <c r="U33" s="5">
        <v>0</v>
      </c>
      <c r="V33" s="5">
        <v>321</v>
      </c>
      <c r="W33" s="5">
        <v>0</v>
      </c>
      <c r="X33" s="125">
        <v>350.00000010000002</v>
      </c>
      <c r="Y33" s="125">
        <v>2.5714285706938775</v>
      </c>
      <c r="Z33" s="125">
        <v>137.00000010000002</v>
      </c>
      <c r="AA33" s="112">
        <v>24402</v>
      </c>
      <c r="AB33" s="112">
        <v>24471.72</v>
      </c>
      <c r="AC33" s="8">
        <v>0.60857142839755096</v>
      </c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189"/>
      <c r="BJ33" s="204" t="s">
        <v>823</v>
      </c>
    </row>
    <row r="34" spans="1:62" ht="12.75" customHeight="1" x14ac:dyDescent="0.35">
      <c r="A34" s="108"/>
      <c r="B34" s="126" t="s">
        <v>31</v>
      </c>
      <c r="C34" s="5" t="s">
        <v>5</v>
      </c>
      <c r="D34" s="5" t="s">
        <v>306</v>
      </c>
      <c r="E34" s="5" t="s">
        <v>307</v>
      </c>
      <c r="F34" s="5">
        <v>1077101</v>
      </c>
      <c r="G34" s="7" t="s">
        <v>677</v>
      </c>
      <c r="H34" s="139">
        <v>75671.119383450496</v>
      </c>
      <c r="I34" s="139">
        <v>3026.8447753380201</v>
      </c>
      <c r="J34" s="125">
        <v>0</v>
      </c>
      <c r="K34" s="125">
        <v>101640</v>
      </c>
      <c r="L34" s="130">
        <v>4065.6</v>
      </c>
      <c r="M34" s="123">
        <v>1.439122361176763</v>
      </c>
      <c r="N34" s="130">
        <v>1038.7552246619798</v>
      </c>
      <c r="O34" s="130">
        <v>0</v>
      </c>
      <c r="P34" s="123">
        <v>0.96853634681396561</v>
      </c>
      <c r="Q34" s="5">
        <v>19650</v>
      </c>
      <c r="R34" s="5">
        <v>7260</v>
      </c>
      <c r="S34" s="5">
        <v>12390</v>
      </c>
      <c r="T34" s="5">
        <v>0</v>
      </c>
      <c r="U34" s="5">
        <v>0</v>
      </c>
      <c r="V34" s="5">
        <v>0</v>
      </c>
      <c r="W34" s="5">
        <v>0</v>
      </c>
      <c r="X34" s="125">
        <v>129642.85714285712</v>
      </c>
      <c r="Y34" s="125">
        <v>2.8671074380165296</v>
      </c>
      <c r="Z34" s="125">
        <v>-45618.880616549504</v>
      </c>
      <c r="AA34" s="112">
        <v>67347.3</v>
      </c>
      <c r="AB34" s="112">
        <v>11027.1</v>
      </c>
      <c r="AC34" s="8">
        <v>1.6028572193492159</v>
      </c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189" t="s">
        <v>1</v>
      </c>
      <c r="BJ34" s="204"/>
    </row>
    <row r="35" spans="1:62" ht="12.75" customHeight="1" x14ac:dyDescent="0.35">
      <c r="A35" s="108"/>
      <c r="B35" s="126" t="s">
        <v>9</v>
      </c>
      <c r="C35" s="5" t="s">
        <v>5</v>
      </c>
      <c r="D35" s="5" t="s">
        <v>308</v>
      </c>
      <c r="E35" s="5" t="s">
        <v>397</v>
      </c>
      <c r="F35" s="56">
        <v>1074164</v>
      </c>
      <c r="G35" s="65" t="s">
        <v>700</v>
      </c>
      <c r="H35" s="139">
        <v>5976.205846883262</v>
      </c>
      <c r="I35" s="139">
        <v>5976.205846883262</v>
      </c>
      <c r="J35" s="125">
        <v>0</v>
      </c>
      <c r="K35" s="125">
        <v>6293</v>
      </c>
      <c r="L35" s="130">
        <v>6293</v>
      </c>
      <c r="M35" s="123">
        <v>1.2036064660910779</v>
      </c>
      <c r="N35" s="130">
        <v>316.79415311673802</v>
      </c>
      <c r="O35" s="130">
        <v>15.226878438098673</v>
      </c>
      <c r="P35" s="123">
        <v>1.4202582684273939</v>
      </c>
      <c r="Q35" s="5">
        <v>2107</v>
      </c>
      <c r="R35" s="5">
        <v>900</v>
      </c>
      <c r="S35" s="5">
        <v>1155</v>
      </c>
      <c r="T35" s="5">
        <v>0</v>
      </c>
      <c r="U35" s="5">
        <v>0</v>
      </c>
      <c r="V35" s="5">
        <v>4950</v>
      </c>
      <c r="W35" s="5">
        <v>21</v>
      </c>
      <c r="X35" s="125">
        <v>8563.0952380952385</v>
      </c>
      <c r="Y35" s="125">
        <v>4.0464340330877242</v>
      </c>
      <c r="Z35" s="125">
        <v>-2423.794153116738</v>
      </c>
      <c r="AA35" s="112">
        <v>64662.55</v>
      </c>
      <c r="AB35" s="112">
        <v>66283.320000000007</v>
      </c>
      <c r="AC35" s="8">
        <v>1.4055740741227658</v>
      </c>
      <c r="AD35" s="66"/>
      <c r="AE35" s="66">
        <v>3.8736178813458575</v>
      </c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188" t="s">
        <v>1</v>
      </c>
      <c r="BJ35" s="204"/>
    </row>
    <row r="36" spans="1:62" ht="12.75" customHeight="1" x14ac:dyDescent="0.35">
      <c r="A36" s="108"/>
      <c r="B36" s="126" t="s">
        <v>1</v>
      </c>
      <c r="C36" s="5" t="s">
        <v>2</v>
      </c>
      <c r="D36" s="5" t="s">
        <v>310</v>
      </c>
      <c r="E36" s="5" t="s">
        <v>311</v>
      </c>
      <c r="F36" s="137">
        <v>1068804</v>
      </c>
      <c r="G36" s="138" t="s">
        <v>563</v>
      </c>
      <c r="H36" s="139">
        <v>4514.7927981083203</v>
      </c>
      <c r="I36" s="139">
        <v>2708.8756788649921</v>
      </c>
      <c r="J36" s="125">
        <v>0</v>
      </c>
      <c r="K36" s="125">
        <v>3892</v>
      </c>
      <c r="L36" s="130">
        <v>2335.1999999999998</v>
      </c>
      <c r="M36" s="123">
        <v>0.92052950951400181</v>
      </c>
      <c r="N36" s="130">
        <v>373.67567886499228</v>
      </c>
      <c r="O36" s="130">
        <v>5.974190824647442</v>
      </c>
      <c r="P36" s="123">
        <v>1.2014089277083864</v>
      </c>
      <c r="Q36" s="5">
        <v>995</v>
      </c>
      <c r="R36" s="5">
        <v>264</v>
      </c>
      <c r="S36" s="5">
        <v>731</v>
      </c>
      <c r="T36" s="5">
        <v>0</v>
      </c>
      <c r="U36" s="5">
        <v>0</v>
      </c>
      <c r="V36" s="5">
        <v>0</v>
      </c>
      <c r="W36" s="5">
        <v>160</v>
      </c>
      <c r="X36" s="125">
        <v>4947.6190476190477</v>
      </c>
      <c r="Y36" s="125">
        <v>4.4324350336862368</v>
      </c>
      <c r="Z36" s="125">
        <v>-372.20720189167969</v>
      </c>
      <c r="AA36" s="112">
        <v>35666.86</v>
      </c>
      <c r="AB36" s="112">
        <v>7038.9</v>
      </c>
      <c r="AC36" s="8">
        <v>1.0824417018755839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189" t="s">
        <v>1</v>
      </c>
      <c r="BJ36" s="205" t="s">
        <v>863</v>
      </c>
    </row>
    <row r="37" spans="1:62" ht="12.75" customHeight="1" x14ac:dyDescent="0.35">
      <c r="A37" s="108"/>
      <c r="B37" s="126" t="s">
        <v>4</v>
      </c>
      <c r="C37" s="5" t="s">
        <v>5</v>
      </c>
      <c r="D37" s="5" t="s">
        <v>308</v>
      </c>
      <c r="E37" s="5" t="s">
        <v>314</v>
      </c>
      <c r="F37" s="5">
        <v>1075243</v>
      </c>
      <c r="G37" s="7" t="s">
        <v>662</v>
      </c>
      <c r="H37" s="139">
        <v>14404.698155984024</v>
      </c>
      <c r="I37" s="139">
        <v>3457.1275574361657</v>
      </c>
      <c r="J37" s="125">
        <v>0</v>
      </c>
      <c r="K37" s="125">
        <v>21349</v>
      </c>
      <c r="L37" s="130">
        <v>5123.76</v>
      </c>
      <c r="M37" s="123">
        <v>1.5720565439681065</v>
      </c>
      <c r="N37" s="130">
        <v>1666.6324425638345</v>
      </c>
      <c r="O37" s="130">
        <v>25.973404737054747</v>
      </c>
      <c r="P37" s="123">
        <v>1.9234787553167083</v>
      </c>
      <c r="Q37" s="5">
        <v>5483</v>
      </c>
      <c r="R37" s="5">
        <v>1296</v>
      </c>
      <c r="S37" s="5">
        <v>4187</v>
      </c>
      <c r="T37" s="5">
        <v>0</v>
      </c>
      <c r="U37" s="5">
        <v>0</v>
      </c>
      <c r="V37" s="5">
        <v>0</v>
      </c>
      <c r="W37" s="5">
        <v>0</v>
      </c>
      <c r="X37" s="125">
        <v>26958.333333333332</v>
      </c>
      <c r="Y37" s="125">
        <v>4.6594126738794444</v>
      </c>
      <c r="Z37" s="125">
        <v>-12427.301844015976</v>
      </c>
      <c r="AA37" s="112">
        <v>49984.3</v>
      </c>
      <c r="AB37" s="112">
        <v>14528.89</v>
      </c>
      <c r="AC37" s="8">
        <v>1.862725598929222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188"/>
      <c r="BJ37" s="204" t="s">
        <v>816</v>
      </c>
    </row>
    <row r="38" spans="1:62" ht="12.75" customHeight="1" x14ac:dyDescent="0.35">
      <c r="A38" s="108"/>
      <c r="B38" s="126" t="s">
        <v>1</v>
      </c>
      <c r="C38" s="5" t="s">
        <v>17</v>
      </c>
      <c r="D38" s="127" t="s">
        <v>312</v>
      </c>
      <c r="E38" s="5" t="s">
        <v>398</v>
      </c>
      <c r="F38" s="5">
        <v>1058451</v>
      </c>
      <c r="G38" s="7" t="s">
        <v>268</v>
      </c>
      <c r="H38" s="139">
        <v>720198.08723379998</v>
      </c>
      <c r="I38" s="139">
        <v>173567.73902334578</v>
      </c>
      <c r="J38" s="125">
        <v>0</v>
      </c>
      <c r="K38" s="125">
        <v>586622</v>
      </c>
      <c r="L38" s="130">
        <v>141375.902</v>
      </c>
      <c r="M38" s="123">
        <v>0.84586034147885469</v>
      </c>
      <c r="N38" s="130">
        <v>32191.837023345783</v>
      </c>
      <c r="O38" s="130">
        <v>2.5192384713724145</v>
      </c>
      <c r="P38" s="123">
        <v>1.0818527624471845</v>
      </c>
      <c r="Q38" s="5">
        <v>148079</v>
      </c>
      <c r="R38" s="5">
        <v>22565</v>
      </c>
      <c r="S38" s="5">
        <v>125514</v>
      </c>
      <c r="T38" s="5">
        <v>0</v>
      </c>
      <c r="U38" s="5">
        <v>0</v>
      </c>
      <c r="V38" s="5">
        <v>49632</v>
      </c>
      <c r="W38" s="5">
        <v>2256</v>
      </c>
      <c r="X38" s="125">
        <v>725222.61904761917</v>
      </c>
      <c r="Y38" s="125">
        <v>5.1920884720126974</v>
      </c>
      <c r="Z38" s="125">
        <v>-14502.912766200025</v>
      </c>
      <c r="AA38" s="112">
        <v>1865313.05</v>
      </c>
      <c r="AB38" s="112">
        <v>459471.18</v>
      </c>
      <c r="AC38" s="8">
        <v>1.0201373941742946</v>
      </c>
      <c r="AD38" s="67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188" t="s">
        <v>1</v>
      </c>
      <c r="BJ38" s="204" t="s">
        <v>815</v>
      </c>
    </row>
    <row r="39" spans="1:62" ht="12.75" customHeight="1" x14ac:dyDescent="0.35">
      <c r="A39" s="108"/>
      <c r="B39" s="126" t="s">
        <v>1</v>
      </c>
      <c r="C39" s="5" t="s">
        <v>2</v>
      </c>
      <c r="D39" s="127" t="s">
        <v>396</v>
      </c>
      <c r="E39" s="5" t="s">
        <v>397</v>
      </c>
      <c r="F39" s="56">
        <v>1043304</v>
      </c>
      <c r="G39" s="206" t="s">
        <v>123</v>
      </c>
      <c r="H39" s="139">
        <v>601</v>
      </c>
      <c r="I39" s="139">
        <v>601</v>
      </c>
      <c r="J39" s="125">
        <v>0</v>
      </c>
      <c r="K39" s="125">
        <v>1049</v>
      </c>
      <c r="L39" s="130">
        <v>1049</v>
      </c>
      <c r="M39" s="123">
        <v>1.9134775374376041</v>
      </c>
      <c r="N39" s="130">
        <v>448</v>
      </c>
      <c r="O39" s="130">
        <v>0</v>
      </c>
      <c r="P39" s="123">
        <v>0.81105169340463457</v>
      </c>
      <c r="Q39" s="5">
        <v>372</v>
      </c>
      <c r="R39" s="5">
        <v>101</v>
      </c>
      <c r="S39" s="5">
        <v>271</v>
      </c>
      <c r="T39" s="5">
        <v>0</v>
      </c>
      <c r="U39" s="5">
        <v>0</v>
      </c>
      <c r="V39" s="5">
        <v>0</v>
      </c>
      <c r="W39" s="5">
        <v>18</v>
      </c>
      <c r="X39" s="125">
        <v>1369.047619047619</v>
      </c>
      <c r="Y39" s="125">
        <v>5.9384347826086952</v>
      </c>
      <c r="Z39" s="125">
        <v>-820</v>
      </c>
      <c r="AA39" s="112">
        <v>20584.25</v>
      </c>
      <c r="AB39" s="112">
        <v>9898.25</v>
      </c>
      <c r="AC39" s="8">
        <v>2.3643926788685521</v>
      </c>
      <c r="AD39" s="67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189" t="s">
        <v>1</v>
      </c>
      <c r="BJ39" s="204"/>
    </row>
    <row r="40" spans="1:62" ht="12.75" customHeight="1" x14ac:dyDescent="0.35">
      <c r="A40" s="108"/>
      <c r="B40" s="126" t="s">
        <v>1</v>
      </c>
      <c r="C40" s="5" t="s">
        <v>50</v>
      </c>
      <c r="D40" s="127" t="s">
        <v>316</v>
      </c>
      <c r="E40" s="5" t="s">
        <v>408</v>
      </c>
      <c r="F40" s="5">
        <v>1060670</v>
      </c>
      <c r="G40" s="7" t="s">
        <v>518</v>
      </c>
      <c r="H40" s="139">
        <v>6150</v>
      </c>
      <c r="I40" s="139">
        <v>1537.5</v>
      </c>
      <c r="J40" s="125">
        <v>0</v>
      </c>
      <c r="K40" s="125">
        <v>4280</v>
      </c>
      <c r="L40" s="130">
        <v>1070</v>
      </c>
      <c r="M40" s="123">
        <v>1.3378861788617886</v>
      </c>
      <c r="N40" s="130">
        <v>467.5</v>
      </c>
      <c r="O40" s="130">
        <v>0</v>
      </c>
      <c r="P40" s="123">
        <v>0.37658536585365854</v>
      </c>
      <c r="Q40" s="5">
        <v>6036</v>
      </c>
      <c r="R40" s="5">
        <v>3948</v>
      </c>
      <c r="S40" s="5">
        <v>2088</v>
      </c>
      <c r="T40" s="5">
        <v>0</v>
      </c>
      <c r="U40" s="5">
        <v>0</v>
      </c>
      <c r="V40" s="5">
        <v>0</v>
      </c>
      <c r="W40" s="5">
        <v>0</v>
      </c>
      <c r="X40" s="125">
        <v>9795.2380952380954</v>
      </c>
      <c r="Y40" s="125">
        <v>6.3949440933398156</v>
      </c>
      <c r="Z40" s="125">
        <v>-4166</v>
      </c>
      <c r="AA40" s="112">
        <v>121278</v>
      </c>
      <c r="AB40" s="112">
        <v>41175.360000000001</v>
      </c>
      <c r="AC40" s="8">
        <v>1.6773983739837397</v>
      </c>
      <c r="AD40" s="67"/>
      <c r="AE40" s="66">
        <v>14.586349534643228</v>
      </c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188" t="s">
        <v>1</v>
      </c>
      <c r="BJ40" s="205" t="s">
        <v>864</v>
      </c>
    </row>
    <row r="41" spans="1:62" ht="12.75" customHeight="1" x14ac:dyDescent="0.3">
      <c r="A41" s="108"/>
      <c r="B41" s="126" t="s">
        <v>27</v>
      </c>
      <c r="C41" s="5" t="s">
        <v>5</v>
      </c>
      <c r="D41" s="127" t="s">
        <v>312</v>
      </c>
      <c r="E41" s="5" t="s">
        <v>313</v>
      </c>
      <c r="F41" s="135">
        <v>1083381</v>
      </c>
      <c r="G41" s="192" t="s">
        <v>790</v>
      </c>
      <c r="H41" s="139">
        <v>64087.669628116921</v>
      </c>
      <c r="I41" s="139">
        <v>14611.988675210658</v>
      </c>
      <c r="J41" s="125">
        <v>0</v>
      </c>
      <c r="K41" s="125">
        <v>0</v>
      </c>
      <c r="L41" s="130">
        <v>0</v>
      </c>
      <c r="M41" s="123">
        <v>0</v>
      </c>
      <c r="N41" s="130">
        <v>14611.988675210658</v>
      </c>
      <c r="O41" s="130">
        <v>0</v>
      </c>
      <c r="P41" s="123">
        <v>0</v>
      </c>
      <c r="Q41" s="5">
        <v>13968</v>
      </c>
      <c r="R41" s="5">
        <v>0</v>
      </c>
      <c r="S41" s="5">
        <v>13968</v>
      </c>
      <c r="T41" s="5">
        <v>0</v>
      </c>
      <c r="U41" s="5">
        <v>0</v>
      </c>
      <c r="V41" s="5">
        <v>0</v>
      </c>
      <c r="W41" s="5">
        <v>0</v>
      </c>
      <c r="X41" s="125">
        <v>64087.669628116921</v>
      </c>
      <c r="Y41" s="125">
        <v>6.5385432553808496</v>
      </c>
      <c r="Z41" s="125">
        <v>50119.669628116921</v>
      </c>
      <c r="AA41" s="112">
        <v>228152.1</v>
      </c>
      <c r="AB41" s="112">
        <v>49726.080000000002</v>
      </c>
      <c r="AC41" s="8">
        <v>0.21795144184602833</v>
      </c>
      <c r="AD41" s="67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189" t="s">
        <v>1</v>
      </c>
      <c r="BJ41" s="204" t="s">
        <v>810</v>
      </c>
    </row>
    <row r="42" spans="1:62" ht="12.75" customHeight="1" x14ac:dyDescent="0.35">
      <c r="A42" s="108"/>
      <c r="B42" s="126" t="s">
        <v>1</v>
      </c>
      <c r="C42" s="5" t="s">
        <v>17</v>
      </c>
      <c r="D42" s="5" t="s">
        <v>312</v>
      </c>
      <c r="E42" s="5" t="s">
        <v>398</v>
      </c>
      <c r="F42" s="5">
        <v>1067656</v>
      </c>
      <c r="G42" s="7" t="s">
        <v>536</v>
      </c>
      <c r="H42" s="139">
        <v>13935.977857518501</v>
      </c>
      <c r="I42" s="139">
        <v>1672.3173429022202</v>
      </c>
      <c r="J42" s="125">
        <v>0</v>
      </c>
      <c r="K42" s="125">
        <v>10853</v>
      </c>
      <c r="L42" s="130">
        <v>1302.3599999999999</v>
      </c>
      <c r="M42" s="123">
        <v>1.0025848306340459</v>
      </c>
      <c r="N42" s="130">
        <v>369.95734290222026</v>
      </c>
      <c r="O42" s="130">
        <v>29.956857994930925</v>
      </c>
      <c r="P42" s="123">
        <v>2.0458342921882888</v>
      </c>
      <c r="Q42" s="5">
        <v>7520</v>
      </c>
      <c r="R42" s="5">
        <v>3119</v>
      </c>
      <c r="S42" s="5">
        <v>4401</v>
      </c>
      <c r="T42" s="5">
        <v>0</v>
      </c>
      <c r="U42" s="5">
        <v>0</v>
      </c>
      <c r="V42" s="5">
        <v>0</v>
      </c>
      <c r="W42" s="5">
        <v>0</v>
      </c>
      <c r="X42" s="125">
        <v>16633.333333333332</v>
      </c>
      <c r="Y42" s="125">
        <v>7.9376753507014044</v>
      </c>
      <c r="Z42" s="125">
        <v>-4437.022142481499</v>
      </c>
      <c r="AA42" s="112">
        <v>17419.97</v>
      </c>
      <c r="AB42" s="112">
        <v>5501.25</v>
      </c>
      <c r="AC42" s="8">
        <v>1.3183861360749589</v>
      </c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188" t="s">
        <v>1</v>
      </c>
      <c r="BJ42" s="204" t="s">
        <v>805</v>
      </c>
    </row>
    <row r="43" spans="1:62" ht="12.5" customHeight="1" x14ac:dyDescent="0.35">
      <c r="A43" s="108"/>
      <c r="B43" s="126" t="s">
        <v>21</v>
      </c>
      <c r="C43" s="5" t="s">
        <v>5</v>
      </c>
      <c r="D43" s="5" t="s">
        <v>396</v>
      </c>
      <c r="E43" s="5" t="s">
        <v>307</v>
      </c>
      <c r="F43" s="5">
        <v>1082268</v>
      </c>
      <c r="G43" s="7" t="s">
        <v>773</v>
      </c>
      <c r="H43" s="139">
        <v>7039.3264876644344</v>
      </c>
      <c r="I43" s="139">
        <v>1407.8652975328869</v>
      </c>
      <c r="J43" s="125">
        <v>0</v>
      </c>
      <c r="K43" s="125">
        <v>7360</v>
      </c>
      <c r="L43" s="130">
        <v>1472</v>
      </c>
      <c r="M43" s="123">
        <v>1.1001052463712857</v>
      </c>
      <c r="N43" s="130">
        <v>64.134702467113129</v>
      </c>
      <c r="O43" s="130">
        <v>8.4375791281848027</v>
      </c>
      <c r="P43" s="123">
        <v>1.2478451170772349</v>
      </c>
      <c r="Q43" s="5">
        <v>2844</v>
      </c>
      <c r="R43" s="5">
        <v>384</v>
      </c>
      <c r="S43" s="5">
        <v>2460</v>
      </c>
      <c r="T43" s="5">
        <v>0</v>
      </c>
      <c r="U43" s="5">
        <v>0</v>
      </c>
      <c r="V43" s="5">
        <v>0</v>
      </c>
      <c r="W43" s="5">
        <v>0</v>
      </c>
      <c r="X43" s="125">
        <v>9219.0476190476184</v>
      </c>
      <c r="Y43" s="125">
        <v>8.0051652892561993</v>
      </c>
      <c r="Z43" s="125">
        <v>-3164.6735123355656</v>
      </c>
      <c r="AA43" s="112">
        <v>16964.78</v>
      </c>
      <c r="AB43" s="112">
        <v>5928.6</v>
      </c>
      <c r="AC43" s="8">
        <v>1.4495704976720816</v>
      </c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188" t="s">
        <v>1</v>
      </c>
      <c r="BJ43" s="204"/>
    </row>
    <row r="44" spans="1:62" ht="12.5" customHeight="1" x14ac:dyDescent="0.35">
      <c r="A44" s="108"/>
      <c r="B44" s="126" t="s">
        <v>31</v>
      </c>
      <c r="C44" s="5" t="s">
        <v>5</v>
      </c>
      <c r="D44" s="5" t="s">
        <v>306</v>
      </c>
      <c r="E44" s="5" t="s">
        <v>307</v>
      </c>
      <c r="F44" s="142">
        <v>1076008</v>
      </c>
      <c r="G44" s="143" t="s">
        <v>654</v>
      </c>
      <c r="H44" s="139">
        <v>58293.087738524882</v>
      </c>
      <c r="I44" s="139">
        <v>29146.543869262441</v>
      </c>
      <c r="J44" s="125">
        <v>0</v>
      </c>
      <c r="K44" s="125">
        <v>24804</v>
      </c>
      <c r="L44" s="130">
        <v>12402</v>
      </c>
      <c r="M44" s="123">
        <v>0.56095844753801127</v>
      </c>
      <c r="N44" s="130">
        <v>16744.543869262441</v>
      </c>
      <c r="O44" s="130">
        <v>1.0678786686123569</v>
      </c>
      <c r="P44" s="123">
        <v>1.0400540119792074</v>
      </c>
      <c r="Q44" s="5">
        <v>23857</v>
      </c>
      <c r="R44" s="5">
        <v>7896</v>
      </c>
      <c r="S44" s="5">
        <v>15961</v>
      </c>
      <c r="T44" s="5">
        <v>0</v>
      </c>
      <c r="U44" s="5">
        <v>0</v>
      </c>
      <c r="V44" s="5">
        <v>0</v>
      </c>
      <c r="W44" s="5">
        <v>840</v>
      </c>
      <c r="X44" s="125">
        <v>58293.087738524875</v>
      </c>
      <c r="Y44" s="125">
        <v>8.2141814506001829</v>
      </c>
      <c r="Z44" s="125">
        <v>9632.0877385248823</v>
      </c>
      <c r="AA44" s="112">
        <v>683777.92</v>
      </c>
      <c r="AB44" s="112">
        <v>197075.73</v>
      </c>
      <c r="AC44" s="8">
        <v>0.83476449589135071</v>
      </c>
      <c r="AD44" s="66"/>
      <c r="AE44" s="66">
        <v>20.181318524705016</v>
      </c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188" t="s">
        <v>1</v>
      </c>
      <c r="BJ44" s="204" t="s">
        <v>825</v>
      </c>
    </row>
    <row r="45" spans="1:62" ht="12.75" customHeight="1" x14ac:dyDescent="0.35">
      <c r="A45" s="108"/>
      <c r="B45" s="126" t="s">
        <v>27</v>
      </c>
      <c r="C45" s="5" t="s">
        <v>5</v>
      </c>
      <c r="D45" s="5" t="s">
        <v>312</v>
      </c>
      <c r="E45" s="5" t="s">
        <v>313</v>
      </c>
      <c r="F45" s="137">
        <v>1080361</v>
      </c>
      <c r="G45" s="138" t="s">
        <v>741</v>
      </c>
      <c r="H45" s="139">
        <v>6623.2240815562354</v>
      </c>
      <c r="I45" s="139">
        <v>3046.6830775158683</v>
      </c>
      <c r="J45" s="125">
        <v>0</v>
      </c>
      <c r="K45" s="125">
        <v>4268</v>
      </c>
      <c r="L45" s="130">
        <v>1963.28</v>
      </c>
      <c r="M45" s="123">
        <v>0.64439915476892085</v>
      </c>
      <c r="N45" s="130">
        <v>1083.4030775158683</v>
      </c>
      <c r="O45" s="130">
        <v>0</v>
      </c>
      <c r="P45" s="123">
        <v>0.64673980424268851</v>
      </c>
      <c r="Q45" s="5">
        <v>2023</v>
      </c>
      <c r="R45" s="5">
        <v>0</v>
      </c>
      <c r="S45" s="5">
        <v>2023</v>
      </c>
      <c r="T45" s="5">
        <v>0</v>
      </c>
      <c r="U45" s="5">
        <v>440</v>
      </c>
      <c r="V45" s="5">
        <v>0</v>
      </c>
      <c r="W45" s="5">
        <v>0</v>
      </c>
      <c r="X45" s="125">
        <v>6623.2240815562354</v>
      </c>
      <c r="Y45" s="125">
        <v>9.1632110362993924</v>
      </c>
      <c r="Z45" s="125">
        <v>332.22408155623543</v>
      </c>
      <c r="AA45" s="112">
        <v>3377.84</v>
      </c>
      <c r="AB45" s="112">
        <v>1256.1300000000001</v>
      </c>
      <c r="AC45" s="8">
        <v>0.94983952264556726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188"/>
      <c r="BJ45" s="205" t="s">
        <v>865</v>
      </c>
    </row>
    <row r="46" spans="1:62" ht="12.75" customHeight="1" x14ac:dyDescent="0.35">
      <c r="A46" s="108"/>
      <c r="B46" s="126" t="s">
        <v>4</v>
      </c>
      <c r="C46" s="5" t="s">
        <v>5</v>
      </c>
      <c r="D46" s="5" t="s">
        <v>308</v>
      </c>
      <c r="E46" s="5" t="s">
        <v>315</v>
      </c>
      <c r="F46" s="5">
        <v>1071156</v>
      </c>
      <c r="G46" s="7" t="s">
        <v>616</v>
      </c>
      <c r="H46" s="139">
        <v>20791.460951874975</v>
      </c>
      <c r="I46" s="139">
        <v>3742.4629713374952</v>
      </c>
      <c r="J46" s="125">
        <v>0</v>
      </c>
      <c r="K46" s="125">
        <v>16796</v>
      </c>
      <c r="L46" s="130">
        <v>3023.2799999999997</v>
      </c>
      <c r="M46" s="123">
        <v>0.935961164299284</v>
      </c>
      <c r="N46" s="130">
        <v>719.18297133749547</v>
      </c>
      <c r="O46" s="130">
        <v>0</v>
      </c>
      <c r="P46" s="123">
        <v>0.85116539478833553</v>
      </c>
      <c r="Q46" s="5">
        <v>10220</v>
      </c>
      <c r="R46" s="5">
        <v>2664</v>
      </c>
      <c r="S46" s="5">
        <v>7556</v>
      </c>
      <c r="T46" s="5">
        <v>0</v>
      </c>
      <c r="U46" s="5">
        <v>0</v>
      </c>
      <c r="V46" s="5">
        <v>0</v>
      </c>
      <c r="W46" s="5">
        <v>1440</v>
      </c>
      <c r="X46" s="125">
        <v>23166.666666666668</v>
      </c>
      <c r="Y46" s="125">
        <v>9.7847482014388483</v>
      </c>
      <c r="Z46" s="125">
        <v>-6224.5390481250251</v>
      </c>
      <c r="AA46" s="112">
        <v>80047.12</v>
      </c>
      <c r="AB46" s="112">
        <v>34634.6</v>
      </c>
      <c r="AC46" s="8">
        <v>1.2993795896561899</v>
      </c>
      <c r="AD46" s="66"/>
      <c r="AE46" s="66">
        <v>25.413523318326849</v>
      </c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188" t="s">
        <v>1</v>
      </c>
      <c r="BJ46" s="204"/>
    </row>
    <row r="47" spans="1:62" ht="12.5" customHeight="1" x14ac:dyDescent="0.35">
      <c r="A47" s="108"/>
      <c r="B47" s="126" t="s">
        <v>1</v>
      </c>
      <c r="C47" s="5" t="s">
        <v>2</v>
      </c>
      <c r="D47" s="5" t="s">
        <v>306</v>
      </c>
      <c r="E47" s="5" t="s">
        <v>401</v>
      </c>
      <c r="F47" s="5">
        <v>1077615</v>
      </c>
      <c r="G47" s="7" t="s">
        <v>725</v>
      </c>
      <c r="H47" s="139">
        <v>1965.6255445056102</v>
      </c>
      <c r="I47" s="139">
        <v>1081.0940494780857</v>
      </c>
      <c r="J47" s="125">
        <v>0</v>
      </c>
      <c r="K47" s="125">
        <v>4284</v>
      </c>
      <c r="L47" s="130">
        <v>2356.2000000000003</v>
      </c>
      <c r="M47" s="123">
        <v>2.7289022647236414</v>
      </c>
      <c r="N47" s="130">
        <v>1275.1059505219146</v>
      </c>
      <c r="O47" s="130">
        <v>0</v>
      </c>
      <c r="P47" s="123">
        <v>0.79817852978532255</v>
      </c>
      <c r="Q47" s="5">
        <v>3192</v>
      </c>
      <c r="R47" s="5">
        <v>1080</v>
      </c>
      <c r="S47" s="5">
        <v>2112</v>
      </c>
      <c r="T47" s="5">
        <v>0</v>
      </c>
      <c r="U47" s="5">
        <v>0</v>
      </c>
      <c r="V47" s="5">
        <v>0</v>
      </c>
      <c r="W47" s="5">
        <v>12</v>
      </c>
      <c r="X47" s="125">
        <v>6385.7142857142853</v>
      </c>
      <c r="Y47" s="125">
        <v>9.9221476510067124</v>
      </c>
      <c r="Z47" s="125">
        <v>-5510.3744554943896</v>
      </c>
      <c r="AA47" s="112">
        <v>12501.38</v>
      </c>
      <c r="AB47" s="112">
        <v>13508.64</v>
      </c>
      <c r="AC47" s="8">
        <v>3.803369375666283</v>
      </c>
      <c r="AD47" s="66"/>
      <c r="AE47" s="66">
        <v>532.11500000000001</v>
      </c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188" t="s">
        <v>1</v>
      </c>
      <c r="BJ47" s="204" t="s">
        <v>831</v>
      </c>
    </row>
    <row r="48" spans="1:62" ht="12.5" customHeight="1" x14ac:dyDescent="0.35">
      <c r="A48" s="108"/>
      <c r="B48" s="126" t="s">
        <v>27</v>
      </c>
      <c r="C48" s="5" t="s">
        <v>5</v>
      </c>
      <c r="D48" s="5" t="s">
        <v>312</v>
      </c>
      <c r="E48" s="5" t="s">
        <v>313</v>
      </c>
      <c r="F48" s="157">
        <v>1072351</v>
      </c>
      <c r="G48" s="158" t="s">
        <v>595</v>
      </c>
      <c r="H48" s="139">
        <v>276977.30337988958</v>
      </c>
      <c r="I48" s="139">
        <v>63150.825170614829</v>
      </c>
      <c r="J48" s="125">
        <v>0</v>
      </c>
      <c r="K48" s="125">
        <v>249703</v>
      </c>
      <c r="L48" s="130">
        <v>56932.284</v>
      </c>
      <c r="M48" s="123">
        <v>1.0938982952853702</v>
      </c>
      <c r="N48" s="130">
        <v>6218.5411706148298</v>
      </c>
      <c r="O48" s="130">
        <v>0</v>
      </c>
      <c r="P48" s="123">
        <v>0.66012105764044438</v>
      </c>
      <c r="Q48" s="5">
        <v>182220</v>
      </c>
      <c r="R48" s="5">
        <v>53282</v>
      </c>
      <c r="S48" s="5">
        <v>128938</v>
      </c>
      <c r="T48" s="5">
        <v>5394</v>
      </c>
      <c r="U48" s="5">
        <v>420</v>
      </c>
      <c r="V48" s="5">
        <v>0</v>
      </c>
      <c r="W48" s="5">
        <v>7500</v>
      </c>
      <c r="X48" s="125">
        <v>360696.42857142858</v>
      </c>
      <c r="Y48" s="125">
        <v>10.724087331055992</v>
      </c>
      <c r="Z48" s="125">
        <v>-160339.69662011042</v>
      </c>
      <c r="AA48" s="112">
        <v>531796.42000000004</v>
      </c>
      <c r="AB48" s="112">
        <v>273123.84000000003</v>
      </c>
      <c r="AC48" s="8">
        <v>1.5788911028576074</v>
      </c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189"/>
      <c r="BJ48" s="207"/>
    </row>
    <row r="49" spans="1:62" ht="12.75" customHeight="1" x14ac:dyDescent="0.35">
      <c r="A49" s="108"/>
      <c r="B49" s="126" t="s">
        <v>31</v>
      </c>
      <c r="C49" s="5" t="s">
        <v>5</v>
      </c>
      <c r="D49" s="5" t="s">
        <v>306</v>
      </c>
      <c r="E49" s="5" t="s">
        <v>307</v>
      </c>
      <c r="F49" s="5">
        <v>1074077</v>
      </c>
      <c r="G49" s="7" t="s">
        <v>696</v>
      </c>
      <c r="H49" s="139">
        <v>46225.523185335158</v>
      </c>
      <c r="I49" s="139">
        <v>8597.947312472339</v>
      </c>
      <c r="J49" s="125">
        <v>0</v>
      </c>
      <c r="K49" s="125">
        <v>12010</v>
      </c>
      <c r="L49" s="130">
        <v>2233.86</v>
      </c>
      <c r="M49" s="123">
        <v>0.30044008251281201</v>
      </c>
      <c r="N49" s="130">
        <v>6364.0873124723385</v>
      </c>
      <c r="O49" s="130">
        <v>0</v>
      </c>
      <c r="P49" s="123">
        <v>0.40089420330863484</v>
      </c>
      <c r="Q49" s="5">
        <v>18752</v>
      </c>
      <c r="R49" s="5">
        <v>1878</v>
      </c>
      <c r="S49" s="5">
        <v>16874</v>
      </c>
      <c r="T49" s="5">
        <v>0</v>
      </c>
      <c r="U49" s="5">
        <v>0</v>
      </c>
      <c r="V49" s="5">
        <v>0</v>
      </c>
      <c r="W49" s="5">
        <v>240</v>
      </c>
      <c r="X49" s="125">
        <v>46225.523185335158</v>
      </c>
      <c r="Y49" s="125">
        <v>10.951092926961095</v>
      </c>
      <c r="Z49" s="125">
        <v>15463.523185335158</v>
      </c>
      <c r="AA49" s="112">
        <v>146997.16</v>
      </c>
      <c r="AB49" s="112">
        <v>54422.52</v>
      </c>
      <c r="AC49" s="8">
        <v>0.66547651341151526</v>
      </c>
      <c r="AD49" s="66"/>
      <c r="AE49" s="66" t="s">
        <v>574</v>
      </c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189" t="s">
        <v>1</v>
      </c>
      <c r="BJ49" s="204" t="s">
        <v>828</v>
      </c>
    </row>
    <row r="50" spans="1:62" ht="12.75" customHeight="1" x14ac:dyDescent="0.35">
      <c r="A50" s="108"/>
      <c r="B50" s="126" t="s">
        <v>31</v>
      </c>
      <c r="C50" s="5" t="s">
        <v>5</v>
      </c>
      <c r="D50" s="5" t="s">
        <v>306</v>
      </c>
      <c r="E50" s="5" t="s">
        <v>307</v>
      </c>
      <c r="F50" s="5">
        <v>1071764</v>
      </c>
      <c r="G50" s="7" t="s">
        <v>604</v>
      </c>
      <c r="H50" s="139">
        <v>7993.5623736748039</v>
      </c>
      <c r="I50" s="139">
        <v>2877.6824545229292</v>
      </c>
      <c r="J50" s="125">
        <v>0</v>
      </c>
      <c r="K50" s="125">
        <v>4567</v>
      </c>
      <c r="L50" s="130">
        <v>1644.12</v>
      </c>
      <c r="M50" s="123">
        <v>0.66440965263381369</v>
      </c>
      <c r="N50" s="130">
        <v>1233.5624545229293</v>
      </c>
      <c r="O50" s="130">
        <v>0</v>
      </c>
      <c r="P50" s="123">
        <v>0.82367029382170431</v>
      </c>
      <c r="Q50" s="5">
        <v>3772</v>
      </c>
      <c r="R50" s="5">
        <v>744</v>
      </c>
      <c r="S50" s="5">
        <v>3028</v>
      </c>
      <c r="T50" s="5">
        <v>0</v>
      </c>
      <c r="U50" s="5">
        <v>0</v>
      </c>
      <c r="V50" s="5">
        <v>0</v>
      </c>
      <c r="W50" s="5">
        <v>0</v>
      </c>
      <c r="X50" s="125">
        <v>7993.5623736748048</v>
      </c>
      <c r="Y50" s="125">
        <v>11.364144764687559</v>
      </c>
      <c r="Z50" s="125">
        <v>-345.43762632519611</v>
      </c>
      <c r="AA50" s="112">
        <v>55954.94</v>
      </c>
      <c r="AB50" s="112">
        <v>21196</v>
      </c>
      <c r="AC50" s="8">
        <v>1.0432144781233992</v>
      </c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188"/>
      <c r="BJ50" s="204"/>
    </row>
    <row r="51" spans="1:62" ht="12.5" customHeight="1" x14ac:dyDescent="0.35">
      <c r="A51" s="108"/>
      <c r="B51" s="126" t="s">
        <v>1</v>
      </c>
      <c r="C51" s="5" t="s">
        <v>2</v>
      </c>
      <c r="D51" s="5" t="s">
        <v>310</v>
      </c>
      <c r="E51" s="5" t="s">
        <v>311</v>
      </c>
      <c r="F51" s="5">
        <v>1078888</v>
      </c>
      <c r="G51" s="7" t="s">
        <v>717</v>
      </c>
      <c r="H51" s="139">
        <v>12360</v>
      </c>
      <c r="I51" s="139">
        <v>1236</v>
      </c>
      <c r="J51" s="125">
        <v>0</v>
      </c>
      <c r="K51" s="125">
        <v>16392</v>
      </c>
      <c r="L51" s="130">
        <v>1639.2</v>
      </c>
      <c r="M51" s="123">
        <v>1.7351132686084143</v>
      </c>
      <c r="N51" s="130">
        <v>403.20000000000005</v>
      </c>
      <c r="O51" s="130">
        <v>12.832524271844658</v>
      </c>
      <c r="P51" s="123">
        <v>1.4051340996168582</v>
      </c>
      <c r="Q51" s="5">
        <v>14821</v>
      </c>
      <c r="R51" s="5">
        <v>5054</v>
      </c>
      <c r="S51" s="5">
        <v>9767</v>
      </c>
      <c r="T51" s="5">
        <v>0</v>
      </c>
      <c r="U51" s="5">
        <v>0</v>
      </c>
      <c r="V51" s="5">
        <v>0</v>
      </c>
      <c r="W51" s="5">
        <v>17803</v>
      </c>
      <c r="X51" s="125">
        <v>25530.952380952382</v>
      </c>
      <c r="Y51" s="125">
        <v>11.476657651776556</v>
      </c>
      <c r="Z51" s="125">
        <v>-18853</v>
      </c>
      <c r="AA51" s="112">
        <v>17427.599999999999</v>
      </c>
      <c r="AB51" s="112">
        <v>38873.699999999997</v>
      </c>
      <c r="AC51" s="8">
        <v>2.5253236245954693</v>
      </c>
      <c r="AD51" s="66"/>
      <c r="AE51" s="66">
        <v>109.37333145988478</v>
      </c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188" t="s">
        <v>1</v>
      </c>
      <c r="BJ51" s="204"/>
    </row>
    <row r="52" spans="1:62" ht="12.5" customHeight="1" x14ac:dyDescent="0.35">
      <c r="A52" s="108"/>
      <c r="B52" s="126" t="s">
        <v>31</v>
      </c>
      <c r="C52" s="5" t="s">
        <v>5</v>
      </c>
      <c r="D52" s="5" t="s">
        <v>306</v>
      </c>
      <c r="E52" s="5" t="s">
        <v>307</v>
      </c>
      <c r="F52" s="142">
        <v>1076007</v>
      </c>
      <c r="G52" s="143" t="s">
        <v>653</v>
      </c>
      <c r="H52" s="139">
        <v>5562.8044472373122</v>
      </c>
      <c r="I52" s="139">
        <v>1668.8413341711937</v>
      </c>
      <c r="J52" s="125">
        <v>0</v>
      </c>
      <c r="K52" s="125">
        <v>220</v>
      </c>
      <c r="L52" s="130">
        <v>66</v>
      </c>
      <c r="M52" s="123">
        <v>3.9548397231410834E-2</v>
      </c>
      <c r="N52" s="130">
        <v>1602.8413341711937</v>
      </c>
      <c r="O52" s="130">
        <v>0</v>
      </c>
      <c r="P52" s="123">
        <v>0</v>
      </c>
      <c r="Q52" s="5">
        <v>2240</v>
      </c>
      <c r="R52" s="5">
        <v>0</v>
      </c>
      <c r="S52" s="5">
        <v>2240</v>
      </c>
      <c r="T52" s="5">
        <v>0</v>
      </c>
      <c r="U52" s="5">
        <v>0</v>
      </c>
      <c r="V52" s="5">
        <v>0</v>
      </c>
      <c r="W52" s="5">
        <v>0</v>
      </c>
      <c r="X52" s="125">
        <v>5562.8044472373122</v>
      </c>
      <c r="Y52" s="125">
        <v>12.080237699776401</v>
      </c>
      <c r="Z52" s="125">
        <v>3102.8044472373122</v>
      </c>
      <c r="AA52" s="112">
        <v>41220.379999999997</v>
      </c>
      <c r="AB52" s="112">
        <v>16598.400000000001</v>
      </c>
      <c r="AC52" s="8">
        <v>0.44222298722395748</v>
      </c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188"/>
      <c r="BJ52" s="204" t="s">
        <v>820</v>
      </c>
    </row>
    <row r="53" spans="1:62" ht="12.75" customHeight="1" x14ac:dyDescent="0.35">
      <c r="A53" s="108"/>
      <c r="B53" s="126" t="s">
        <v>148</v>
      </c>
      <c r="C53" s="5" t="s">
        <v>5</v>
      </c>
      <c r="D53" s="5" t="s">
        <v>318</v>
      </c>
      <c r="E53" s="5" t="s">
        <v>319</v>
      </c>
      <c r="F53" s="132">
        <v>1065299</v>
      </c>
      <c r="G53" s="133" t="s">
        <v>506</v>
      </c>
      <c r="H53" s="139">
        <v>117765</v>
      </c>
      <c r="I53" s="139">
        <v>94212</v>
      </c>
      <c r="J53" s="125">
        <v>0</v>
      </c>
      <c r="K53" s="125">
        <v>64812</v>
      </c>
      <c r="L53" s="130">
        <v>51849.600000000006</v>
      </c>
      <c r="M53" s="123">
        <v>0.80509489237039866</v>
      </c>
      <c r="N53" s="130">
        <v>42362.399999999994</v>
      </c>
      <c r="O53" s="130">
        <v>1.095401859635716</v>
      </c>
      <c r="P53" s="123">
        <v>1.0860000000000001</v>
      </c>
      <c r="Q53" s="5">
        <v>77946</v>
      </c>
      <c r="R53" s="5">
        <v>30000</v>
      </c>
      <c r="S53" s="5">
        <v>47946</v>
      </c>
      <c r="T53" s="5">
        <v>26880</v>
      </c>
      <c r="U53" s="5">
        <v>0</v>
      </c>
      <c r="V53" s="5">
        <v>0</v>
      </c>
      <c r="W53" s="5">
        <v>0</v>
      </c>
      <c r="X53" s="125">
        <v>117765</v>
      </c>
      <c r="Y53" s="125">
        <v>12.213985479556744</v>
      </c>
      <c r="Z53" s="125">
        <v>-51873</v>
      </c>
      <c r="AA53" s="112">
        <v>862039.8</v>
      </c>
      <c r="AB53" s="112">
        <v>547726.31999999995</v>
      </c>
      <c r="AC53" s="8">
        <v>1.4404789198828174</v>
      </c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188"/>
      <c r="BJ53" s="204"/>
    </row>
    <row r="54" spans="1:62" ht="12.75" customHeight="1" x14ac:dyDescent="0.35">
      <c r="A54" s="108"/>
      <c r="B54" s="126">
        <v>0</v>
      </c>
      <c r="C54" s="5" t="s">
        <v>2</v>
      </c>
      <c r="D54" s="5" t="s">
        <v>310</v>
      </c>
      <c r="E54" s="5" t="s">
        <v>311</v>
      </c>
      <c r="F54" s="164">
        <v>1080745</v>
      </c>
      <c r="G54" s="169" t="s">
        <v>788</v>
      </c>
      <c r="H54" s="139">
        <v>2233.2553376057795</v>
      </c>
      <c r="I54" s="139">
        <v>1071.9625620507741</v>
      </c>
      <c r="J54" s="125">
        <v>0</v>
      </c>
      <c r="K54" s="125">
        <v>2451</v>
      </c>
      <c r="L54" s="130">
        <v>1176.48</v>
      </c>
      <c r="M54" s="123">
        <v>1.1619808789003225</v>
      </c>
      <c r="N54" s="130">
        <v>104.51743794922595</v>
      </c>
      <c r="O54" s="130">
        <v>0</v>
      </c>
      <c r="P54" s="123">
        <v>0.20136375723566322</v>
      </c>
      <c r="Q54" s="5">
        <v>1422</v>
      </c>
      <c r="R54" s="5">
        <v>144</v>
      </c>
      <c r="S54" s="5">
        <v>1278</v>
      </c>
      <c r="T54" s="5">
        <v>0</v>
      </c>
      <c r="U54" s="5">
        <v>0</v>
      </c>
      <c r="V54" s="5">
        <v>0</v>
      </c>
      <c r="W54" s="5">
        <v>0</v>
      </c>
      <c r="X54" s="125">
        <v>3089.2857142857147</v>
      </c>
      <c r="Y54" s="125">
        <v>12.410635838150286</v>
      </c>
      <c r="Z54" s="125">
        <v>-1639.7446623942205</v>
      </c>
      <c r="AA54" s="112">
        <v>51119.21</v>
      </c>
      <c r="AB54" s="112">
        <v>29253.42</v>
      </c>
      <c r="AC54" s="8">
        <v>1.7342396701275333</v>
      </c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189" t="s">
        <v>1</v>
      </c>
      <c r="BJ54" s="204" t="s">
        <v>837</v>
      </c>
    </row>
    <row r="55" spans="1:62" ht="12.75" customHeight="1" x14ac:dyDescent="0.35">
      <c r="A55" s="108"/>
      <c r="B55" s="126" t="s">
        <v>4</v>
      </c>
      <c r="C55" s="5" t="s">
        <v>5</v>
      </c>
      <c r="D55" s="5" t="s">
        <v>308</v>
      </c>
      <c r="E55" s="5" t="s">
        <v>314</v>
      </c>
      <c r="F55" s="5">
        <v>1075137</v>
      </c>
      <c r="G55" s="3" t="s">
        <v>652</v>
      </c>
      <c r="H55" s="139">
        <v>10423.112164370817</v>
      </c>
      <c r="I55" s="139">
        <v>1500.9281516693975</v>
      </c>
      <c r="J55" s="125">
        <v>0</v>
      </c>
      <c r="K55" s="125">
        <v>9178</v>
      </c>
      <c r="L55" s="130">
        <v>1321.6319999999998</v>
      </c>
      <c r="M55" s="123">
        <v>0.88054314827130353</v>
      </c>
      <c r="N55" s="130">
        <v>179.29615166939766</v>
      </c>
      <c r="O55" s="130">
        <v>0</v>
      </c>
      <c r="P55" s="123">
        <v>0.83500147599009755</v>
      </c>
      <c r="Q55" s="5">
        <v>4523</v>
      </c>
      <c r="R55" s="5">
        <v>0</v>
      </c>
      <c r="S55" s="5">
        <v>4523</v>
      </c>
      <c r="T55" s="5">
        <v>0</v>
      </c>
      <c r="U55" s="5">
        <v>0</v>
      </c>
      <c r="V55" s="5">
        <v>0</v>
      </c>
      <c r="W55" s="5">
        <v>600</v>
      </c>
      <c r="X55" s="125">
        <v>10926.190476190477</v>
      </c>
      <c r="Y55" s="125">
        <v>12.418784048812375</v>
      </c>
      <c r="Z55" s="125">
        <v>-3277.8878356291825</v>
      </c>
      <c r="AA55" s="112">
        <v>26891.63</v>
      </c>
      <c r="AB55" s="112">
        <v>13217.34</v>
      </c>
      <c r="AC55" s="8">
        <v>1.3144826404952199</v>
      </c>
      <c r="AD55" s="66"/>
      <c r="AE55" s="66">
        <v>14.604715532689871</v>
      </c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188" t="s">
        <v>1</v>
      </c>
      <c r="BJ55" s="204"/>
    </row>
    <row r="56" spans="1:62" ht="12.5" customHeight="1" x14ac:dyDescent="0.35">
      <c r="A56" s="108"/>
      <c r="B56" s="126" t="s">
        <v>27</v>
      </c>
      <c r="C56" s="5" t="s">
        <v>5</v>
      </c>
      <c r="D56" s="5" t="s">
        <v>312</v>
      </c>
      <c r="E56" s="5" t="s">
        <v>313</v>
      </c>
      <c r="F56" s="5">
        <v>1073737</v>
      </c>
      <c r="G56" s="7" t="s">
        <v>619</v>
      </c>
      <c r="H56" s="139">
        <v>44618.368414167053</v>
      </c>
      <c r="I56" s="139">
        <v>16954.979997383482</v>
      </c>
      <c r="J56" s="125">
        <v>0</v>
      </c>
      <c r="K56" s="125">
        <v>51344</v>
      </c>
      <c r="L56" s="130">
        <v>19510.72</v>
      </c>
      <c r="M56" s="123">
        <v>1.1660668430780241</v>
      </c>
      <c r="N56" s="130">
        <v>2555.7400026165196</v>
      </c>
      <c r="O56" s="130">
        <v>0</v>
      </c>
      <c r="P56" s="123">
        <v>0.78536763229984541</v>
      </c>
      <c r="Q56" s="5">
        <v>26592</v>
      </c>
      <c r="R56" s="5">
        <v>684</v>
      </c>
      <c r="S56" s="5">
        <v>25908</v>
      </c>
      <c r="T56" s="5">
        <v>0</v>
      </c>
      <c r="U56" s="5">
        <v>0</v>
      </c>
      <c r="V56" s="5">
        <v>0</v>
      </c>
      <c r="W56" s="5">
        <v>0</v>
      </c>
      <c r="X56" s="125">
        <v>61938.095238095237</v>
      </c>
      <c r="Y56" s="125">
        <v>12.548658414699776</v>
      </c>
      <c r="Z56" s="125">
        <v>-33317.631585832947</v>
      </c>
      <c r="AA56" s="112">
        <v>175350.19</v>
      </c>
      <c r="AB56" s="112">
        <v>101818.44</v>
      </c>
      <c r="AC56" s="8">
        <v>1.746724561430939</v>
      </c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188" t="s">
        <v>1</v>
      </c>
      <c r="BJ56" s="204" t="s">
        <v>814</v>
      </c>
    </row>
    <row r="57" spans="1:62" ht="14" customHeight="1" x14ac:dyDescent="0.35">
      <c r="A57" s="108"/>
      <c r="B57" s="126" t="s">
        <v>8</v>
      </c>
      <c r="C57" s="5" t="s">
        <v>5</v>
      </c>
      <c r="D57" s="5" t="s">
        <v>308</v>
      </c>
      <c r="E57" s="5" t="s">
        <v>309</v>
      </c>
      <c r="F57" s="5">
        <v>1079778</v>
      </c>
      <c r="G57" s="7" t="s">
        <v>749</v>
      </c>
      <c r="H57" s="139">
        <v>3659.2680447107432</v>
      </c>
      <c r="I57" s="139">
        <v>1053.8691968766939</v>
      </c>
      <c r="J57" s="125">
        <v>0</v>
      </c>
      <c r="K57" s="125">
        <v>4615</v>
      </c>
      <c r="L57" s="130">
        <v>1329.12</v>
      </c>
      <c r="M57" s="123">
        <v>1.275938232168798</v>
      </c>
      <c r="N57" s="130">
        <v>275.25080312330601</v>
      </c>
      <c r="O57" s="130">
        <v>0</v>
      </c>
      <c r="P57" s="123">
        <v>0.94454963410328419</v>
      </c>
      <c r="Q57" s="5">
        <v>2391</v>
      </c>
      <c r="R57" s="5">
        <v>54</v>
      </c>
      <c r="S57" s="5">
        <v>2337</v>
      </c>
      <c r="T57" s="5">
        <v>0</v>
      </c>
      <c r="U57" s="5">
        <v>0</v>
      </c>
      <c r="V57" s="5">
        <v>0</v>
      </c>
      <c r="W57" s="5">
        <v>270</v>
      </c>
      <c r="X57" s="125">
        <v>5558.333333333333</v>
      </c>
      <c r="Y57" s="125">
        <v>12.613493253373314</v>
      </c>
      <c r="Z57" s="125">
        <v>-3346.7319552892568</v>
      </c>
      <c r="AA57" s="112">
        <v>39483.5</v>
      </c>
      <c r="AB57" s="112">
        <v>28129.53</v>
      </c>
      <c r="AC57" s="8">
        <v>1.9145905449934888</v>
      </c>
      <c r="AD57" s="66"/>
      <c r="AE57" s="66">
        <v>10.101209577882004</v>
      </c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188" t="s">
        <v>1</v>
      </c>
      <c r="BJ57" s="204"/>
    </row>
    <row r="58" spans="1:62" ht="12.75" customHeight="1" x14ac:dyDescent="0.35">
      <c r="A58" s="108"/>
      <c r="B58" s="126" t="s">
        <v>31</v>
      </c>
      <c r="C58" s="5" t="s">
        <v>5</v>
      </c>
      <c r="D58" s="5" t="s">
        <v>306</v>
      </c>
      <c r="E58" s="5" t="s">
        <v>307</v>
      </c>
      <c r="F58" s="5">
        <v>1076592</v>
      </c>
      <c r="G58" s="3" t="s">
        <v>676</v>
      </c>
      <c r="H58" s="139">
        <v>9327.0223546881261</v>
      </c>
      <c r="I58" s="139">
        <v>2798.1067064064378</v>
      </c>
      <c r="J58" s="125">
        <v>0</v>
      </c>
      <c r="K58" s="125">
        <v>3239</v>
      </c>
      <c r="L58" s="130">
        <v>971.69999999999993</v>
      </c>
      <c r="M58" s="123">
        <v>0.3616373877676618</v>
      </c>
      <c r="N58" s="130">
        <v>1826.4067064064379</v>
      </c>
      <c r="O58" s="130">
        <v>0</v>
      </c>
      <c r="P58" s="123">
        <v>0.48433856228272254</v>
      </c>
      <c r="Q58" s="5">
        <v>4290</v>
      </c>
      <c r="R58" s="5">
        <v>134</v>
      </c>
      <c r="S58" s="5">
        <v>4056</v>
      </c>
      <c r="T58" s="5">
        <v>0</v>
      </c>
      <c r="U58" s="5">
        <v>0</v>
      </c>
      <c r="V58" s="5">
        <v>0</v>
      </c>
      <c r="W58" s="5">
        <v>0</v>
      </c>
      <c r="X58" s="125">
        <v>9327.0223546881261</v>
      </c>
      <c r="Y58" s="125">
        <v>13.045964228748618</v>
      </c>
      <c r="Z58" s="125">
        <v>1798.0223546881261</v>
      </c>
      <c r="AA58" s="112">
        <v>55029.43</v>
      </c>
      <c r="AB58" s="112">
        <v>23930.400000000001</v>
      </c>
      <c r="AC58" s="8">
        <v>0.80722439742150187</v>
      </c>
      <c r="AD58" s="66"/>
      <c r="AE58" s="66">
        <v>10.813953488372093</v>
      </c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188" t="s">
        <v>1</v>
      </c>
      <c r="BJ58" s="204"/>
    </row>
    <row r="59" spans="1:62" ht="12.5" customHeight="1" x14ac:dyDescent="0.35">
      <c r="A59" s="108"/>
      <c r="B59" s="126" t="s">
        <v>31</v>
      </c>
      <c r="C59" s="5" t="s">
        <v>5</v>
      </c>
      <c r="D59" s="5" t="s">
        <v>306</v>
      </c>
      <c r="E59" s="5" t="s">
        <v>307</v>
      </c>
      <c r="F59" s="5">
        <v>1071168</v>
      </c>
      <c r="G59" s="193" t="s">
        <v>594</v>
      </c>
      <c r="H59" s="139">
        <v>272616.78999639739</v>
      </c>
      <c r="I59" s="139">
        <v>10904.671599855896</v>
      </c>
      <c r="J59" s="125">
        <v>0</v>
      </c>
      <c r="K59" s="125">
        <v>198359</v>
      </c>
      <c r="L59" s="130">
        <v>7934.3600000000006</v>
      </c>
      <c r="M59" s="123">
        <v>0.73333340915151235</v>
      </c>
      <c r="N59" s="130">
        <v>2970.3115998558951</v>
      </c>
      <c r="O59" s="130">
        <v>1.4395472413800994</v>
      </c>
      <c r="P59" s="123">
        <v>1.0496855739583215</v>
      </c>
      <c r="Q59" s="5">
        <v>121295</v>
      </c>
      <c r="R59" s="5">
        <v>1560</v>
      </c>
      <c r="S59" s="5">
        <v>119735</v>
      </c>
      <c r="T59" s="5">
        <v>0</v>
      </c>
      <c r="U59" s="5">
        <v>0</v>
      </c>
      <c r="V59" s="5">
        <v>0</v>
      </c>
      <c r="W59" s="5">
        <v>13200</v>
      </c>
      <c r="X59" s="125">
        <v>272616.78999639739</v>
      </c>
      <c r="Y59" s="125">
        <v>13.176187717739134</v>
      </c>
      <c r="Z59" s="125">
        <v>-47037.21000360261</v>
      </c>
      <c r="AA59" s="112">
        <v>234450.44</v>
      </c>
      <c r="AB59" s="112">
        <v>114324.1</v>
      </c>
      <c r="AC59" s="8">
        <v>1.1725396664094834</v>
      </c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189"/>
      <c r="BJ59" s="204" t="s">
        <v>819</v>
      </c>
    </row>
    <row r="60" spans="1:62" ht="12.75" customHeight="1" x14ac:dyDescent="0.35">
      <c r="A60" s="108"/>
      <c r="B60" s="126" t="s">
        <v>4</v>
      </c>
      <c r="C60" s="5" t="s">
        <v>5</v>
      </c>
      <c r="D60" s="5" t="s">
        <v>308</v>
      </c>
      <c r="E60" s="5" t="s">
        <v>314</v>
      </c>
      <c r="F60" s="5">
        <v>1075503</v>
      </c>
      <c r="G60" s="7" t="s">
        <v>643</v>
      </c>
      <c r="H60" s="139">
        <v>202763</v>
      </c>
      <c r="I60" s="139">
        <v>40552.600000000006</v>
      </c>
      <c r="J60" s="125">
        <v>0</v>
      </c>
      <c r="K60" s="125">
        <v>208724</v>
      </c>
      <c r="L60" s="130">
        <v>41744.800000000003</v>
      </c>
      <c r="M60" s="123">
        <v>1.1922589427065096</v>
      </c>
      <c r="N60" s="130">
        <v>1192.1999999999971</v>
      </c>
      <c r="O60" s="130">
        <v>5.2169281377766143</v>
      </c>
      <c r="P60" s="123">
        <v>1.176954732510288</v>
      </c>
      <c r="Q60" s="5">
        <v>162388</v>
      </c>
      <c r="R60" s="5">
        <v>33022</v>
      </c>
      <c r="S60" s="5">
        <v>129366</v>
      </c>
      <c r="T60" s="5">
        <v>0</v>
      </c>
      <c r="U60" s="5">
        <v>0</v>
      </c>
      <c r="V60" s="5">
        <v>0</v>
      </c>
      <c r="W60" s="5">
        <v>1</v>
      </c>
      <c r="X60" s="125">
        <v>287792.85714285716</v>
      </c>
      <c r="Y60" s="125">
        <v>13.485324265965103</v>
      </c>
      <c r="Z60" s="125">
        <v>-168349</v>
      </c>
      <c r="AA60" s="112">
        <v>470410.16</v>
      </c>
      <c r="AB60" s="112">
        <v>300131.44</v>
      </c>
      <c r="AC60" s="8">
        <v>1.8302747542697633</v>
      </c>
      <c r="AD60" s="66"/>
      <c r="AE60" s="66">
        <v>70.03012048192771</v>
      </c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188" t="s">
        <v>1</v>
      </c>
      <c r="BJ60" s="204" t="s">
        <v>817</v>
      </c>
    </row>
    <row r="61" spans="1:62" ht="12.75" customHeight="1" x14ac:dyDescent="0.35">
      <c r="A61" s="108"/>
      <c r="B61" s="126" t="s">
        <v>21</v>
      </c>
      <c r="C61" s="5" t="s">
        <v>5</v>
      </c>
      <c r="D61" s="5" t="s">
        <v>396</v>
      </c>
      <c r="E61" s="5" t="s">
        <v>397</v>
      </c>
      <c r="F61" s="5">
        <v>1040796</v>
      </c>
      <c r="G61" s="7" t="s">
        <v>85</v>
      </c>
      <c r="H61" s="139">
        <v>7021.5136127605447</v>
      </c>
      <c r="I61" s="139">
        <v>70215.136127605452</v>
      </c>
      <c r="J61" s="125">
        <v>0</v>
      </c>
      <c r="K61" s="125">
        <v>8751</v>
      </c>
      <c r="L61" s="130">
        <v>87510</v>
      </c>
      <c r="M61" s="123">
        <v>1.2605544172006786</v>
      </c>
      <c r="N61" s="130">
        <v>17294.863872394548</v>
      </c>
      <c r="O61" s="130">
        <v>13.525791299522904</v>
      </c>
      <c r="P61" s="123">
        <v>1.4187300711639192</v>
      </c>
      <c r="Q61" s="5">
        <v>4918</v>
      </c>
      <c r="R61" s="5">
        <v>100</v>
      </c>
      <c r="S61" s="5">
        <v>4818</v>
      </c>
      <c r="T61" s="5">
        <v>0</v>
      </c>
      <c r="U61" s="5">
        <v>0</v>
      </c>
      <c r="V61" s="5">
        <v>0</v>
      </c>
      <c r="W61" s="5">
        <v>200</v>
      </c>
      <c r="X61" s="125">
        <v>10536.904761904761</v>
      </c>
      <c r="Y61" s="125">
        <v>13.71750084736188</v>
      </c>
      <c r="Z61" s="125">
        <v>-6647.4863872394553</v>
      </c>
      <c r="AA61" s="112">
        <v>77938.8</v>
      </c>
      <c r="AB61" s="112">
        <v>55699.8</v>
      </c>
      <c r="AC61" s="8">
        <v>1.9467312539505226</v>
      </c>
      <c r="AD61" s="66"/>
      <c r="AE61" s="66">
        <v>35.095263157894735</v>
      </c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188" t="s">
        <v>1</v>
      </c>
      <c r="BJ61" s="204"/>
    </row>
    <row r="62" spans="1:62" ht="12.75" customHeight="1" x14ac:dyDescent="0.35">
      <c r="A62" s="108"/>
      <c r="B62" s="126" t="s">
        <v>27</v>
      </c>
      <c r="C62" s="5" t="s">
        <v>5</v>
      </c>
      <c r="D62" s="5" t="s">
        <v>312</v>
      </c>
      <c r="E62" s="5" t="s">
        <v>313</v>
      </c>
      <c r="F62" s="5">
        <v>1076340</v>
      </c>
      <c r="G62" s="7" t="s">
        <v>651</v>
      </c>
      <c r="H62" s="139">
        <v>331.86007243453889</v>
      </c>
      <c r="I62" s="139">
        <v>1891.6024128768718</v>
      </c>
      <c r="J62" s="125">
        <v>0</v>
      </c>
      <c r="K62" s="125">
        <v>384</v>
      </c>
      <c r="L62" s="130">
        <v>2188.8000000000002</v>
      </c>
      <c r="M62" s="123">
        <v>1.1571141932892393</v>
      </c>
      <c r="N62" s="130">
        <v>297.19758712312841</v>
      </c>
      <c r="O62" s="130">
        <v>0</v>
      </c>
      <c r="P62" s="123">
        <v>0</v>
      </c>
      <c r="Q62" s="5">
        <v>217</v>
      </c>
      <c r="R62" s="5">
        <v>0</v>
      </c>
      <c r="S62" s="5">
        <v>217</v>
      </c>
      <c r="T62" s="5">
        <v>0</v>
      </c>
      <c r="U62" s="5">
        <v>0</v>
      </c>
      <c r="V62" s="5">
        <v>0</v>
      </c>
      <c r="W62" s="5">
        <v>0</v>
      </c>
      <c r="X62" s="125">
        <v>457.14285714285717</v>
      </c>
      <c r="Y62" s="125">
        <v>14.240625</v>
      </c>
      <c r="Z62" s="125">
        <v>-269.13992756546111</v>
      </c>
      <c r="AA62" s="112">
        <v>14638.35</v>
      </c>
      <c r="AB62" s="112">
        <v>9571.8700000000008</v>
      </c>
      <c r="AC62" s="8">
        <v>1.811004245226127</v>
      </c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188"/>
      <c r="BJ62" s="204"/>
    </row>
    <row r="63" spans="1:62" ht="12.75" customHeight="1" x14ac:dyDescent="0.35">
      <c r="A63" s="108"/>
      <c r="B63" s="126" t="s">
        <v>22</v>
      </c>
      <c r="C63" s="5" t="s">
        <v>5</v>
      </c>
      <c r="D63" s="5" t="s">
        <v>396</v>
      </c>
      <c r="E63" s="5" t="s">
        <v>397</v>
      </c>
      <c r="F63" s="5">
        <v>1051099</v>
      </c>
      <c r="G63" s="7" t="s">
        <v>168</v>
      </c>
      <c r="H63" s="139">
        <v>494.24169382786033</v>
      </c>
      <c r="I63" s="139">
        <v>12356.042345696509</v>
      </c>
      <c r="J63" s="125">
        <v>0</v>
      </c>
      <c r="K63" s="125">
        <v>432</v>
      </c>
      <c r="L63" s="130">
        <v>10800</v>
      </c>
      <c r="M63" s="123">
        <v>0.87406628253920937</v>
      </c>
      <c r="N63" s="130">
        <v>1556.0423456965091</v>
      </c>
      <c r="O63" s="130">
        <v>13.949963098675322</v>
      </c>
      <c r="P63" s="123">
        <v>1.8666691382984448</v>
      </c>
      <c r="Q63" s="5">
        <v>245</v>
      </c>
      <c r="R63" s="5">
        <v>0</v>
      </c>
      <c r="S63" s="5">
        <v>245</v>
      </c>
      <c r="T63" s="5">
        <v>63</v>
      </c>
      <c r="U63" s="5">
        <v>0</v>
      </c>
      <c r="V63" s="5">
        <v>360</v>
      </c>
      <c r="W63" s="5">
        <v>0</v>
      </c>
      <c r="X63" s="125">
        <v>514.28571428571433</v>
      </c>
      <c r="Y63" s="125">
        <v>14.291666666666666</v>
      </c>
      <c r="Z63" s="125">
        <v>-245.75830617213967</v>
      </c>
      <c r="AA63" s="112">
        <v>216571.77</v>
      </c>
      <c r="AB63" s="112">
        <v>292710.92</v>
      </c>
      <c r="AC63" s="8">
        <v>1.4972431691643866</v>
      </c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189" t="s">
        <v>1</v>
      </c>
      <c r="BJ63" s="204"/>
    </row>
    <row r="64" spans="1:62" ht="12" customHeight="1" x14ac:dyDescent="0.35">
      <c r="A64" s="108"/>
      <c r="B64" s="126" t="s">
        <v>1</v>
      </c>
      <c r="C64" s="5" t="s">
        <v>50</v>
      </c>
      <c r="D64" s="5" t="s">
        <v>320</v>
      </c>
      <c r="E64" s="5" t="s">
        <v>402</v>
      </c>
      <c r="F64" s="157">
        <v>1060791</v>
      </c>
      <c r="G64" s="158" t="s">
        <v>428</v>
      </c>
      <c r="H64" s="139">
        <v>4356.3363468516809</v>
      </c>
      <c r="I64" s="139">
        <v>784.14054243330258</v>
      </c>
      <c r="J64" s="125">
        <v>0</v>
      </c>
      <c r="K64" s="125">
        <v>3288</v>
      </c>
      <c r="L64" s="130">
        <v>591.84</v>
      </c>
      <c r="M64" s="123">
        <v>0.86494698755827915</v>
      </c>
      <c r="N64" s="130">
        <v>192.30054243330255</v>
      </c>
      <c r="O64" s="130">
        <v>26.900488760306917</v>
      </c>
      <c r="P64" s="123">
        <v>1.3891562912478188</v>
      </c>
      <c r="Q64" s="5">
        <v>2632</v>
      </c>
      <c r="R64" s="5">
        <v>480</v>
      </c>
      <c r="S64" s="5">
        <v>2152</v>
      </c>
      <c r="T64" s="5">
        <v>0</v>
      </c>
      <c r="U64" s="5">
        <v>80</v>
      </c>
      <c r="V64" s="5">
        <v>0</v>
      </c>
      <c r="W64" s="5">
        <v>400</v>
      </c>
      <c r="X64" s="125">
        <v>4485.7142857142853</v>
      </c>
      <c r="Y64" s="125">
        <v>14.39235668789809</v>
      </c>
      <c r="Z64" s="125">
        <v>-1563.6636531483191</v>
      </c>
      <c r="AA64" s="112">
        <v>29884.47</v>
      </c>
      <c r="AB64" s="112">
        <v>18055.52</v>
      </c>
      <c r="AC64" s="8">
        <v>1.358940065378188</v>
      </c>
      <c r="AD64" s="66"/>
      <c r="AE64" s="66">
        <v>5.2400270453008789E-2</v>
      </c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188" t="s">
        <v>1</v>
      </c>
      <c r="BJ64" s="204" t="s">
        <v>811</v>
      </c>
    </row>
    <row r="65" spans="1:62" ht="12.75" customHeight="1" x14ac:dyDescent="0.35">
      <c r="A65" s="108"/>
      <c r="B65" s="126" t="s">
        <v>4</v>
      </c>
      <c r="C65" s="5" t="s">
        <v>5</v>
      </c>
      <c r="D65" s="5" t="s">
        <v>308</v>
      </c>
      <c r="E65" s="5" t="s">
        <v>314</v>
      </c>
      <c r="F65" s="5">
        <v>1075138</v>
      </c>
      <c r="G65" s="7" t="s">
        <v>664</v>
      </c>
      <c r="H65" s="139">
        <v>2721.3864470982403</v>
      </c>
      <c r="I65" s="139">
        <v>65.313274730357762</v>
      </c>
      <c r="J65" s="125">
        <v>0</v>
      </c>
      <c r="K65" s="125">
        <v>4620</v>
      </c>
      <c r="L65" s="130">
        <v>110.88</v>
      </c>
      <c r="M65" s="123">
        <v>1.6976640730044839</v>
      </c>
      <c r="N65" s="130">
        <v>45.566725269642234</v>
      </c>
      <c r="O65" s="130">
        <v>32.174190725618764</v>
      </c>
      <c r="P65" s="123">
        <v>2.0724730241872922</v>
      </c>
      <c r="Q65" s="5">
        <v>2684</v>
      </c>
      <c r="R65" s="5">
        <v>0</v>
      </c>
      <c r="S65" s="5">
        <v>2684</v>
      </c>
      <c r="T65" s="5">
        <v>0</v>
      </c>
      <c r="U65" s="5">
        <v>0</v>
      </c>
      <c r="V65" s="5">
        <v>0</v>
      </c>
      <c r="W65" s="5">
        <v>0</v>
      </c>
      <c r="X65" s="125">
        <v>5500</v>
      </c>
      <c r="Y65" s="125">
        <v>14.64</v>
      </c>
      <c r="Z65" s="125">
        <v>-4582.6135529017592</v>
      </c>
      <c r="AA65" s="112">
        <v>1034.1300000000001</v>
      </c>
      <c r="AB65" s="112">
        <v>1019.92</v>
      </c>
      <c r="AC65" s="8">
        <v>2.6839260582737552</v>
      </c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188"/>
      <c r="BJ65" s="204"/>
    </row>
    <row r="66" spans="1:62" ht="12.75" customHeight="1" x14ac:dyDescent="0.35">
      <c r="A66" s="108"/>
      <c r="B66" s="126" t="s">
        <v>31</v>
      </c>
      <c r="C66" s="5" t="s">
        <v>5</v>
      </c>
      <c r="D66" s="5" t="s">
        <v>306</v>
      </c>
      <c r="E66" s="5" t="s">
        <v>307</v>
      </c>
      <c r="F66" s="5">
        <v>1058893</v>
      </c>
      <c r="G66" s="7" t="s">
        <v>261</v>
      </c>
      <c r="H66" s="139">
        <v>4.2996107277754866E-4</v>
      </c>
      <c r="I66" s="139">
        <v>1.2898832183326459E-4</v>
      </c>
      <c r="J66" s="125">
        <v>0</v>
      </c>
      <c r="K66" s="125">
        <v>1440</v>
      </c>
      <c r="L66" s="130">
        <v>432</v>
      </c>
      <c r="M66" s="123">
        <v>3349140.4017056697</v>
      </c>
      <c r="N66" s="130">
        <v>431.99987101167818</v>
      </c>
      <c r="O66" s="130">
        <v>0</v>
      </c>
      <c r="P66" s="123">
        <v>0.88169442894946759</v>
      </c>
      <c r="Q66" s="5">
        <v>848</v>
      </c>
      <c r="R66" s="5">
        <v>0</v>
      </c>
      <c r="S66" s="5">
        <v>848</v>
      </c>
      <c r="T66" s="5">
        <v>0</v>
      </c>
      <c r="U66" s="5">
        <v>0</v>
      </c>
      <c r="V66" s="5">
        <v>0</v>
      </c>
      <c r="W66" s="5">
        <v>0</v>
      </c>
      <c r="X66" s="125">
        <v>1714.2857142857142</v>
      </c>
      <c r="Y66" s="125">
        <v>14.840000000000002</v>
      </c>
      <c r="Z66" s="125">
        <v>-2287.9995700389272</v>
      </c>
      <c r="AA66" s="112">
        <v>0</v>
      </c>
      <c r="AB66" s="112">
        <v>6207.36</v>
      </c>
      <c r="AC66" s="8">
        <v>5321411.9715990089</v>
      </c>
      <c r="AD66" s="66"/>
      <c r="AE66" s="66">
        <v>26.635199999999998</v>
      </c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188" t="s">
        <v>1</v>
      </c>
      <c r="BJ66" s="204"/>
    </row>
    <row r="67" spans="1:62" ht="12.5" customHeight="1" x14ac:dyDescent="0.35">
      <c r="A67" s="108"/>
      <c r="B67" s="126">
        <v>0</v>
      </c>
      <c r="C67" s="5" t="s">
        <v>2</v>
      </c>
      <c r="D67" s="5" t="s">
        <v>310</v>
      </c>
      <c r="E67" s="5" t="s">
        <v>311</v>
      </c>
      <c r="F67" s="164">
        <v>1080746</v>
      </c>
      <c r="G67" s="169" t="s">
        <v>789</v>
      </c>
      <c r="H67" s="139">
        <v>8454.7221830171329</v>
      </c>
      <c r="I67" s="139">
        <v>4058.2666478482238</v>
      </c>
      <c r="J67" s="125">
        <v>0</v>
      </c>
      <c r="K67" s="125">
        <v>8920</v>
      </c>
      <c r="L67" s="130">
        <v>4281.5999999999995</v>
      </c>
      <c r="M67" s="123">
        <v>1.1299011124444704</v>
      </c>
      <c r="N67" s="130">
        <v>223.33335215177567</v>
      </c>
      <c r="O67" s="130">
        <v>1.2531708818521448</v>
      </c>
      <c r="P67" s="123">
        <v>1.0435488640177302</v>
      </c>
      <c r="Q67" s="5">
        <v>6502</v>
      </c>
      <c r="R67" s="5">
        <v>633</v>
      </c>
      <c r="S67" s="5">
        <v>5869</v>
      </c>
      <c r="T67" s="5">
        <v>0</v>
      </c>
      <c r="U67" s="5">
        <v>16</v>
      </c>
      <c r="V67" s="5">
        <v>0</v>
      </c>
      <c r="W67" s="5">
        <v>0</v>
      </c>
      <c r="X67" s="125">
        <v>11372.61904761905</v>
      </c>
      <c r="Y67" s="125">
        <v>15.481921909347845</v>
      </c>
      <c r="Z67" s="125">
        <v>-6967.2778169828671</v>
      </c>
      <c r="AA67" s="112">
        <v>193528.59</v>
      </c>
      <c r="AB67" s="112">
        <v>134707.65</v>
      </c>
      <c r="AC67" s="8">
        <v>1.82406939768854</v>
      </c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189" t="s">
        <v>1</v>
      </c>
      <c r="BJ67" s="204" t="s">
        <v>835</v>
      </c>
    </row>
    <row r="68" spans="1:62" ht="12.75" customHeight="1" x14ac:dyDescent="0.35">
      <c r="A68" s="108"/>
      <c r="B68" s="126" t="s">
        <v>21</v>
      </c>
      <c r="C68" s="5" t="s">
        <v>5</v>
      </c>
      <c r="D68" s="5" t="s">
        <v>396</v>
      </c>
      <c r="E68" s="5" t="s">
        <v>307</v>
      </c>
      <c r="F68" s="5">
        <v>1058296</v>
      </c>
      <c r="G68" s="7" t="s">
        <v>249</v>
      </c>
      <c r="H68" s="139">
        <v>5516.2160818640832</v>
      </c>
      <c r="I68" s="139">
        <v>2758.1080409320416</v>
      </c>
      <c r="J68" s="125">
        <v>0</v>
      </c>
      <c r="K68" s="125">
        <v>6439</v>
      </c>
      <c r="L68" s="130">
        <v>3219.5</v>
      </c>
      <c r="M68" s="123">
        <v>1.167285672722248</v>
      </c>
      <c r="N68" s="130">
        <v>461.3919590679584</v>
      </c>
      <c r="O68" s="130">
        <v>1.90653413291673</v>
      </c>
      <c r="P68" s="123">
        <v>1.0604058829551215</v>
      </c>
      <c r="Q68" s="5">
        <v>3998</v>
      </c>
      <c r="R68" s="5">
        <v>0</v>
      </c>
      <c r="S68" s="5">
        <v>3998</v>
      </c>
      <c r="T68" s="5">
        <v>0</v>
      </c>
      <c r="U68" s="5">
        <v>0</v>
      </c>
      <c r="V68" s="5">
        <v>0</v>
      </c>
      <c r="W68" s="5">
        <v>0</v>
      </c>
      <c r="X68" s="125">
        <v>7665.4761904761908</v>
      </c>
      <c r="Y68" s="125">
        <v>15.646777449914582</v>
      </c>
      <c r="Z68" s="125">
        <v>-4920.7839181359168</v>
      </c>
      <c r="AA68" s="112">
        <v>30615</v>
      </c>
      <c r="AB68" s="112">
        <v>22188.9</v>
      </c>
      <c r="AC68" s="8">
        <v>1.892057860879345</v>
      </c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188"/>
      <c r="BJ68" s="204" t="s">
        <v>852</v>
      </c>
    </row>
    <row r="69" spans="1:62" ht="12.75" customHeight="1" x14ac:dyDescent="0.35">
      <c r="A69" s="108"/>
      <c r="B69" s="126" t="s">
        <v>31</v>
      </c>
      <c r="C69" s="5" t="s">
        <v>5</v>
      </c>
      <c r="D69" s="5" t="s">
        <v>306</v>
      </c>
      <c r="E69" s="5" t="s">
        <v>307</v>
      </c>
      <c r="F69" s="56">
        <v>1075354</v>
      </c>
      <c r="G69" s="65" t="s">
        <v>670</v>
      </c>
      <c r="H69" s="139">
        <v>11221.446283962588</v>
      </c>
      <c r="I69" s="139">
        <v>1009.9301655566329</v>
      </c>
      <c r="J69" s="125">
        <v>0</v>
      </c>
      <c r="K69" s="125">
        <v>7214</v>
      </c>
      <c r="L69" s="130">
        <v>649.26</v>
      </c>
      <c r="M69" s="123">
        <v>0.70169208146131079</v>
      </c>
      <c r="N69" s="130">
        <v>360.67016555663292</v>
      </c>
      <c r="O69" s="130">
        <v>0</v>
      </c>
      <c r="P69" s="123">
        <v>0.52248322142702008</v>
      </c>
      <c r="Q69" s="5">
        <v>6786</v>
      </c>
      <c r="R69" s="5">
        <v>660</v>
      </c>
      <c r="S69" s="5">
        <v>6126</v>
      </c>
      <c r="T69" s="5">
        <v>0</v>
      </c>
      <c r="U69" s="5">
        <v>0</v>
      </c>
      <c r="V69" s="5">
        <v>0</v>
      </c>
      <c r="W69" s="5">
        <v>0</v>
      </c>
      <c r="X69" s="125">
        <v>11221.446283962588</v>
      </c>
      <c r="Y69" s="125">
        <v>16.377568037967958</v>
      </c>
      <c r="Z69" s="125">
        <v>-2778.5537160374115</v>
      </c>
      <c r="AA69" s="112">
        <v>19974.169999999998</v>
      </c>
      <c r="AB69" s="112">
        <v>10904.28</v>
      </c>
      <c r="AC69" s="8">
        <v>1.2476110160602427</v>
      </c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189" t="s">
        <v>1</v>
      </c>
      <c r="BJ69" s="204"/>
    </row>
    <row r="70" spans="1:62" ht="12.75" customHeight="1" x14ac:dyDescent="0.35">
      <c r="A70" s="108"/>
      <c r="B70" s="126" t="s">
        <v>15</v>
      </c>
      <c r="C70" s="5" t="s">
        <v>5</v>
      </c>
      <c r="D70" s="5" t="s">
        <v>308</v>
      </c>
      <c r="E70" s="5" t="s">
        <v>315</v>
      </c>
      <c r="F70" s="5">
        <v>1058339</v>
      </c>
      <c r="G70" s="7" t="s">
        <v>232</v>
      </c>
      <c r="H70" s="139">
        <v>277.29678943640295</v>
      </c>
      <c r="I70" s="139">
        <v>86.516598304157725</v>
      </c>
      <c r="J70" s="125">
        <v>0</v>
      </c>
      <c r="K70" s="125">
        <v>1387</v>
      </c>
      <c r="L70" s="130">
        <v>432.74399999999997</v>
      </c>
      <c r="M70" s="123">
        <v>5.0018610125960494</v>
      </c>
      <c r="N70" s="130">
        <v>346.22740169584222</v>
      </c>
      <c r="O70" s="130">
        <v>43.323122417817764</v>
      </c>
      <c r="P70" s="123">
        <v>2.4692302464444604</v>
      </c>
      <c r="Q70" s="5">
        <v>943</v>
      </c>
      <c r="R70" s="5">
        <v>0</v>
      </c>
      <c r="S70" s="5">
        <v>943</v>
      </c>
      <c r="T70" s="5">
        <v>0</v>
      </c>
      <c r="U70" s="5">
        <v>0</v>
      </c>
      <c r="V70" s="5">
        <v>0</v>
      </c>
      <c r="W70" s="5">
        <v>0</v>
      </c>
      <c r="X70" s="125">
        <v>1651.1904761904761</v>
      </c>
      <c r="Y70" s="125">
        <v>17.133093006488824</v>
      </c>
      <c r="Z70" s="125">
        <v>-2052.7032105635972</v>
      </c>
      <c r="AA70" s="112">
        <v>1347.66</v>
      </c>
      <c r="AB70" s="112">
        <v>4582.9799999999996</v>
      </c>
      <c r="AC70" s="8">
        <v>8.402549502053926</v>
      </c>
      <c r="AD70" s="66"/>
      <c r="AE70" s="66">
        <v>0</v>
      </c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188" t="s">
        <v>1</v>
      </c>
      <c r="BJ70" s="204"/>
    </row>
    <row r="71" spans="1:62" ht="12.75" customHeight="1" x14ac:dyDescent="0.35">
      <c r="A71" s="108"/>
      <c r="B71" s="126" t="s">
        <v>15</v>
      </c>
      <c r="C71" s="5" t="s">
        <v>5</v>
      </c>
      <c r="D71" s="5" t="s">
        <v>308</v>
      </c>
      <c r="E71" s="5" t="s">
        <v>315</v>
      </c>
      <c r="F71" s="5">
        <v>1074225</v>
      </c>
      <c r="G71" s="7" t="s">
        <v>632</v>
      </c>
      <c r="H71" s="139">
        <v>436.95793607066634</v>
      </c>
      <c r="I71" s="139">
        <v>327.71845205299974</v>
      </c>
      <c r="J71" s="125">
        <v>0</v>
      </c>
      <c r="K71" s="125">
        <v>770</v>
      </c>
      <c r="L71" s="130">
        <v>577.5</v>
      </c>
      <c r="M71" s="123">
        <v>1.7850688489929514</v>
      </c>
      <c r="N71" s="130">
        <v>249.78154794700026</v>
      </c>
      <c r="O71" s="130">
        <v>17.611402552084432</v>
      </c>
      <c r="P71" s="123">
        <v>1.4844605788833471</v>
      </c>
      <c r="Q71" s="5">
        <v>560</v>
      </c>
      <c r="R71" s="5">
        <v>10</v>
      </c>
      <c r="S71" s="5">
        <v>550</v>
      </c>
      <c r="T71" s="5">
        <v>0</v>
      </c>
      <c r="U71" s="5">
        <v>0</v>
      </c>
      <c r="V71" s="5">
        <v>0</v>
      </c>
      <c r="W71" s="5">
        <v>0</v>
      </c>
      <c r="X71" s="125">
        <v>928.57142857142856</v>
      </c>
      <c r="Y71" s="125">
        <v>17.76923076923077</v>
      </c>
      <c r="Z71" s="125">
        <v>-893.04206392933361</v>
      </c>
      <c r="AA71" s="112">
        <v>3770.95</v>
      </c>
      <c r="AB71" s="112">
        <v>4746.5</v>
      </c>
      <c r="AC71" s="8">
        <v>3.0437712425136221</v>
      </c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188" t="s">
        <v>1</v>
      </c>
      <c r="BJ71" s="204"/>
    </row>
    <row r="72" spans="1:62" ht="12.75" customHeight="1" x14ac:dyDescent="0.35">
      <c r="A72" s="108"/>
      <c r="B72" s="126" t="s">
        <v>1</v>
      </c>
      <c r="C72" s="5" t="s">
        <v>2</v>
      </c>
      <c r="D72" s="5" t="s">
        <v>306</v>
      </c>
      <c r="E72" s="5" t="s">
        <v>401</v>
      </c>
      <c r="F72" s="5">
        <v>1070092</v>
      </c>
      <c r="G72" s="7" t="s">
        <v>585</v>
      </c>
      <c r="H72" s="139">
        <v>3668.4721152676693</v>
      </c>
      <c r="I72" s="139">
        <v>3668.4721152676693</v>
      </c>
      <c r="J72" s="125">
        <v>0</v>
      </c>
      <c r="K72" s="125">
        <v>3250</v>
      </c>
      <c r="L72" s="130">
        <v>3250</v>
      </c>
      <c r="M72" s="123">
        <v>1.2893651229661525</v>
      </c>
      <c r="N72" s="130">
        <v>418.47211526766932</v>
      </c>
      <c r="O72" s="130">
        <v>0</v>
      </c>
      <c r="P72" s="123">
        <v>0.29276596360218227</v>
      </c>
      <c r="Q72" s="5">
        <v>4850</v>
      </c>
      <c r="R72" s="5">
        <v>1480</v>
      </c>
      <c r="S72" s="5">
        <v>3370</v>
      </c>
      <c r="T72" s="5">
        <v>0</v>
      </c>
      <c r="U72" s="5">
        <v>0</v>
      </c>
      <c r="V72" s="5">
        <v>0</v>
      </c>
      <c r="W72" s="5">
        <v>0</v>
      </c>
      <c r="X72" s="125">
        <v>5630.9523809523798</v>
      </c>
      <c r="Y72" s="125">
        <v>17.95433403805497</v>
      </c>
      <c r="Z72" s="125">
        <v>-4431.5278847323307</v>
      </c>
      <c r="AA72" s="112">
        <v>33126.300000000003</v>
      </c>
      <c r="AB72" s="112">
        <v>30431.1</v>
      </c>
      <c r="AC72" s="8">
        <v>2.2080036989483798</v>
      </c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188"/>
      <c r="BJ72" s="204" t="s">
        <v>827</v>
      </c>
    </row>
    <row r="73" spans="1:62" ht="12.75" customHeight="1" x14ac:dyDescent="0.35">
      <c r="A73" s="108"/>
      <c r="B73" s="126" t="s">
        <v>1</v>
      </c>
      <c r="C73" s="5" t="s">
        <v>2</v>
      </c>
      <c r="D73" s="5" t="s">
        <v>310</v>
      </c>
      <c r="E73" s="5" t="s">
        <v>311</v>
      </c>
      <c r="F73" s="135">
        <v>1080748</v>
      </c>
      <c r="G73" s="136" t="s">
        <v>768</v>
      </c>
      <c r="H73" s="139">
        <v>3377.6484121340663</v>
      </c>
      <c r="I73" s="139">
        <v>2026.5890472804397</v>
      </c>
      <c r="J73" s="125">
        <v>0</v>
      </c>
      <c r="K73" s="125">
        <v>3304</v>
      </c>
      <c r="L73" s="130">
        <v>1982.3999999999999</v>
      </c>
      <c r="M73" s="123">
        <v>0.99507100500032575</v>
      </c>
      <c r="N73" s="130">
        <v>44.189047280439809</v>
      </c>
      <c r="O73" s="130">
        <v>5.9196428130636907</v>
      </c>
      <c r="P73" s="123">
        <v>1.2161435387939503</v>
      </c>
      <c r="Q73" s="5">
        <v>2510</v>
      </c>
      <c r="R73" s="5">
        <v>57</v>
      </c>
      <c r="S73" s="5">
        <v>2453</v>
      </c>
      <c r="T73" s="5">
        <v>0</v>
      </c>
      <c r="U73" s="5">
        <v>8</v>
      </c>
      <c r="V73" s="5">
        <v>0</v>
      </c>
      <c r="W73" s="5">
        <v>80</v>
      </c>
      <c r="X73" s="125">
        <v>4001.1904761904761</v>
      </c>
      <c r="Y73" s="125">
        <v>18.392026182683725</v>
      </c>
      <c r="Z73" s="125">
        <v>-2436.3515878659337</v>
      </c>
      <c r="AA73" s="112">
        <v>48570.58</v>
      </c>
      <c r="AB73" s="112">
        <v>36539.58</v>
      </c>
      <c r="AC73" s="8">
        <v>1.7213159247461749</v>
      </c>
      <c r="AD73" s="66"/>
      <c r="AE73" s="66" t="s">
        <v>574</v>
      </c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188" t="s">
        <v>1</v>
      </c>
      <c r="BJ73" s="204" t="s">
        <v>834</v>
      </c>
    </row>
    <row r="74" spans="1:62" ht="12.75" customHeight="1" x14ac:dyDescent="0.35">
      <c r="A74" s="108"/>
      <c r="B74" s="126" t="s">
        <v>1</v>
      </c>
      <c r="C74" s="5" t="s">
        <v>2</v>
      </c>
      <c r="D74" s="5" t="s">
        <v>396</v>
      </c>
      <c r="E74" s="5" t="s">
        <v>397</v>
      </c>
      <c r="F74" s="5">
        <v>1043306</v>
      </c>
      <c r="G74" s="7" t="s">
        <v>10</v>
      </c>
      <c r="H74" s="139">
        <v>661</v>
      </c>
      <c r="I74" s="139">
        <v>661</v>
      </c>
      <c r="J74" s="125">
        <v>0</v>
      </c>
      <c r="K74" s="125">
        <v>947</v>
      </c>
      <c r="L74" s="130">
        <v>947</v>
      </c>
      <c r="M74" s="123">
        <v>1.4341906202723147</v>
      </c>
      <c r="N74" s="130">
        <v>286</v>
      </c>
      <c r="O74" s="130">
        <v>0.77155824508320947</v>
      </c>
      <c r="P74" s="123">
        <v>1.0265210608424338</v>
      </c>
      <c r="Q74" s="5">
        <v>746</v>
      </c>
      <c r="R74" s="5">
        <v>1</v>
      </c>
      <c r="S74" s="5">
        <v>745</v>
      </c>
      <c r="T74" s="5">
        <v>0</v>
      </c>
      <c r="U74" s="5">
        <v>0</v>
      </c>
      <c r="V74" s="5">
        <v>0</v>
      </c>
      <c r="W74" s="5">
        <v>9</v>
      </c>
      <c r="X74" s="125">
        <v>1128.5714285714287</v>
      </c>
      <c r="Y74" s="125">
        <v>19.803797468354428</v>
      </c>
      <c r="Z74" s="125">
        <v>-1032</v>
      </c>
      <c r="AA74" s="112">
        <v>19968.810000000001</v>
      </c>
      <c r="AB74" s="112">
        <v>22778.34</v>
      </c>
      <c r="AC74" s="8">
        <v>2.5612708018154313</v>
      </c>
      <c r="AD74" s="66"/>
      <c r="AE74" s="66">
        <v>21.67148988350705</v>
      </c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188" t="s">
        <v>1</v>
      </c>
      <c r="BJ74" s="204"/>
    </row>
    <row r="75" spans="1:62" ht="12.75" customHeight="1" x14ac:dyDescent="0.35">
      <c r="B75" s="126" t="s">
        <v>1</v>
      </c>
      <c r="C75" s="5" t="s">
        <v>5</v>
      </c>
      <c r="D75" s="5" t="s">
        <v>308</v>
      </c>
      <c r="E75" s="5" t="s">
        <v>307</v>
      </c>
      <c r="F75" s="142">
        <v>1082266</v>
      </c>
      <c r="G75" s="143" t="s">
        <v>756</v>
      </c>
      <c r="H75" s="139">
        <v>75110.894534268562</v>
      </c>
      <c r="I75" s="139">
        <v>0</v>
      </c>
      <c r="J75" s="125">
        <v>0</v>
      </c>
      <c r="K75" s="125">
        <v>68131</v>
      </c>
      <c r="L75" s="130">
        <v>0</v>
      </c>
      <c r="M75" s="123">
        <v>0.98739337961370499</v>
      </c>
      <c r="N75" s="130">
        <v>0</v>
      </c>
      <c r="O75" s="130">
        <v>0</v>
      </c>
      <c r="P75" s="123">
        <v>0.55460359143421212</v>
      </c>
      <c r="Q75" s="5">
        <v>64346</v>
      </c>
      <c r="R75" s="5">
        <v>6033</v>
      </c>
      <c r="S75" s="5">
        <v>58313</v>
      </c>
      <c r="T75" s="5">
        <v>0</v>
      </c>
      <c r="U75" s="5">
        <v>620</v>
      </c>
      <c r="V75" s="5">
        <v>0</v>
      </c>
      <c r="W75" s="5">
        <v>560</v>
      </c>
      <c r="X75" s="125">
        <v>88290.476190476184</v>
      </c>
      <c r="Y75" s="125">
        <v>19.81402836955936</v>
      </c>
      <c r="Z75" s="125">
        <v>-57366.105465731438</v>
      </c>
      <c r="AA75" s="112">
        <v>564082.81999999995</v>
      </c>
      <c r="AB75" s="112">
        <v>446792.43</v>
      </c>
      <c r="AC75" s="8">
        <v>1.7637521270573973</v>
      </c>
      <c r="AD75" s="66"/>
      <c r="AE75" s="66" t="s">
        <v>574</v>
      </c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188" t="s">
        <v>1</v>
      </c>
      <c r="BJ75" s="204"/>
    </row>
    <row r="76" spans="1:62" ht="12.75" customHeight="1" x14ac:dyDescent="0.35">
      <c r="A76" s="108"/>
      <c r="B76" s="126" t="s">
        <v>1</v>
      </c>
      <c r="C76" s="5" t="s">
        <v>24</v>
      </c>
      <c r="D76" s="5" t="s">
        <v>316</v>
      </c>
      <c r="E76" s="5" t="s">
        <v>400</v>
      </c>
      <c r="F76" s="5">
        <v>1057538</v>
      </c>
      <c r="G76" s="7" t="s">
        <v>450</v>
      </c>
      <c r="H76" s="139">
        <v>7425.1086829415726</v>
      </c>
      <c r="I76" s="139">
        <v>6311.3423805003367</v>
      </c>
      <c r="J76" s="125">
        <v>0</v>
      </c>
      <c r="K76" s="125">
        <v>8767</v>
      </c>
      <c r="L76" s="130">
        <v>7451.95</v>
      </c>
      <c r="M76" s="123">
        <v>1.2978934600836243</v>
      </c>
      <c r="N76" s="130">
        <v>1140.6076194996631</v>
      </c>
      <c r="O76" s="130">
        <v>6.7505155172322437</v>
      </c>
      <c r="P76" s="123">
        <v>1.2889006803553484</v>
      </c>
      <c r="Q76" s="5">
        <v>8588</v>
      </c>
      <c r="R76" s="5">
        <v>870</v>
      </c>
      <c r="S76" s="5">
        <v>7718</v>
      </c>
      <c r="T76" s="5">
        <v>0</v>
      </c>
      <c r="U76" s="5">
        <v>0</v>
      </c>
      <c r="V76" s="5">
        <v>0</v>
      </c>
      <c r="W76" s="5">
        <v>0</v>
      </c>
      <c r="X76" s="125">
        <v>11472.619047619048</v>
      </c>
      <c r="Y76" s="125">
        <v>20.181965341911383</v>
      </c>
      <c r="Z76" s="125">
        <v>-9929.8913170584274</v>
      </c>
      <c r="AA76" s="112">
        <v>137438.76</v>
      </c>
      <c r="AB76" s="112">
        <v>142860.18</v>
      </c>
      <c r="AC76" s="8">
        <v>2.3373395247225588</v>
      </c>
      <c r="AD76" s="66"/>
      <c r="AE76" s="66" t="s">
        <v>574</v>
      </c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189" t="s">
        <v>1</v>
      </c>
      <c r="BJ76" s="204"/>
    </row>
    <row r="77" spans="1:62" ht="12.75" customHeight="1" x14ac:dyDescent="0.35">
      <c r="A77" s="108"/>
      <c r="B77" s="126" t="s">
        <v>1</v>
      </c>
      <c r="C77" s="5" t="s">
        <v>2</v>
      </c>
      <c r="D77" s="127" t="s">
        <v>306</v>
      </c>
      <c r="E77" s="5" t="s">
        <v>401</v>
      </c>
      <c r="F77" s="132">
        <v>1080893</v>
      </c>
      <c r="G77" s="133" t="s">
        <v>755</v>
      </c>
      <c r="H77" s="139">
        <v>11135</v>
      </c>
      <c r="I77" s="139">
        <v>4008.6</v>
      </c>
      <c r="J77" s="125">
        <v>0</v>
      </c>
      <c r="K77" s="125">
        <v>2880</v>
      </c>
      <c r="L77" s="130">
        <v>1036.8</v>
      </c>
      <c r="M77" s="123">
        <v>0.28881903906600809</v>
      </c>
      <c r="N77" s="130">
        <v>2971.8</v>
      </c>
      <c r="O77" s="130">
        <v>0</v>
      </c>
      <c r="P77" s="123">
        <v>0</v>
      </c>
      <c r="Q77" s="5">
        <v>7883</v>
      </c>
      <c r="R77" s="5">
        <v>336</v>
      </c>
      <c r="S77" s="5">
        <v>7547</v>
      </c>
      <c r="T77" s="5">
        <v>0</v>
      </c>
      <c r="U77" s="5">
        <v>0</v>
      </c>
      <c r="V77" s="5">
        <v>0</v>
      </c>
      <c r="W77" s="5">
        <v>0</v>
      </c>
      <c r="X77" s="125">
        <v>11135</v>
      </c>
      <c r="Y77" s="125">
        <v>20.333183655141447</v>
      </c>
      <c r="Z77" s="125">
        <v>372</v>
      </c>
      <c r="AA77" s="112">
        <v>61465.2</v>
      </c>
      <c r="AB77" s="112">
        <v>41659.440000000002</v>
      </c>
      <c r="AC77" s="8">
        <v>0.96659182757072293</v>
      </c>
      <c r="AD77" s="67"/>
      <c r="AE77" s="66">
        <v>44.138526987503326</v>
      </c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188" t="s">
        <v>1</v>
      </c>
      <c r="BJ77" s="204"/>
    </row>
    <row r="78" spans="1:62" ht="12.5" customHeight="1" x14ac:dyDescent="0.35">
      <c r="A78" s="108"/>
      <c r="B78" s="126" t="s">
        <v>31</v>
      </c>
      <c r="C78" s="5" t="s">
        <v>5</v>
      </c>
      <c r="D78" s="5" t="s">
        <v>306</v>
      </c>
      <c r="E78" s="5" t="s">
        <v>404</v>
      </c>
      <c r="F78" s="5">
        <v>1072598</v>
      </c>
      <c r="G78" s="7" t="s">
        <v>608</v>
      </c>
      <c r="H78" s="139">
        <v>18156.575242424195</v>
      </c>
      <c r="I78" s="139">
        <v>2723.486286363629</v>
      </c>
      <c r="J78" s="125">
        <v>0</v>
      </c>
      <c r="K78" s="125">
        <v>12880</v>
      </c>
      <c r="L78" s="130">
        <v>1932</v>
      </c>
      <c r="M78" s="123">
        <v>0.77712893602483635</v>
      </c>
      <c r="N78" s="130">
        <v>791.48628636362901</v>
      </c>
      <c r="O78" s="130">
        <v>1.4084562967316394</v>
      </c>
      <c r="P78" s="123">
        <v>1.0485530204954769</v>
      </c>
      <c r="Q78" s="5">
        <v>13629</v>
      </c>
      <c r="R78" s="5">
        <v>1230</v>
      </c>
      <c r="S78" s="5">
        <v>12399</v>
      </c>
      <c r="T78" s="5">
        <v>0</v>
      </c>
      <c r="U78" s="5">
        <v>0</v>
      </c>
      <c r="V78" s="5">
        <v>0</v>
      </c>
      <c r="W78" s="5">
        <v>300</v>
      </c>
      <c r="X78" s="125">
        <v>18156.575242424195</v>
      </c>
      <c r="Y78" s="125">
        <v>20.486793078182735</v>
      </c>
      <c r="Z78" s="125">
        <v>-8352.4247575758054</v>
      </c>
      <c r="AA78" s="112">
        <v>26145.47</v>
      </c>
      <c r="AB78" s="112">
        <v>18286.560000000001</v>
      </c>
      <c r="AC78" s="8">
        <v>1.4600220386309275</v>
      </c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189" t="s">
        <v>1</v>
      </c>
      <c r="BJ78" s="204"/>
    </row>
    <row r="79" spans="1:62" ht="12.75" customHeight="1" x14ac:dyDescent="0.35">
      <c r="A79" s="108"/>
      <c r="B79" s="126" t="s">
        <v>27</v>
      </c>
      <c r="C79" s="5" t="s">
        <v>5</v>
      </c>
      <c r="D79" s="5" t="s">
        <v>312</v>
      </c>
      <c r="E79" s="5" t="s">
        <v>313</v>
      </c>
      <c r="F79" s="174">
        <v>1082951</v>
      </c>
      <c r="G79" s="175" t="s">
        <v>783</v>
      </c>
      <c r="H79" s="139">
        <v>27795</v>
      </c>
      <c r="I79" s="139">
        <v>9505.8900000000012</v>
      </c>
      <c r="J79" s="125">
        <v>0</v>
      </c>
      <c r="K79" s="125">
        <v>1640</v>
      </c>
      <c r="L79" s="130">
        <v>560.88</v>
      </c>
      <c r="M79" s="123">
        <v>0.26731426515560353</v>
      </c>
      <c r="N79" s="130">
        <v>8945.010000000002</v>
      </c>
      <c r="O79" s="130">
        <v>0</v>
      </c>
      <c r="P79" s="123">
        <v>0</v>
      </c>
      <c r="Q79" s="5">
        <v>25130</v>
      </c>
      <c r="R79" s="5">
        <v>5790</v>
      </c>
      <c r="S79" s="5">
        <v>19340</v>
      </c>
      <c r="T79" s="5">
        <v>0</v>
      </c>
      <c r="U79" s="5">
        <v>0</v>
      </c>
      <c r="V79" s="5">
        <v>0</v>
      </c>
      <c r="W79" s="5">
        <v>0</v>
      </c>
      <c r="X79" s="125">
        <v>27795</v>
      </c>
      <c r="Y79" s="125">
        <v>20.874257960064757</v>
      </c>
      <c r="Z79" s="125">
        <v>1025</v>
      </c>
      <c r="AA79" s="112">
        <v>167881.8</v>
      </c>
      <c r="AB79" s="112">
        <v>116813.6</v>
      </c>
      <c r="AC79" s="8">
        <v>0.96312286382442891</v>
      </c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189" t="s">
        <v>1</v>
      </c>
      <c r="BJ79" s="204"/>
    </row>
    <row r="80" spans="1:62" ht="12.75" customHeight="1" x14ac:dyDescent="0.35">
      <c r="A80" s="108"/>
      <c r="B80" s="126" t="s">
        <v>9</v>
      </c>
      <c r="C80" s="5" t="s">
        <v>5</v>
      </c>
      <c r="D80" s="5" t="s">
        <v>308</v>
      </c>
      <c r="E80" s="5" t="s">
        <v>315</v>
      </c>
      <c r="F80" s="132">
        <v>1082308</v>
      </c>
      <c r="G80" s="133" t="s">
        <v>757</v>
      </c>
      <c r="H80" s="139">
        <v>49584.646273987593</v>
      </c>
      <c r="I80" s="139">
        <v>13189.515908880701</v>
      </c>
      <c r="J80" s="125">
        <v>0</v>
      </c>
      <c r="K80" s="125">
        <v>31775</v>
      </c>
      <c r="L80" s="130">
        <v>8452.15</v>
      </c>
      <c r="M80" s="123">
        <v>0.70035792547779041</v>
      </c>
      <c r="N80" s="130">
        <v>4737.3659088807017</v>
      </c>
      <c r="O80" s="130">
        <v>0</v>
      </c>
      <c r="P80" s="123">
        <v>0.60700298151130927</v>
      </c>
      <c r="Q80" s="5">
        <v>37860</v>
      </c>
      <c r="R80" s="5">
        <v>2952</v>
      </c>
      <c r="S80" s="5">
        <v>34908</v>
      </c>
      <c r="T80" s="5">
        <v>0</v>
      </c>
      <c r="U80" s="5">
        <v>0</v>
      </c>
      <c r="V80" s="5">
        <v>0</v>
      </c>
      <c r="W80" s="5">
        <v>0</v>
      </c>
      <c r="X80" s="125">
        <v>49584.646273987593</v>
      </c>
      <c r="Y80" s="125">
        <v>21.120247469616185</v>
      </c>
      <c r="Z80" s="125">
        <v>-20050.353726012407</v>
      </c>
      <c r="AA80" s="112">
        <v>282136.64</v>
      </c>
      <c r="AB80" s="112">
        <v>198626.52</v>
      </c>
      <c r="AC80" s="8">
        <v>1.4043661744649965</v>
      </c>
      <c r="AD80" s="66"/>
      <c r="AE80" s="66">
        <v>56.781838316722038</v>
      </c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188" t="s">
        <v>1</v>
      </c>
      <c r="BJ80" s="204"/>
    </row>
    <row r="81" spans="1:62" ht="12.75" customHeight="1" x14ac:dyDescent="0.35">
      <c r="A81" s="108"/>
      <c r="B81" s="126" t="s">
        <v>8</v>
      </c>
      <c r="C81" s="5" t="s">
        <v>5</v>
      </c>
      <c r="D81" s="5" t="s">
        <v>308</v>
      </c>
      <c r="E81" s="5" t="s">
        <v>309</v>
      </c>
      <c r="F81" s="5">
        <v>1028943</v>
      </c>
      <c r="G81" s="7" t="s">
        <v>102</v>
      </c>
      <c r="H81" s="139">
        <v>4305.0000099999997</v>
      </c>
      <c r="I81" s="139">
        <v>301.35000070000001</v>
      </c>
      <c r="J81" s="125">
        <v>0</v>
      </c>
      <c r="K81" s="125">
        <v>5068</v>
      </c>
      <c r="L81" s="130">
        <v>354.76000000000005</v>
      </c>
      <c r="M81" s="123">
        <v>1.1772357696231457</v>
      </c>
      <c r="N81" s="130">
        <v>53.409999300000038</v>
      </c>
      <c r="O81" s="130">
        <v>5.1010452146317178</v>
      </c>
      <c r="P81" s="123">
        <v>1.1776699000541992</v>
      </c>
      <c r="Q81" s="5">
        <v>4251</v>
      </c>
      <c r="R81" s="5">
        <v>0</v>
      </c>
      <c r="S81" s="5">
        <v>4251</v>
      </c>
      <c r="T81" s="5">
        <v>0</v>
      </c>
      <c r="U81" s="5">
        <v>0</v>
      </c>
      <c r="V81" s="5">
        <v>0</v>
      </c>
      <c r="W81" s="5">
        <v>0</v>
      </c>
      <c r="X81" s="125">
        <v>6033.333333333333</v>
      </c>
      <c r="Y81" s="125">
        <v>21.13756906077348</v>
      </c>
      <c r="Z81" s="125">
        <v>-5013.9999900000003</v>
      </c>
      <c r="AA81" s="112">
        <v>10073.700000000001</v>
      </c>
      <c r="AB81" s="112">
        <v>9947.34</v>
      </c>
      <c r="AC81" s="8">
        <v>2.164692213322434</v>
      </c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189" t="s">
        <v>1</v>
      </c>
      <c r="BJ81" s="204"/>
    </row>
    <row r="82" spans="1:62" ht="12.75" customHeight="1" x14ac:dyDescent="0.35">
      <c r="A82" s="108"/>
      <c r="B82" s="126" t="s">
        <v>4</v>
      </c>
      <c r="C82" s="5" t="s">
        <v>5</v>
      </c>
      <c r="D82" s="5" t="s">
        <v>308</v>
      </c>
      <c r="E82" s="5" t="s">
        <v>314</v>
      </c>
      <c r="F82" s="56">
        <v>1069728</v>
      </c>
      <c r="G82" s="65" t="s">
        <v>568</v>
      </c>
      <c r="H82" s="139">
        <v>20990.169802449109</v>
      </c>
      <c r="I82" s="139">
        <v>4250.5093849959449</v>
      </c>
      <c r="J82" s="125">
        <v>0</v>
      </c>
      <c r="K82" s="125">
        <v>16396</v>
      </c>
      <c r="L82" s="130">
        <v>3320.19</v>
      </c>
      <c r="M82" s="123">
        <v>0.88260362704823891</v>
      </c>
      <c r="N82" s="130">
        <v>930.3193849959448</v>
      </c>
      <c r="O82" s="130">
        <v>0</v>
      </c>
      <c r="P82" s="123">
        <v>0.69135193282393692</v>
      </c>
      <c r="Q82" s="5">
        <v>18397</v>
      </c>
      <c r="R82" s="5">
        <v>2130</v>
      </c>
      <c r="S82" s="5">
        <v>16267</v>
      </c>
      <c r="T82" s="5">
        <v>0</v>
      </c>
      <c r="U82" s="5">
        <v>0</v>
      </c>
      <c r="V82" s="5">
        <v>0</v>
      </c>
      <c r="W82" s="5">
        <v>150</v>
      </c>
      <c r="X82" s="125">
        <v>22054.761904761905</v>
      </c>
      <c r="Y82" s="125">
        <v>22.127194213537731</v>
      </c>
      <c r="Z82" s="125">
        <v>-13802.830197550891</v>
      </c>
      <c r="AA82" s="112">
        <v>49326.9</v>
      </c>
      <c r="AB82" s="112">
        <v>38579.949999999997</v>
      </c>
      <c r="AC82" s="8">
        <v>1.6575854472573344</v>
      </c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188"/>
      <c r="BJ82" s="204" t="s">
        <v>821</v>
      </c>
    </row>
    <row r="83" spans="1:62" ht="12.75" customHeight="1" x14ac:dyDescent="0.35">
      <c r="A83" s="108"/>
      <c r="B83" s="126" t="s">
        <v>21</v>
      </c>
      <c r="C83" s="5" t="s">
        <v>5</v>
      </c>
      <c r="D83" s="5" t="s">
        <v>396</v>
      </c>
      <c r="E83" s="5" t="s">
        <v>397</v>
      </c>
      <c r="F83" s="5">
        <v>1042368</v>
      </c>
      <c r="G83" s="7" t="s">
        <v>134</v>
      </c>
      <c r="H83" s="139">
        <v>200</v>
      </c>
      <c r="I83" s="139">
        <v>1920</v>
      </c>
      <c r="J83" s="125">
        <v>0</v>
      </c>
      <c r="K83" s="125">
        <v>277</v>
      </c>
      <c r="L83" s="130">
        <v>2659.2</v>
      </c>
      <c r="M83" s="123">
        <v>1.385</v>
      </c>
      <c r="N83" s="130">
        <v>739.19999999999982</v>
      </c>
      <c r="O83" s="130">
        <v>9.0000000000000018</v>
      </c>
      <c r="P83" s="123">
        <v>1.3</v>
      </c>
      <c r="Q83" s="5">
        <v>247</v>
      </c>
      <c r="R83" s="5">
        <v>0</v>
      </c>
      <c r="S83" s="5">
        <v>247</v>
      </c>
      <c r="T83" s="5">
        <v>0</v>
      </c>
      <c r="U83" s="5">
        <v>0</v>
      </c>
      <c r="V83" s="5">
        <v>0</v>
      </c>
      <c r="W83" s="5">
        <v>9</v>
      </c>
      <c r="X83" s="125">
        <v>329.76190476190476</v>
      </c>
      <c r="Y83" s="125">
        <v>22.470758122743682</v>
      </c>
      <c r="Z83" s="125">
        <v>-324</v>
      </c>
      <c r="AA83" s="112">
        <v>18490</v>
      </c>
      <c r="AB83" s="112">
        <v>23667.200000000001</v>
      </c>
      <c r="AC83" s="8">
        <v>2.62</v>
      </c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188" t="s">
        <v>1</v>
      </c>
      <c r="BJ83" s="204"/>
    </row>
    <row r="84" spans="1:62" ht="12.75" customHeight="1" x14ac:dyDescent="0.35">
      <c r="A84" s="108"/>
      <c r="B84" s="126" t="s">
        <v>22</v>
      </c>
      <c r="C84" s="5" t="s">
        <v>5</v>
      </c>
      <c r="D84" s="5" t="s">
        <v>396</v>
      </c>
      <c r="E84" s="5" t="s">
        <v>397</v>
      </c>
      <c r="F84" s="5">
        <v>1077857</v>
      </c>
      <c r="G84" s="7" t="s">
        <v>732</v>
      </c>
      <c r="H84" s="139">
        <v>400</v>
      </c>
      <c r="I84" s="139">
        <v>2000</v>
      </c>
      <c r="J84" s="125">
        <v>0</v>
      </c>
      <c r="K84" s="125">
        <v>190</v>
      </c>
      <c r="L84" s="130">
        <v>950</v>
      </c>
      <c r="M84" s="123">
        <v>0.47499999999999998</v>
      </c>
      <c r="N84" s="130">
        <v>1050</v>
      </c>
      <c r="O84" s="130">
        <v>3.6000000000000032</v>
      </c>
      <c r="P84" s="123">
        <v>1.1200000000000001</v>
      </c>
      <c r="Q84" s="5">
        <v>303</v>
      </c>
      <c r="R84" s="5">
        <v>0</v>
      </c>
      <c r="S84" s="5">
        <v>303</v>
      </c>
      <c r="T84" s="5">
        <v>0</v>
      </c>
      <c r="U84" s="5">
        <v>0</v>
      </c>
      <c r="V84" s="5">
        <v>0</v>
      </c>
      <c r="W84" s="5">
        <v>0</v>
      </c>
      <c r="X84" s="125">
        <v>400</v>
      </c>
      <c r="Y84" s="125">
        <v>22.724999999999998</v>
      </c>
      <c r="Z84" s="125">
        <v>-93</v>
      </c>
      <c r="AA84" s="112">
        <v>43320</v>
      </c>
      <c r="AB84" s="112">
        <v>32814.9</v>
      </c>
      <c r="AC84" s="8">
        <v>1.2324999999999999</v>
      </c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189"/>
      <c r="BJ84" s="204"/>
    </row>
    <row r="85" spans="1:62" ht="12.75" customHeight="1" x14ac:dyDescent="0.35">
      <c r="A85" s="108"/>
      <c r="B85" s="126" t="s">
        <v>1</v>
      </c>
      <c r="C85" s="5" t="s">
        <v>50</v>
      </c>
      <c r="D85" s="5" t="s">
        <v>310</v>
      </c>
      <c r="E85" s="5" t="s">
        <v>403</v>
      </c>
      <c r="F85" s="56">
        <v>1076300</v>
      </c>
      <c r="G85" s="65" t="s">
        <v>690</v>
      </c>
      <c r="H85" s="139">
        <v>29068.659462068314</v>
      </c>
      <c r="I85" s="139">
        <v>3778.925730068881</v>
      </c>
      <c r="J85" s="125">
        <v>0</v>
      </c>
      <c r="K85" s="125">
        <v>23834</v>
      </c>
      <c r="L85" s="130">
        <v>3098.42</v>
      </c>
      <c r="M85" s="123">
        <v>0.84929957063260397</v>
      </c>
      <c r="N85" s="130">
        <v>680.50573006888089</v>
      </c>
      <c r="O85" s="130">
        <v>1.6064152223550638</v>
      </c>
      <c r="P85" s="123">
        <v>1.0592913898093157</v>
      </c>
      <c r="Q85" s="5">
        <v>23269</v>
      </c>
      <c r="R85" s="5">
        <v>854</v>
      </c>
      <c r="S85" s="5">
        <v>22415</v>
      </c>
      <c r="T85" s="5">
        <v>0</v>
      </c>
      <c r="U85" s="5">
        <v>0</v>
      </c>
      <c r="V85" s="5">
        <v>0</v>
      </c>
      <c r="W85" s="5">
        <v>0</v>
      </c>
      <c r="X85" s="125">
        <v>29390.476190476191</v>
      </c>
      <c r="Y85" s="125">
        <v>22.879860661049904</v>
      </c>
      <c r="Z85" s="125">
        <v>-18034.340537931686</v>
      </c>
      <c r="AA85" s="112">
        <v>131390.34</v>
      </c>
      <c r="AB85" s="112">
        <v>101315.8</v>
      </c>
      <c r="AC85" s="8">
        <v>1.6204049609327424</v>
      </c>
      <c r="AD85" s="66"/>
      <c r="AE85" s="66">
        <v>37.655840694486706</v>
      </c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188" t="s">
        <v>1</v>
      </c>
      <c r="BJ85" s="204"/>
    </row>
    <row r="86" spans="1:62" ht="12.5" customHeight="1" x14ac:dyDescent="0.35">
      <c r="A86" s="108"/>
      <c r="B86" s="126" t="s">
        <v>1</v>
      </c>
      <c r="C86" s="5" t="s">
        <v>17</v>
      </c>
      <c r="D86" s="5" t="s">
        <v>312</v>
      </c>
      <c r="E86" s="5" t="s">
        <v>398</v>
      </c>
      <c r="F86" s="56">
        <v>1082287</v>
      </c>
      <c r="G86" s="65" t="s">
        <v>774</v>
      </c>
      <c r="H86" s="139">
        <v>7252.917415681819</v>
      </c>
      <c r="I86" s="139">
        <v>1762.458932010682</v>
      </c>
      <c r="J86" s="125">
        <v>0</v>
      </c>
      <c r="K86" s="125">
        <v>11270</v>
      </c>
      <c r="L86" s="130">
        <v>2738.61</v>
      </c>
      <c r="M86" s="123">
        <v>1.5637845228289811</v>
      </c>
      <c r="N86" s="130">
        <v>976.15106798931811</v>
      </c>
      <c r="O86" s="130">
        <v>0</v>
      </c>
      <c r="P86" s="123">
        <v>0.92702383018154733</v>
      </c>
      <c r="Q86" s="5">
        <v>10380</v>
      </c>
      <c r="R86" s="5">
        <v>72</v>
      </c>
      <c r="S86" s="5">
        <v>10308</v>
      </c>
      <c r="T86" s="5">
        <v>0</v>
      </c>
      <c r="U86" s="5">
        <v>0</v>
      </c>
      <c r="V86" s="5">
        <v>0</v>
      </c>
      <c r="W86" s="5">
        <v>120</v>
      </c>
      <c r="X86" s="125">
        <v>13502.380952380952</v>
      </c>
      <c r="Y86" s="125">
        <v>22.902627402574502</v>
      </c>
      <c r="Z86" s="125">
        <v>-14397.082584318181</v>
      </c>
      <c r="AA86" s="112">
        <v>18567.47</v>
      </c>
      <c r="AB86" s="112">
        <v>26695.68</v>
      </c>
      <c r="AC86" s="8">
        <v>2.9850057237918746</v>
      </c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189"/>
      <c r="BJ86" s="204" t="s">
        <v>809</v>
      </c>
    </row>
    <row r="87" spans="1:62" ht="12.75" customHeight="1" x14ac:dyDescent="0.35">
      <c r="A87" s="108"/>
      <c r="B87" s="126" t="s">
        <v>31</v>
      </c>
      <c r="C87" s="5" t="s">
        <v>5</v>
      </c>
      <c r="D87" s="5" t="s">
        <v>396</v>
      </c>
      <c r="E87" s="5" t="s">
        <v>307</v>
      </c>
      <c r="F87" s="5">
        <v>1071765</v>
      </c>
      <c r="G87" s="7" t="s">
        <v>590</v>
      </c>
      <c r="H87" s="139">
        <v>14833.057308436373</v>
      </c>
      <c r="I87" s="139">
        <v>13349.751577592737</v>
      </c>
      <c r="J87" s="125">
        <v>0</v>
      </c>
      <c r="K87" s="125">
        <v>12302</v>
      </c>
      <c r="L87" s="130">
        <v>11071.800000000001</v>
      </c>
      <c r="M87" s="123">
        <v>0.88478050931116281</v>
      </c>
      <c r="N87" s="130">
        <v>2277.9515775927357</v>
      </c>
      <c r="O87" s="130">
        <v>8.5397533558273828</v>
      </c>
      <c r="P87" s="123">
        <v>1.2481017165915476</v>
      </c>
      <c r="Q87" s="5">
        <v>12804</v>
      </c>
      <c r="R87" s="5">
        <v>822</v>
      </c>
      <c r="S87" s="5">
        <v>11975</v>
      </c>
      <c r="T87" s="5">
        <v>666</v>
      </c>
      <c r="U87" s="5">
        <v>6</v>
      </c>
      <c r="V87" s="5">
        <v>1944</v>
      </c>
      <c r="W87" s="5">
        <v>360</v>
      </c>
      <c r="X87" s="125">
        <v>15623.809523809523</v>
      </c>
      <c r="Y87" s="125">
        <v>22.993751904907043</v>
      </c>
      <c r="Z87" s="125">
        <v>-10938.942691563627</v>
      </c>
      <c r="AA87" s="112">
        <v>259578.5</v>
      </c>
      <c r="AB87" s="112">
        <v>261642.5</v>
      </c>
      <c r="AC87" s="8">
        <v>1.7374705338286565</v>
      </c>
      <c r="AD87" s="66"/>
      <c r="AE87" s="66" t="s">
        <v>574</v>
      </c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66"/>
      <c r="BG87" s="66"/>
      <c r="BH87" s="66"/>
      <c r="BI87" s="188" t="s">
        <v>1</v>
      </c>
      <c r="BJ87" s="204"/>
    </row>
    <row r="88" spans="1:62" ht="12.75" customHeight="1" x14ac:dyDescent="0.35">
      <c r="A88" s="108"/>
      <c r="B88" s="126" t="s">
        <v>22</v>
      </c>
      <c r="C88" s="5" t="s">
        <v>5</v>
      </c>
      <c r="D88" s="5" t="s">
        <v>396</v>
      </c>
      <c r="E88" s="5" t="s">
        <v>397</v>
      </c>
      <c r="F88" s="5">
        <v>1051097</v>
      </c>
      <c r="G88" s="7" t="s">
        <v>187</v>
      </c>
      <c r="H88" s="139">
        <v>2059.1977044732344</v>
      </c>
      <c r="I88" s="139">
        <v>2059.1977044732344</v>
      </c>
      <c r="J88" s="125">
        <v>0</v>
      </c>
      <c r="K88" s="125">
        <v>2352</v>
      </c>
      <c r="L88" s="130">
        <v>2352</v>
      </c>
      <c r="M88" s="123">
        <v>1.1659880907910212</v>
      </c>
      <c r="N88" s="130">
        <v>292.80229552676565</v>
      </c>
      <c r="O88" s="130">
        <v>14.665285509461841</v>
      </c>
      <c r="P88" s="123">
        <v>1.57052698411863</v>
      </c>
      <c r="Q88" s="5">
        <v>2240</v>
      </c>
      <c r="R88" s="5">
        <v>49</v>
      </c>
      <c r="S88" s="5">
        <v>2191</v>
      </c>
      <c r="T88" s="5">
        <v>0</v>
      </c>
      <c r="U88" s="5">
        <v>0</v>
      </c>
      <c r="V88" s="5">
        <v>0</v>
      </c>
      <c r="W88" s="5">
        <v>0</v>
      </c>
      <c r="X88" s="125">
        <v>2858.333333333333</v>
      </c>
      <c r="Y88" s="125">
        <v>22.995918367346942</v>
      </c>
      <c r="Z88" s="125">
        <v>-2532.8022955267656</v>
      </c>
      <c r="AA88" s="112">
        <v>41925.269999999997</v>
      </c>
      <c r="AB88" s="112">
        <v>44608.76</v>
      </c>
      <c r="AC88" s="8">
        <v>2.2299947159151889</v>
      </c>
      <c r="AD88" s="66"/>
      <c r="AE88" s="66">
        <v>163.25564506978327</v>
      </c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188" t="s">
        <v>1</v>
      </c>
      <c r="BJ88" s="204"/>
    </row>
    <row r="89" spans="1:62" ht="12.75" customHeight="1" x14ac:dyDescent="0.35">
      <c r="A89" s="108"/>
      <c r="B89" s="126" t="s">
        <v>1</v>
      </c>
      <c r="C89" s="5" t="s">
        <v>50</v>
      </c>
      <c r="D89" s="5" t="s">
        <v>320</v>
      </c>
      <c r="E89" s="5" t="s">
        <v>402</v>
      </c>
      <c r="F89" s="5">
        <v>1060800</v>
      </c>
      <c r="G89" s="7" t="s">
        <v>437</v>
      </c>
      <c r="H89" s="139">
        <v>33301.023651043877</v>
      </c>
      <c r="I89" s="139">
        <v>5994.1842571878979</v>
      </c>
      <c r="J89" s="125">
        <v>0</v>
      </c>
      <c r="K89" s="125">
        <v>15747</v>
      </c>
      <c r="L89" s="130">
        <v>2834.46</v>
      </c>
      <c r="M89" s="123">
        <v>0.48896394809441784</v>
      </c>
      <c r="N89" s="130">
        <v>3159.7242571878978</v>
      </c>
      <c r="O89" s="130">
        <v>0</v>
      </c>
      <c r="P89" s="123">
        <v>0.90089954011834539</v>
      </c>
      <c r="Q89" s="5">
        <v>26107</v>
      </c>
      <c r="R89" s="5">
        <v>536</v>
      </c>
      <c r="S89" s="5">
        <v>25571</v>
      </c>
      <c r="T89" s="5">
        <v>0</v>
      </c>
      <c r="U89" s="5">
        <v>16</v>
      </c>
      <c r="V89" s="5">
        <v>0</v>
      </c>
      <c r="W89" s="5">
        <v>401</v>
      </c>
      <c r="X89" s="125">
        <v>33301.023651043877</v>
      </c>
      <c r="Y89" s="125">
        <v>23.036228797007354</v>
      </c>
      <c r="Z89" s="125">
        <v>-8552.9763489561228</v>
      </c>
      <c r="AA89" s="112">
        <v>226446.96</v>
      </c>
      <c r="AB89" s="112">
        <v>176718.4</v>
      </c>
      <c r="AC89" s="8">
        <v>1.2568382413279964</v>
      </c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188" t="s">
        <v>1</v>
      </c>
      <c r="BJ89" s="183" t="s">
        <v>812</v>
      </c>
    </row>
    <row r="90" spans="1:62" ht="12.75" customHeight="1" x14ac:dyDescent="0.35">
      <c r="A90" s="108"/>
      <c r="B90" s="126" t="s">
        <v>15</v>
      </c>
      <c r="C90" s="5" t="s">
        <v>5</v>
      </c>
      <c r="D90" s="5" t="s">
        <v>308</v>
      </c>
      <c r="E90" s="5" t="s">
        <v>315</v>
      </c>
      <c r="F90" s="5">
        <v>1073438</v>
      </c>
      <c r="G90" s="7" t="s">
        <v>634</v>
      </c>
      <c r="H90" s="139">
        <v>45784.866989038477</v>
      </c>
      <c r="I90" s="139">
        <v>17581.388923790775</v>
      </c>
      <c r="J90" s="125">
        <v>0</v>
      </c>
      <c r="K90" s="125">
        <v>34448</v>
      </c>
      <c r="L90" s="130">
        <v>13228.032000000001</v>
      </c>
      <c r="M90" s="123">
        <v>0.8462184679771122</v>
      </c>
      <c r="N90" s="130">
        <v>4353.3569237907741</v>
      </c>
      <c r="O90" s="130">
        <v>12.800158164138754</v>
      </c>
      <c r="P90" s="123">
        <v>1.425093419927068</v>
      </c>
      <c r="Q90" s="5">
        <v>40393</v>
      </c>
      <c r="R90" s="5">
        <v>4296</v>
      </c>
      <c r="S90" s="5">
        <v>36097</v>
      </c>
      <c r="T90" s="5">
        <v>0</v>
      </c>
      <c r="U90" s="5">
        <v>0</v>
      </c>
      <c r="V90" s="5">
        <v>0</v>
      </c>
      <c r="W90" s="5">
        <v>2540</v>
      </c>
      <c r="X90" s="125">
        <v>46123.809523809519</v>
      </c>
      <c r="Y90" s="125">
        <v>23.478329547800953</v>
      </c>
      <c r="Z90" s="125">
        <v>-29056.133010961523</v>
      </c>
      <c r="AA90" s="112">
        <v>285697.57</v>
      </c>
      <c r="AB90" s="112">
        <v>241094.88</v>
      </c>
      <c r="AC90" s="8">
        <v>1.6346230735565521</v>
      </c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  <c r="BI90" s="189"/>
      <c r="BJ90" s="204" t="s">
        <v>824</v>
      </c>
    </row>
    <row r="91" spans="1:62" ht="12.75" customHeight="1" x14ac:dyDescent="0.35">
      <c r="A91" s="108"/>
      <c r="B91" s="126" t="s">
        <v>1</v>
      </c>
      <c r="C91" s="5" t="s">
        <v>2</v>
      </c>
      <c r="D91" s="5" t="s">
        <v>310</v>
      </c>
      <c r="E91" s="5" t="s">
        <v>311</v>
      </c>
      <c r="F91" s="135">
        <v>1080749</v>
      </c>
      <c r="G91" s="136" t="s">
        <v>769</v>
      </c>
      <c r="H91" s="139">
        <v>8618.5133697492711</v>
      </c>
      <c r="I91" s="139">
        <v>1551.3324065548688</v>
      </c>
      <c r="J91" s="125">
        <v>0</v>
      </c>
      <c r="K91" s="125">
        <v>6582</v>
      </c>
      <c r="L91" s="130">
        <v>1184.76</v>
      </c>
      <c r="M91" s="123">
        <v>1.0080624844761075</v>
      </c>
      <c r="N91" s="130">
        <v>366.57240655486885</v>
      </c>
      <c r="O91" s="130">
        <v>10.452844084861573</v>
      </c>
      <c r="P91" s="123">
        <v>1.3881228345597958</v>
      </c>
      <c r="Q91" s="5">
        <v>10242</v>
      </c>
      <c r="R91" s="5">
        <v>2106</v>
      </c>
      <c r="S91" s="5">
        <v>8136</v>
      </c>
      <c r="T91" s="5">
        <v>0</v>
      </c>
      <c r="U91" s="5">
        <v>60</v>
      </c>
      <c r="V91" s="5">
        <v>0</v>
      </c>
      <c r="W91" s="5">
        <v>97</v>
      </c>
      <c r="X91" s="125">
        <v>10342.857142857141</v>
      </c>
      <c r="Y91" s="125">
        <v>23.598895027624312</v>
      </c>
      <c r="Z91" s="125">
        <v>-8205.4866302507289</v>
      </c>
      <c r="AA91" s="112">
        <v>34215.5</v>
      </c>
      <c r="AB91" s="112">
        <v>32923.21</v>
      </c>
      <c r="AC91" s="8">
        <v>1.9520768000490372</v>
      </c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  <c r="BH91" s="66"/>
      <c r="BI91" s="189"/>
      <c r="BJ91" s="204" t="s">
        <v>806</v>
      </c>
    </row>
    <row r="92" spans="1:62" ht="12.75" customHeight="1" x14ac:dyDescent="0.35">
      <c r="A92" s="108"/>
      <c r="B92" s="126" t="s">
        <v>1</v>
      </c>
      <c r="C92" s="5" t="s">
        <v>2</v>
      </c>
      <c r="D92" s="5" t="s">
        <v>306</v>
      </c>
      <c r="E92" s="5" t="s">
        <v>401</v>
      </c>
      <c r="F92" s="5">
        <v>1076131</v>
      </c>
      <c r="G92" s="7" t="s">
        <v>682</v>
      </c>
      <c r="H92" s="139">
        <v>66430.677912817016</v>
      </c>
      <c r="I92" s="139">
        <v>18600.589815588766</v>
      </c>
      <c r="J92" s="125">
        <v>0</v>
      </c>
      <c r="K92" s="125">
        <v>41123</v>
      </c>
      <c r="L92" s="130">
        <v>11514.44</v>
      </c>
      <c r="M92" s="123">
        <v>0.72994889595495505</v>
      </c>
      <c r="N92" s="130">
        <v>7086.1498155887657</v>
      </c>
      <c r="O92" s="130">
        <v>0</v>
      </c>
      <c r="P92" s="123">
        <v>0.7974626123523848</v>
      </c>
      <c r="Q92" s="5">
        <v>60702</v>
      </c>
      <c r="R92" s="5">
        <v>7368</v>
      </c>
      <c r="S92" s="5">
        <v>53334</v>
      </c>
      <c r="T92" s="5">
        <v>0</v>
      </c>
      <c r="U92" s="5">
        <v>24</v>
      </c>
      <c r="V92" s="5">
        <v>0</v>
      </c>
      <c r="W92" s="5">
        <v>1560</v>
      </c>
      <c r="X92" s="125">
        <v>66430.677912817016</v>
      </c>
      <c r="Y92" s="125">
        <v>24.085558815158425</v>
      </c>
      <c r="Z92" s="125">
        <v>-35394.322087182984</v>
      </c>
      <c r="AA92" s="112">
        <v>272365.78000000003</v>
      </c>
      <c r="AB92" s="112">
        <v>225163.8</v>
      </c>
      <c r="AC92" s="8">
        <v>1.532800856460236</v>
      </c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66"/>
      <c r="BG92" s="66"/>
      <c r="BH92" s="66"/>
      <c r="BI92" s="188"/>
      <c r="BJ92" s="204" t="s">
        <v>830</v>
      </c>
    </row>
    <row r="93" spans="1:62" ht="12.75" customHeight="1" x14ac:dyDescent="0.35">
      <c r="A93" s="108"/>
      <c r="B93" s="126" t="s">
        <v>4</v>
      </c>
      <c r="C93" s="5" t="s">
        <v>5</v>
      </c>
      <c r="D93" s="5" t="s">
        <v>308</v>
      </c>
      <c r="E93" s="5" t="s">
        <v>314</v>
      </c>
      <c r="F93" s="161">
        <v>1083030</v>
      </c>
      <c r="G93" s="162" t="s">
        <v>775</v>
      </c>
      <c r="H93" s="139">
        <v>344179</v>
      </c>
      <c r="I93" s="139">
        <v>68835.8</v>
      </c>
      <c r="J93" s="125">
        <v>0</v>
      </c>
      <c r="K93" s="125">
        <v>156139</v>
      </c>
      <c r="L93" s="130">
        <v>31227.800000000003</v>
      </c>
      <c r="M93" s="123">
        <v>0.52463688952550858</v>
      </c>
      <c r="N93" s="130">
        <v>37608</v>
      </c>
      <c r="O93" s="130">
        <v>0</v>
      </c>
      <c r="P93" s="123">
        <v>0.4683902498847437</v>
      </c>
      <c r="Q93" s="5">
        <v>305886</v>
      </c>
      <c r="R93" s="5">
        <v>24430</v>
      </c>
      <c r="S93" s="5">
        <v>281456</v>
      </c>
      <c r="T93" s="5">
        <v>0</v>
      </c>
      <c r="U93" s="5">
        <v>0</v>
      </c>
      <c r="V93" s="5">
        <v>0</v>
      </c>
      <c r="W93" s="5">
        <v>750</v>
      </c>
      <c r="X93" s="125">
        <v>344179</v>
      </c>
      <c r="Y93" s="125">
        <v>24.532815773187792</v>
      </c>
      <c r="Z93" s="125">
        <v>-117846</v>
      </c>
      <c r="AA93" s="112">
        <v>1452435.38</v>
      </c>
      <c r="AB93" s="112">
        <v>1190909.32</v>
      </c>
      <c r="AC93" s="8">
        <v>1.3423974152984348</v>
      </c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189"/>
      <c r="BJ93" s="204"/>
    </row>
    <row r="94" spans="1:62" ht="12.75" customHeight="1" x14ac:dyDescent="0.35">
      <c r="A94" s="108"/>
      <c r="B94" s="126" t="s">
        <v>31</v>
      </c>
      <c r="C94" s="5" t="s">
        <v>5</v>
      </c>
      <c r="D94" s="5" t="s">
        <v>306</v>
      </c>
      <c r="E94" s="5" t="s">
        <v>307</v>
      </c>
      <c r="F94" s="142">
        <v>1076009</v>
      </c>
      <c r="G94" s="143" t="s">
        <v>655</v>
      </c>
      <c r="H94" s="139">
        <v>51211.475087054299</v>
      </c>
      <c r="I94" s="139">
        <v>20484.590034821722</v>
      </c>
      <c r="J94" s="125">
        <v>0</v>
      </c>
      <c r="K94" s="125">
        <v>29136</v>
      </c>
      <c r="L94" s="130">
        <v>11654.400000000001</v>
      </c>
      <c r="M94" s="123">
        <v>0.64096962534667945</v>
      </c>
      <c r="N94" s="130">
        <v>8830.1900348217205</v>
      </c>
      <c r="O94" s="130">
        <v>9.0116873511264988</v>
      </c>
      <c r="P94" s="123">
        <v>1.2722502524536232</v>
      </c>
      <c r="Q94" s="5">
        <v>47043</v>
      </c>
      <c r="R94" s="5">
        <v>3689</v>
      </c>
      <c r="S94" s="5">
        <v>43354</v>
      </c>
      <c r="T94" s="5">
        <v>0</v>
      </c>
      <c r="U94" s="5">
        <v>160</v>
      </c>
      <c r="V94" s="5">
        <v>0</v>
      </c>
      <c r="W94" s="5">
        <v>2000</v>
      </c>
      <c r="X94" s="125">
        <v>51211.475087054292</v>
      </c>
      <c r="Y94" s="125">
        <v>25.39704231891541</v>
      </c>
      <c r="Z94" s="125">
        <v>-24967.524912945701</v>
      </c>
      <c r="AA94" s="112">
        <v>458342.7</v>
      </c>
      <c r="AB94" s="112">
        <v>407350.3</v>
      </c>
      <c r="AC94" s="8">
        <v>1.4875377026438596</v>
      </c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188"/>
      <c r="BJ94" s="204" t="s">
        <v>826</v>
      </c>
    </row>
    <row r="95" spans="1:62" ht="12.75" customHeight="1" x14ac:dyDescent="0.35">
      <c r="A95" s="108"/>
      <c r="B95" s="126" t="s">
        <v>27</v>
      </c>
      <c r="C95" s="5" t="s">
        <v>5</v>
      </c>
      <c r="D95" s="5" t="s">
        <v>308</v>
      </c>
      <c r="E95" s="5" t="s">
        <v>315</v>
      </c>
      <c r="F95" s="5">
        <v>1078707</v>
      </c>
      <c r="G95" s="7" t="s">
        <v>695</v>
      </c>
      <c r="H95" s="139">
        <v>4481.7342458585299</v>
      </c>
      <c r="I95" s="139">
        <v>2931.0541967914787</v>
      </c>
      <c r="J95" s="125">
        <v>0</v>
      </c>
      <c r="K95" s="125">
        <v>3829</v>
      </c>
      <c r="L95" s="130">
        <v>2504.1660000000002</v>
      </c>
      <c r="M95" s="123">
        <v>0.89005723703634265</v>
      </c>
      <c r="N95" s="130">
        <v>426.88819679147855</v>
      </c>
      <c r="O95" s="130">
        <v>0</v>
      </c>
      <c r="P95" s="123">
        <v>0.79882195489589503</v>
      </c>
      <c r="Q95" s="5">
        <v>4201</v>
      </c>
      <c r="R95" s="5">
        <v>160</v>
      </c>
      <c r="S95" s="5">
        <v>4040</v>
      </c>
      <c r="T95" s="5">
        <v>0</v>
      </c>
      <c r="U95" s="5">
        <v>0</v>
      </c>
      <c r="V95" s="5">
        <v>0</v>
      </c>
      <c r="W95" s="5">
        <v>0</v>
      </c>
      <c r="X95" s="125">
        <v>4748.8095238095229</v>
      </c>
      <c r="Y95" s="125">
        <v>25.522186011531719</v>
      </c>
      <c r="Z95" s="125">
        <v>-3548.2657541414701</v>
      </c>
      <c r="AA95" s="112">
        <v>53556.72</v>
      </c>
      <c r="AB95" s="112">
        <v>48278</v>
      </c>
      <c r="AC95" s="8">
        <v>1.7917171254454329</v>
      </c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  <c r="BH95" s="66"/>
      <c r="BI95" s="188" t="s">
        <v>1</v>
      </c>
      <c r="BJ95" s="204"/>
    </row>
    <row r="96" spans="1:62" ht="12.75" customHeight="1" x14ac:dyDescent="0.35">
      <c r="A96" s="108"/>
      <c r="B96" s="126" t="s">
        <v>21</v>
      </c>
      <c r="C96" s="5" t="s">
        <v>5</v>
      </c>
      <c r="D96" s="5" t="s">
        <v>396</v>
      </c>
      <c r="E96" s="5" t="s">
        <v>397</v>
      </c>
      <c r="F96" s="5">
        <v>1040797</v>
      </c>
      <c r="G96" s="7" t="s">
        <v>84</v>
      </c>
      <c r="H96" s="139">
        <v>2577.0810777471647</v>
      </c>
      <c r="I96" s="139">
        <v>25770.810777471648</v>
      </c>
      <c r="J96" s="125">
        <v>0</v>
      </c>
      <c r="K96" s="125">
        <v>2296</v>
      </c>
      <c r="L96" s="130">
        <v>22960</v>
      </c>
      <c r="M96" s="123">
        <v>0.89869116652884018</v>
      </c>
      <c r="N96" s="130">
        <v>2810.8107774716482</v>
      </c>
      <c r="O96" s="130">
        <v>17.355902402063755</v>
      </c>
      <c r="P96" s="123">
        <v>1.6018853947278884</v>
      </c>
      <c r="Q96" s="5">
        <v>2366</v>
      </c>
      <c r="R96" s="5">
        <v>20</v>
      </c>
      <c r="S96" s="5">
        <v>2346</v>
      </c>
      <c r="T96" s="5">
        <v>0</v>
      </c>
      <c r="U96" s="5">
        <v>0</v>
      </c>
      <c r="V96" s="5">
        <v>0</v>
      </c>
      <c r="W96" s="5">
        <v>0</v>
      </c>
      <c r="X96" s="125">
        <v>2757.1428571428573</v>
      </c>
      <c r="Y96" s="125">
        <v>25.526424870466318</v>
      </c>
      <c r="Z96" s="125">
        <v>-2084.9189222528353</v>
      </c>
      <c r="AA96" s="112">
        <v>25976.98</v>
      </c>
      <c r="AB96" s="112">
        <v>23647.68</v>
      </c>
      <c r="AC96" s="8">
        <v>1.8090234103443232</v>
      </c>
      <c r="AD96" s="66"/>
      <c r="AE96" s="66">
        <v>27.489419348425013</v>
      </c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188" t="s">
        <v>1</v>
      </c>
      <c r="BJ96" s="204"/>
    </row>
    <row r="97" spans="1:62" ht="12.75" customHeight="1" x14ac:dyDescent="0.35">
      <c r="A97" s="108"/>
      <c r="B97" s="126" t="s">
        <v>4</v>
      </c>
      <c r="C97" s="5" t="s">
        <v>5</v>
      </c>
      <c r="D97" s="5" t="s">
        <v>308</v>
      </c>
      <c r="E97" s="5" t="s">
        <v>315</v>
      </c>
      <c r="F97" s="5">
        <v>1072750</v>
      </c>
      <c r="G97" s="7" t="s">
        <v>602</v>
      </c>
      <c r="H97" s="139">
        <v>2338.4875281518148</v>
      </c>
      <c r="I97" s="139">
        <v>467.69750563036297</v>
      </c>
      <c r="J97" s="125">
        <v>0</v>
      </c>
      <c r="K97" s="125">
        <v>2407</v>
      </c>
      <c r="L97" s="130">
        <v>481.40000000000003</v>
      </c>
      <c r="M97" s="123">
        <v>1.0292977708982407</v>
      </c>
      <c r="N97" s="130">
        <v>13.702494369637066</v>
      </c>
      <c r="O97" s="130">
        <v>5.7410224340571592</v>
      </c>
      <c r="P97" s="123">
        <v>1.2207213751490642</v>
      </c>
      <c r="Q97" s="5">
        <v>2472</v>
      </c>
      <c r="R97" s="5">
        <v>0</v>
      </c>
      <c r="S97" s="5">
        <v>2472</v>
      </c>
      <c r="T97" s="5">
        <v>0</v>
      </c>
      <c r="U97" s="5">
        <v>0</v>
      </c>
      <c r="V97" s="5">
        <v>0</v>
      </c>
      <c r="W97" s="5">
        <v>1876</v>
      </c>
      <c r="X97" s="125">
        <v>2865.4761904761904</v>
      </c>
      <c r="Y97" s="125">
        <v>25.880515164104697</v>
      </c>
      <c r="Z97" s="125">
        <v>-2540.5124718481852</v>
      </c>
      <c r="AA97" s="112">
        <v>4115.74</v>
      </c>
      <c r="AB97" s="112">
        <v>7652.48</v>
      </c>
      <c r="AC97" s="8">
        <v>2.0863912855058233</v>
      </c>
      <c r="AD97" s="66"/>
      <c r="AE97" s="66">
        <v>7.1636228102869923</v>
      </c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66"/>
      <c r="BG97" s="66"/>
      <c r="BH97" s="66"/>
      <c r="BI97" s="188" t="s">
        <v>1</v>
      </c>
      <c r="BJ97" s="204"/>
    </row>
    <row r="98" spans="1:62" ht="12.75" customHeight="1" x14ac:dyDescent="0.35">
      <c r="A98" s="108"/>
      <c r="B98" s="126" t="s">
        <v>15</v>
      </c>
      <c r="C98" s="5" t="s">
        <v>5</v>
      </c>
      <c r="D98" s="5" t="s">
        <v>308</v>
      </c>
      <c r="E98" s="5" t="s">
        <v>315</v>
      </c>
      <c r="F98" s="135">
        <v>1082605</v>
      </c>
      <c r="G98" s="136" t="s">
        <v>771</v>
      </c>
      <c r="H98" s="139">
        <v>25963.117276686415</v>
      </c>
      <c r="I98" s="139">
        <v>9450.5746887138539</v>
      </c>
      <c r="J98" s="125">
        <v>0</v>
      </c>
      <c r="K98" s="125">
        <v>16434</v>
      </c>
      <c r="L98" s="130">
        <v>5981.9759999999997</v>
      </c>
      <c r="M98" s="123">
        <v>0.72448927451752654</v>
      </c>
      <c r="N98" s="130">
        <v>3468.5986887138542</v>
      </c>
      <c r="O98" s="130">
        <v>0</v>
      </c>
      <c r="P98" s="123">
        <v>0.76691155859045179</v>
      </c>
      <c r="Q98" s="5">
        <v>24826</v>
      </c>
      <c r="R98" s="5">
        <v>2376</v>
      </c>
      <c r="S98" s="5">
        <v>22450</v>
      </c>
      <c r="T98" s="5">
        <v>0</v>
      </c>
      <c r="U98" s="5">
        <v>0</v>
      </c>
      <c r="V98" s="5">
        <v>0</v>
      </c>
      <c r="W98" s="5">
        <v>90</v>
      </c>
      <c r="X98" s="125">
        <v>25963.117276686415</v>
      </c>
      <c r="Y98" s="125">
        <v>25.940644677700909</v>
      </c>
      <c r="Z98" s="125">
        <v>-15296.882723313585</v>
      </c>
      <c r="AA98" s="112">
        <v>152143.87</v>
      </c>
      <c r="AB98" s="112">
        <v>132084.4</v>
      </c>
      <c r="AC98" s="8">
        <v>1.5891774304408903</v>
      </c>
      <c r="AD98" s="66"/>
      <c r="AE98" s="66">
        <v>38.569490221929236</v>
      </c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/>
      <c r="BF98" s="66"/>
      <c r="BG98" s="66"/>
      <c r="BH98" s="66"/>
      <c r="BI98" s="188" t="s">
        <v>1</v>
      </c>
      <c r="BJ98" s="204"/>
    </row>
    <row r="99" spans="1:62" ht="12.75" customHeight="1" x14ac:dyDescent="0.35">
      <c r="A99" s="108"/>
      <c r="B99" s="126" t="s">
        <v>1</v>
      </c>
      <c r="C99" s="5" t="s">
        <v>50</v>
      </c>
      <c r="D99" s="5" t="s">
        <v>320</v>
      </c>
      <c r="E99" s="5" t="s">
        <v>402</v>
      </c>
      <c r="F99" s="5">
        <v>1060793</v>
      </c>
      <c r="G99" s="7" t="s">
        <v>430</v>
      </c>
      <c r="H99" s="139">
        <v>22466.248923477524</v>
      </c>
      <c r="I99" s="139">
        <v>4043.9248062259539</v>
      </c>
      <c r="J99" s="125">
        <v>0</v>
      </c>
      <c r="K99" s="125">
        <v>6811</v>
      </c>
      <c r="L99" s="130">
        <v>1225.98</v>
      </c>
      <c r="M99" s="123">
        <v>0.3989540056521651</v>
      </c>
      <c r="N99" s="130">
        <v>2817.9448062259539</v>
      </c>
      <c r="O99" s="130">
        <v>0</v>
      </c>
      <c r="P99" s="123">
        <v>0.94358583074902402</v>
      </c>
      <c r="Q99" s="5">
        <v>21664</v>
      </c>
      <c r="R99" s="5">
        <v>2152</v>
      </c>
      <c r="S99" s="5">
        <v>19512</v>
      </c>
      <c r="T99" s="5">
        <v>0</v>
      </c>
      <c r="U99" s="5">
        <v>0</v>
      </c>
      <c r="V99" s="5">
        <v>0</v>
      </c>
      <c r="W99" s="5">
        <v>900</v>
      </c>
      <c r="X99" s="125">
        <v>22466.248923477524</v>
      </c>
      <c r="Y99" s="125">
        <v>26.05508387242568</v>
      </c>
      <c r="Z99" s="125">
        <v>-6008.7510765224761</v>
      </c>
      <c r="AA99" s="112">
        <v>154118.47</v>
      </c>
      <c r="AB99" s="112">
        <v>140026.32</v>
      </c>
      <c r="AC99" s="8">
        <v>1.2674568013996876</v>
      </c>
      <c r="AD99" s="66"/>
      <c r="AE99" s="66" t="s">
        <v>574</v>
      </c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  <c r="BH99" s="66"/>
      <c r="BI99" s="188" t="s">
        <v>1</v>
      </c>
      <c r="BJ99" s="204"/>
    </row>
    <row r="100" spans="1:62" ht="12.75" customHeight="1" x14ac:dyDescent="0.35">
      <c r="A100" s="108"/>
      <c r="B100" s="126" t="s">
        <v>31</v>
      </c>
      <c r="C100" s="5" t="s">
        <v>5</v>
      </c>
      <c r="D100" s="5" t="s">
        <v>306</v>
      </c>
      <c r="E100" s="5" t="s">
        <v>307</v>
      </c>
      <c r="F100" s="5">
        <v>1071183</v>
      </c>
      <c r="G100" s="7" t="s">
        <v>591</v>
      </c>
      <c r="H100" s="139">
        <v>191883.57772749636</v>
      </c>
      <c r="I100" s="139">
        <v>26863.700881849494</v>
      </c>
      <c r="J100" s="125">
        <v>0</v>
      </c>
      <c r="K100" s="125">
        <v>126476</v>
      </c>
      <c r="L100" s="130">
        <v>17706.640000000003</v>
      </c>
      <c r="M100" s="123">
        <v>0.6839876635320461</v>
      </c>
      <c r="N100" s="130">
        <v>9157.0608818494911</v>
      </c>
      <c r="O100" s="130">
        <v>0</v>
      </c>
      <c r="P100" s="123">
        <v>0.91678571512368989</v>
      </c>
      <c r="Q100" s="5">
        <v>173455</v>
      </c>
      <c r="R100" s="5">
        <v>4770</v>
      </c>
      <c r="S100" s="5">
        <v>168685</v>
      </c>
      <c r="T100" s="5">
        <v>16170</v>
      </c>
      <c r="U100" s="5">
        <v>0</v>
      </c>
      <c r="V100" s="5">
        <v>0</v>
      </c>
      <c r="W100" s="5">
        <v>5130</v>
      </c>
      <c r="X100" s="125">
        <v>191883.57772749636</v>
      </c>
      <c r="Y100" s="125">
        <v>26.373022954506013</v>
      </c>
      <c r="Z100" s="125">
        <v>-124217.42227250364</v>
      </c>
      <c r="AA100" s="112">
        <v>516166.82</v>
      </c>
      <c r="AB100" s="112">
        <v>511059.65</v>
      </c>
      <c r="AC100" s="8">
        <v>1.6473582770533448</v>
      </c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66"/>
      <c r="BG100" s="66"/>
      <c r="BH100" s="66"/>
      <c r="BI100" s="188"/>
      <c r="BJ100" s="204"/>
    </row>
    <row r="101" spans="1:62" ht="12.75" customHeight="1" x14ac:dyDescent="0.3">
      <c r="A101" s="108"/>
      <c r="B101" s="126">
        <v>0</v>
      </c>
      <c r="C101" s="5" t="s">
        <v>5</v>
      </c>
      <c r="D101" s="5" t="s">
        <v>308</v>
      </c>
      <c r="E101" s="5" t="s">
        <v>315</v>
      </c>
      <c r="F101" s="5">
        <v>1083108</v>
      </c>
      <c r="G101" s="170" t="s">
        <v>778</v>
      </c>
      <c r="H101" s="139">
        <v>11620</v>
      </c>
      <c r="I101" s="139">
        <v>1859.2</v>
      </c>
      <c r="J101" s="125">
        <v>0</v>
      </c>
      <c r="K101" s="125">
        <v>1121</v>
      </c>
      <c r="L101" s="130">
        <v>179.36</v>
      </c>
      <c r="M101" s="123">
        <v>9.6471600688468162E-2</v>
      </c>
      <c r="N101" s="130">
        <v>1679.8400000000001</v>
      </c>
      <c r="O101" s="130">
        <v>0</v>
      </c>
      <c r="P101" s="123">
        <v>0</v>
      </c>
      <c r="Q101" s="5">
        <v>10400</v>
      </c>
      <c r="R101" s="5">
        <v>0</v>
      </c>
      <c r="S101" s="5">
        <v>10400</v>
      </c>
      <c r="T101" s="5">
        <v>0</v>
      </c>
      <c r="U101" s="5">
        <v>0</v>
      </c>
      <c r="V101" s="5">
        <v>0</v>
      </c>
      <c r="W101" s="5">
        <v>0</v>
      </c>
      <c r="X101" s="125">
        <v>11620</v>
      </c>
      <c r="Y101" s="125">
        <v>26.850258175559382</v>
      </c>
      <c r="Z101" s="125">
        <v>99</v>
      </c>
      <c r="AA101" s="112">
        <v>40089</v>
      </c>
      <c r="AB101" s="112">
        <v>35880</v>
      </c>
      <c r="AC101" s="8">
        <v>0.99148020654044755</v>
      </c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6"/>
      <c r="BD101" s="66"/>
      <c r="BE101" s="66"/>
      <c r="BF101" s="66"/>
      <c r="BG101" s="66"/>
      <c r="BH101" s="66"/>
      <c r="BI101" s="189" t="s">
        <v>1</v>
      </c>
      <c r="BJ101" s="204"/>
    </row>
    <row r="102" spans="1:62" ht="12.75" customHeight="1" x14ac:dyDescent="0.35">
      <c r="A102" s="108"/>
      <c r="B102" s="126" t="s">
        <v>21</v>
      </c>
      <c r="C102" s="5" t="s">
        <v>5</v>
      </c>
      <c r="D102" s="5" t="s">
        <v>396</v>
      </c>
      <c r="E102" s="5" t="s">
        <v>307</v>
      </c>
      <c r="F102" s="5">
        <v>1063072</v>
      </c>
      <c r="G102" s="7" t="s">
        <v>448</v>
      </c>
      <c r="H102" s="139">
        <v>24866.141687606108</v>
      </c>
      <c r="I102" s="139">
        <v>12433.070843803054</v>
      </c>
      <c r="J102" s="125">
        <v>0</v>
      </c>
      <c r="K102" s="125">
        <v>17649</v>
      </c>
      <c r="L102" s="130">
        <v>8824.5</v>
      </c>
      <c r="M102" s="123">
        <v>0.81399841818196539</v>
      </c>
      <c r="N102" s="130">
        <v>3608.5708438030542</v>
      </c>
      <c r="O102" s="130">
        <v>1.9048484616327079</v>
      </c>
      <c r="P102" s="123">
        <v>1.063751368150786</v>
      </c>
      <c r="Q102" s="5">
        <v>26062</v>
      </c>
      <c r="R102" s="5">
        <v>2592</v>
      </c>
      <c r="S102" s="5">
        <v>23468</v>
      </c>
      <c r="T102" s="5">
        <v>0</v>
      </c>
      <c r="U102" s="5">
        <v>0</v>
      </c>
      <c r="V102" s="5">
        <v>0</v>
      </c>
      <c r="W102" s="5">
        <v>800</v>
      </c>
      <c r="X102" s="125">
        <v>24866.141687606108</v>
      </c>
      <c r="Y102" s="125">
        <v>28.313198277596506</v>
      </c>
      <c r="Z102" s="125">
        <v>-18844.858312393892</v>
      </c>
      <c r="AA102" s="112">
        <v>142234.32999999999</v>
      </c>
      <c r="AB102" s="112">
        <v>138812.96</v>
      </c>
      <c r="AC102" s="8">
        <v>1.7578521247543051</v>
      </c>
      <c r="AD102" s="66"/>
      <c r="AE102" s="66">
        <v>0</v>
      </c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6"/>
      <c r="BD102" s="66"/>
      <c r="BE102" s="66"/>
      <c r="BF102" s="66"/>
      <c r="BG102" s="66"/>
      <c r="BH102" s="66"/>
      <c r="BI102" s="188" t="s">
        <v>1</v>
      </c>
      <c r="BJ102" s="204"/>
    </row>
    <row r="103" spans="1:62" ht="12.75" customHeight="1" x14ac:dyDescent="0.35">
      <c r="A103" s="108"/>
      <c r="B103" s="126" t="s">
        <v>1</v>
      </c>
      <c r="C103" s="5" t="s">
        <v>2</v>
      </c>
      <c r="D103" s="5" t="s">
        <v>306</v>
      </c>
      <c r="E103" s="5" t="s">
        <v>401</v>
      </c>
      <c r="F103" s="56">
        <v>1064893</v>
      </c>
      <c r="G103" s="65" t="s">
        <v>535</v>
      </c>
      <c r="H103" s="139">
        <v>539.31798245418804</v>
      </c>
      <c r="I103" s="139">
        <v>970.77236841753847</v>
      </c>
      <c r="J103" s="125">
        <v>0</v>
      </c>
      <c r="K103" s="125">
        <v>729</v>
      </c>
      <c r="L103" s="130">
        <v>1312.2</v>
      </c>
      <c r="M103" s="123">
        <v>1.5742104428570907</v>
      </c>
      <c r="N103" s="130">
        <v>341.42763158246157</v>
      </c>
      <c r="O103" s="130">
        <v>7.245684324573106</v>
      </c>
      <c r="P103" s="123">
        <v>1.1242036122812622</v>
      </c>
      <c r="Q103" s="5">
        <v>1076</v>
      </c>
      <c r="R103" s="5">
        <v>120</v>
      </c>
      <c r="S103" s="5">
        <v>956</v>
      </c>
      <c r="T103" s="5">
        <v>0</v>
      </c>
      <c r="U103" s="5">
        <v>0</v>
      </c>
      <c r="V103" s="5">
        <v>0</v>
      </c>
      <c r="W103" s="5">
        <v>0</v>
      </c>
      <c r="X103" s="125">
        <v>1010.7142857142857</v>
      </c>
      <c r="Y103" s="125">
        <v>28.375971731448765</v>
      </c>
      <c r="Z103" s="125">
        <v>-1265.682017545812</v>
      </c>
      <c r="AA103" s="112">
        <v>1623.35</v>
      </c>
      <c r="AB103" s="112">
        <v>2877.56</v>
      </c>
      <c r="AC103" s="8">
        <v>3.3468196105501162</v>
      </c>
      <c r="AD103" s="66"/>
      <c r="AE103" s="66" t="s">
        <v>574</v>
      </c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6"/>
      <c r="BE103" s="66"/>
      <c r="BF103" s="66"/>
      <c r="BG103" s="66"/>
      <c r="BH103" s="66"/>
      <c r="BI103" s="188" t="s">
        <v>1</v>
      </c>
      <c r="BJ103" s="204"/>
    </row>
    <row r="104" spans="1:62" ht="12.75" customHeight="1" x14ac:dyDescent="0.35">
      <c r="A104" s="108"/>
      <c r="B104" s="126" t="s">
        <v>4</v>
      </c>
      <c r="C104" s="5" t="s">
        <v>5</v>
      </c>
      <c r="D104" s="5" t="s">
        <v>308</v>
      </c>
      <c r="E104" s="5" t="s">
        <v>315</v>
      </c>
      <c r="F104" s="5">
        <v>1072749</v>
      </c>
      <c r="G104" s="7" t="s">
        <v>661</v>
      </c>
      <c r="H104" s="139">
        <v>13431.685289755369</v>
      </c>
      <c r="I104" s="139">
        <v>805.9011173853221</v>
      </c>
      <c r="J104" s="125">
        <v>0</v>
      </c>
      <c r="K104" s="125">
        <v>9905</v>
      </c>
      <c r="L104" s="130">
        <v>594.29999999999995</v>
      </c>
      <c r="M104" s="123">
        <v>0.73743538404333764</v>
      </c>
      <c r="N104" s="130">
        <v>211.60111738532214</v>
      </c>
      <c r="O104" s="130">
        <v>1.4853336779088568</v>
      </c>
      <c r="P104" s="123">
        <v>1.0503954770357966</v>
      </c>
      <c r="Q104" s="5">
        <v>12913</v>
      </c>
      <c r="R104" s="5">
        <v>0</v>
      </c>
      <c r="S104" s="5">
        <v>12913</v>
      </c>
      <c r="T104" s="5">
        <v>0</v>
      </c>
      <c r="U104" s="5">
        <v>0</v>
      </c>
      <c r="V104" s="5">
        <v>0</v>
      </c>
      <c r="W104" s="5">
        <v>0</v>
      </c>
      <c r="X104" s="125">
        <v>13431.685289755369</v>
      </c>
      <c r="Y104" s="125">
        <v>28.841503626910509</v>
      </c>
      <c r="Z104" s="125">
        <v>-9386.314710244631</v>
      </c>
      <c r="AA104" s="112">
        <v>8327.64</v>
      </c>
      <c r="AB104" s="112">
        <v>8006.06</v>
      </c>
      <c r="AC104" s="8">
        <v>1.698818838273688</v>
      </c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6"/>
      <c r="BD104" s="66"/>
      <c r="BE104" s="66"/>
      <c r="BF104" s="66"/>
      <c r="BG104" s="66"/>
      <c r="BH104" s="66"/>
      <c r="BI104" s="189"/>
      <c r="BJ104" s="204"/>
    </row>
    <row r="105" spans="1:62" ht="12.75" customHeight="1" x14ac:dyDescent="0.35">
      <c r="A105" s="108"/>
      <c r="B105" s="126" t="s">
        <v>27</v>
      </c>
      <c r="C105" s="5" t="s">
        <v>5</v>
      </c>
      <c r="D105" s="5" t="s">
        <v>312</v>
      </c>
      <c r="E105" s="5" t="s">
        <v>313</v>
      </c>
      <c r="F105" s="5">
        <v>1052770</v>
      </c>
      <c r="G105" s="7" t="s">
        <v>183</v>
      </c>
      <c r="H105" s="139">
        <v>7358.2629779861527</v>
      </c>
      <c r="I105" s="139">
        <v>2030.8805819241784</v>
      </c>
      <c r="J105" s="125">
        <v>0</v>
      </c>
      <c r="K105" s="125">
        <v>3950.9859999999999</v>
      </c>
      <c r="L105" s="130">
        <v>1090.4721360000001</v>
      </c>
      <c r="M105" s="123">
        <v>0.54645858839642669</v>
      </c>
      <c r="N105" s="130">
        <v>940.4084459241783</v>
      </c>
      <c r="O105" s="130">
        <v>6.4614656065788179</v>
      </c>
      <c r="P105" s="123">
        <v>1.1976314887301918</v>
      </c>
      <c r="Q105" s="5">
        <v>7163</v>
      </c>
      <c r="R105" s="5">
        <v>70</v>
      </c>
      <c r="S105" s="5">
        <v>7093</v>
      </c>
      <c r="T105" s="5">
        <v>0</v>
      </c>
      <c r="U105" s="5">
        <v>0</v>
      </c>
      <c r="V105" s="5">
        <v>0</v>
      </c>
      <c r="W105" s="5">
        <v>0</v>
      </c>
      <c r="X105" s="125">
        <v>7358.2629779861527</v>
      </c>
      <c r="Y105" s="125">
        <v>28.918509794581638</v>
      </c>
      <c r="Z105" s="125">
        <v>-3755.7230220138472</v>
      </c>
      <c r="AA105" s="112">
        <v>27151.99</v>
      </c>
      <c r="AB105" s="112">
        <v>26173.17</v>
      </c>
      <c r="AC105" s="8">
        <v>1.5104089148824813</v>
      </c>
      <c r="AD105" s="66"/>
      <c r="AE105" s="66">
        <v>29.433634992458529</v>
      </c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6"/>
      <c r="BD105" s="66"/>
      <c r="BE105" s="66"/>
      <c r="BF105" s="66"/>
      <c r="BG105" s="66"/>
      <c r="BH105" s="66"/>
      <c r="BI105" s="188" t="s">
        <v>1</v>
      </c>
      <c r="BJ105" s="204" t="s">
        <v>822</v>
      </c>
    </row>
    <row r="106" spans="1:62" ht="12.75" customHeight="1" x14ac:dyDescent="0.35">
      <c r="A106" s="108"/>
      <c r="B106" s="126" t="s">
        <v>27</v>
      </c>
      <c r="C106" s="5" t="s">
        <v>5</v>
      </c>
      <c r="D106" s="5" t="s">
        <v>312</v>
      </c>
      <c r="E106" s="5" t="s">
        <v>313</v>
      </c>
      <c r="F106" s="5">
        <v>1072810</v>
      </c>
      <c r="G106" s="7" t="s">
        <v>609</v>
      </c>
      <c r="H106" s="139">
        <v>7818.0420388814146</v>
      </c>
      <c r="I106" s="139">
        <v>10695.081509189777</v>
      </c>
      <c r="J106" s="125">
        <v>0</v>
      </c>
      <c r="K106" s="125">
        <v>3149</v>
      </c>
      <c r="L106" s="130">
        <v>4307.8320000000003</v>
      </c>
      <c r="M106" s="123">
        <v>0.41480974186012437</v>
      </c>
      <c r="N106" s="130">
        <v>6387.2495091897763</v>
      </c>
      <c r="O106" s="130">
        <v>0</v>
      </c>
      <c r="P106" s="123">
        <v>0.46337936783493316</v>
      </c>
      <c r="Q106" s="5">
        <v>7661</v>
      </c>
      <c r="R106" s="5">
        <v>94</v>
      </c>
      <c r="S106" s="5">
        <v>7567</v>
      </c>
      <c r="T106" s="5">
        <v>1008</v>
      </c>
      <c r="U106" s="5">
        <v>0</v>
      </c>
      <c r="V106" s="5">
        <v>0</v>
      </c>
      <c r="W106" s="5">
        <v>0</v>
      </c>
      <c r="X106" s="125">
        <v>7818.0420388814136</v>
      </c>
      <c r="Y106" s="125">
        <v>29.036681930208712</v>
      </c>
      <c r="Z106" s="125">
        <v>-3999.9579611185854</v>
      </c>
      <c r="AA106" s="112">
        <v>93503.78</v>
      </c>
      <c r="AB106" s="112">
        <v>102557</v>
      </c>
      <c r="AC106" s="8">
        <v>1.5116316772442029</v>
      </c>
      <c r="AD106" s="66"/>
      <c r="AE106" s="66">
        <v>69.94509598864569</v>
      </c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  <c r="BB106" s="66"/>
      <c r="BC106" s="66"/>
      <c r="BD106" s="66"/>
      <c r="BE106" s="66"/>
      <c r="BF106" s="66"/>
      <c r="BG106" s="66"/>
      <c r="BH106" s="66"/>
      <c r="BI106" s="188" t="s">
        <v>1</v>
      </c>
      <c r="BJ106" s="204"/>
    </row>
    <row r="107" spans="1:62" ht="12.75" customHeight="1" x14ac:dyDescent="0.35">
      <c r="A107" s="108"/>
      <c r="B107" s="126" t="s">
        <v>38</v>
      </c>
      <c r="C107" s="5" t="s">
        <v>5</v>
      </c>
      <c r="D107" s="5" t="s">
        <v>308</v>
      </c>
      <c r="E107" s="5" t="s">
        <v>405</v>
      </c>
      <c r="F107" s="5">
        <v>1059307</v>
      </c>
      <c r="G107" s="7" t="s">
        <v>269</v>
      </c>
      <c r="H107" s="139">
        <v>7037.6696668502018</v>
      </c>
      <c r="I107" s="139">
        <v>3518.8348334251009</v>
      </c>
      <c r="J107" s="125">
        <v>0</v>
      </c>
      <c r="K107" s="125">
        <v>7261</v>
      </c>
      <c r="L107" s="130">
        <v>3630.5</v>
      </c>
      <c r="M107" s="123">
        <v>1.0459428118192011</v>
      </c>
      <c r="N107" s="130">
        <v>111.6651665748991</v>
      </c>
      <c r="O107" s="130">
        <v>11.694199058838226</v>
      </c>
      <c r="P107" s="123">
        <v>1.3822034811409289</v>
      </c>
      <c r="Q107" s="5">
        <v>8590</v>
      </c>
      <c r="R107" s="5">
        <v>100</v>
      </c>
      <c r="S107" s="5">
        <v>8490</v>
      </c>
      <c r="T107" s="5">
        <v>0</v>
      </c>
      <c r="U107" s="5">
        <v>0</v>
      </c>
      <c r="V107" s="5">
        <v>0</v>
      </c>
      <c r="W107" s="5">
        <v>200</v>
      </c>
      <c r="X107" s="125">
        <v>8763.0952380952385</v>
      </c>
      <c r="Y107" s="125">
        <v>29.065072680342343</v>
      </c>
      <c r="Z107" s="125">
        <v>-8813.3303331497991</v>
      </c>
      <c r="AA107" s="112">
        <v>41240.74</v>
      </c>
      <c r="AB107" s="112">
        <v>50923.4</v>
      </c>
      <c r="AC107" s="8">
        <v>2.2523080437639118</v>
      </c>
      <c r="AD107" s="66"/>
      <c r="AE107" s="66">
        <v>20.158570908248073</v>
      </c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188" t="s">
        <v>1</v>
      </c>
      <c r="BJ107" s="204" t="s">
        <v>813</v>
      </c>
    </row>
    <row r="108" spans="1:62" ht="12.75" customHeight="1" x14ac:dyDescent="0.35">
      <c r="A108" s="108"/>
      <c r="B108" s="126" t="s">
        <v>27</v>
      </c>
      <c r="C108" s="5" t="s">
        <v>5</v>
      </c>
      <c r="D108" s="5" t="s">
        <v>312</v>
      </c>
      <c r="E108" s="5" t="s">
        <v>313</v>
      </c>
      <c r="F108" s="159">
        <v>1072813</v>
      </c>
      <c r="G108" s="160" t="s">
        <v>612</v>
      </c>
      <c r="H108" s="139">
        <v>54939.434907357492</v>
      </c>
      <c r="I108" s="139">
        <v>12526.191158877509</v>
      </c>
      <c r="J108" s="125">
        <v>0</v>
      </c>
      <c r="K108" s="125">
        <v>23174</v>
      </c>
      <c r="L108" s="130">
        <v>5283.6720000000005</v>
      </c>
      <c r="M108" s="123">
        <v>0.45293512832742178</v>
      </c>
      <c r="N108" s="130">
        <v>7242.5191588775087</v>
      </c>
      <c r="O108" s="130">
        <v>0</v>
      </c>
      <c r="P108" s="123">
        <v>0.56091507005027874</v>
      </c>
      <c r="Q108" s="5">
        <v>56331</v>
      </c>
      <c r="R108" s="5">
        <v>1710</v>
      </c>
      <c r="S108" s="5">
        <v>54619</v>
      </c>
      <c r="T108" s="5">
        <v>0</v>
      </c>
      <c r="U108" s="5">
        <v>0</v>
      </c>
      <c r="V108" s="5">
        <v>0</v>
      </c>
      <c r="W108" s="5">
        <v>0</v>
      </c>
      <c r="X108" s="125">
        <v>54939.434907357499</v>
      </c>
      <c r="Y108" s="125">
        <v>29.825024643283371</v>
      </c>
      <c r="Z108" s="125">
        <v>-24565.565092642508</v>
      </c>
      <c r="AA108" s="112">
        <v>117570.39</v>
      </c>
      <c r="AB108" s="112">
        <v>116884.66</v>
      </c>
      <c r="AC108" s="8">
        <v>1.4471390201604111</v>
      </c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66"/>
      <c r="BG108" s="66"/>
      <c r="BH108" s="66"/>
      <c r="BI108" s="188" t="s">
        <v>1</v>
      </c>
      <c r="BJ108" s="204"/>
    </row>
    <row r="109" spans="1:62" ht="12.75" customHeight="1" x14ac:dyDescent="0.35">
      <c r="A109" s="108"/>
      <c r="B109" s="126" t="s">
        <v>27</v>
      </c>
      <c r="C109" s="5" t="s">
        <v>5</v>
      </c>
      <c r="D109" s="5" t="s">
        <v>312</v>
      </c>
      <c r="E109" s="5" t="s">
        <v>313</v>
      </c>
      <c r="F109" s="5">
        <v>1072811</v>
      </c>
      <c r="G109" s="7" t="s">
        <v>606</v>
      </c>
      <c r="H109" s="139">
        <v>71156.303460178329</v>
      </c>
      <c r="I109" s="139">
        <v>16223.63718892066</v>
      </c>
      <c r="J109" s="125">
        <v>0</v>
      </c>
      <c r="K109" s="125">
        <v>28247</v>
      </c>
      <c r="L109" s="130">
        <v>6440.3159999999998</v>
      </c>
      <c r="M109" s="123">
        <v>0.41088418844525976</v>
      </c>
      <c r="N109" s="130">
        <v>9783.3211889206614</v>
      </c>
      <c r="O109" s="130">
        <v>0</v>
      </c>
      <c r="P109" s="123">
        <v>0.62430472473718135</v>
      </c>
      <c r="Q109" s="5">
        <v>72279</v>
      </c>
      <c r="R109" s="5">
        <v>990</v>
      </c>
      <c r="S109" s="5">
        <v>71289</v>
      </c>
      <c r="T109" s="5">
        <v>11640</v>
      </c>
      <c r="U109" s="5">
        <v>0</v>
      </c>
      <c r="V109" s="5">
        <v>0</v>
      </c>
      <c r="W109" s="5">
        <v>0</v>
      </c>
      <c r="X109" s="125">
        <v>71156.303460178329</v>
      </c>
      <c r="Y109" s="125">
        <v>30.055945798208558</v>
      </c>
      <c r="Z109" s="125">
        <v>-41009.696539821671</v>
      </c>
      <c r="AA109" s="112">
        <v>141601.04</v>
      </c>
      <c r="AB109" s="112">
        <v>165028.71</v>
      </c>
      <c r="AC109" s="8">
        <v>1.5763325881982078</v>
      </c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6"/>
      <c r="BD109" s="66"/>
      <c r="BE109" s="66"/>
      <c r="BF109" s="66"/>
      <c r="BG109" s="66"/>
      <c r="BH109" s="66"/>
      <c r="BI109" s="188"/>
      <c r="BJ109" s="204"/>
    </row>
    <row r="110" spans="1:62" ht="12.75" customHeight="1" x14ac:dyDescent="0.35">
      <c r="A110" s="108"/>
      <c r="B110" s="126" t="s">
        <v>1</v>
      </c>
      <c r="C110" s="5" t="s">
        <v>2</v>
      </c>
      <c r="D110" s="5" t="s">
        <v>306</v>
      </c>
      <c r="E110" s="5" t="s">
        <v>401</v>
      </c>
      <c r="F110" s="5">
        <v>1075853</v>
      </c>
      <c r="G110" s="7" t="s">
        <v>688</v>
      </c>
      <c r="H110" s="139">
        <v>13934.566509036445</v>
      </c>
      <c r="I110" s="139">
        <v>2591.829370680779</v>
      </c>
      <c r="J110" s="125">
        <v>0</v>
      </c>
      <c r="K110" s="125">
        <v>15368</v>
      </c>
      <c r="L110" s="130">
        <v>2858.4479999999999</v>
      </c>
      <c r="M110" s="123">
        <v>1.2505591751777416</v>
      </c>
      <c r="N110" s="130">
        <v>266.61862931922087</v>
      </c>
      <c r="O110" s="130">
        <v>0</v>
      </c>
      <c r="P110" s="123">
        <v>0.71986353396118719</v>
      </c>
      <c r="Q110" s="5">
        <v>23136</v>
      </c>
      <c r="R110" s="5">
        <v>2058</v>
      </c>
      <c r="S110" s="5">
        <v>21078</v>
      </c>
      <c r="T110" s="5">
        <v>0</v>
      </c>
      <c r="U110" s="5">
        <v>0</v>
      </c>
      <c r="V110" s="5">
        <v>0</v>
      </c>
      <c r="W110" s="5">
        <v>360</v>
      </c>
      <c r="X110" s="125">
        <v>20745.238095238095</v>
      </c>
      <c r="Y110" s="125">
        <v>30.481211982095719</v>
      </c>
      <c r="Z110" s="125">
        <v>-24569.433490963555</v>
      </c>
      <c r="AA110" s="112">
        <v>25360.91</v>
      </c>
      <c r="AB110" s="112">
        <v>39017.160000000003</v>
      </c>
      <c r="AC110" s="8">
        <v>2.7632004178264529</v>
      </c>
      <c r="AD110" s="66"/>
      <c r="AE110" s="66">
        <v>35.199203187251001</v>
      </c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  <c r="BC110" s="66"/>
      <c r="BD110" s="66"/>
      <c r="BE110" s="66"/>
      <c r="BF110" s="66"/>
      <c r="BG110" s="66"/>
      <c r="BH110" s="66"/>
      <c r="BI110" s="188" t="s">
        <v>1</v>
      </c>
      <c r="BJ110" s="204" t="s">
        <v>829</v>
      </c>
    </row>
    <row r="111" spans="1:62" ht="12.75" customHeight="1" x14ac:dyDescent="0.35">
      <c r="A111" s="108"/>
      <c r="B111" s="126">
        <v>0</v>
      </c>
      <c r="C111" s="5" t="s">
        <v>2</v>
      </c>
      <c r="D111" s="5" t="s">
        <v>310</v>
      </c>
      <c r="E111" s="5" t="s">
        <v>311</v>
      </c>
      <c r="F111" s="164">
        <v>1080747</v>
      </c>
      <c r="G111" s="169" t="s">
        <v>782</v>
      </c>
      <c r="H111" s="139">
        <v>25990.163278223812</v>
      </c>
      <c r="I111" s="139">
        <v>4158.4261245158104</v>
      </c>
      <c r="J111" s="125">
        <v>0</v>
      </c>
      <c r="K111" s="125">
        <v>19041</v>
      </c>
      <c r="L111" s="130">
        <v>3046.56</v>
      </c>
      <c r="M111" s="123">
        <v>0.78733633878880571</v>
      </c>
      <c r="N111" s="130">
        <v>1111.8661245158105</v>
      </c>
      <c r="O111" s="130">
        <v>12.457822091319208</v>
      </c>
      <c r="P111" s="123">
        <v>1.4926302613130318</v>
      </c>
      <c r="Q111" s="5">
        <v>28124</v>
      </c>
      <c r="R111" s="5">
        <v>1422</v>
      </c>
      <c r="S111" s="5">
        <v>26702</v>
      </c>
      <c r="T111" s="5">
        <v>0</v>
      </c>
      <c r="U111" s="5">
        <v>0</v>
      </c>
      <c r="V111" s="5">
        <v>0</v>
      </c>
      <c r="W111" s="5">
        <v>0</v>
      </c>
      <c r="X111" s="125">
        <v>25990.163278223812</v>
      </c>
      <c r="Y111" s="125">
        <v>30.821660927046899</v>
      </c>
      <c r="Z111" s="125">
        <v>-21174.836721776188</v>
      </c>
      <c r="AA111" s="112">
        <v>167116.75</v>
      </c>
      <c r="AB111" s="112">
        <v>171693.86</v>
      </c>
      <c r="AC111" s="8">
        <v>1.8147250363570357</v>
      </c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66"/>
      <c r="BG111" s="66"/>
      <c r="BH111" s="66"/>
      <c r="BI111" s="189" t="s">
        <v>1</v>
      </c>
      <c r="BJ111" s="204" t="s">
        <v>833</v>
      </c>
    </row>
    <row r="112" spans="1:62" ht="12.75" customHeight="1" x14ac:dyDescent="0.35">
      <c r="A112" s="108"/>
      <c r="B112" s="126" t="s">
        <v>31</v>
      </c>
      <c r="C112" s="5" t="s">
        <v>5</v>
      </c>
      <c r="D112" s="5" t="s">
        <v>306</v>
      </c>
      <c r="E112" s="5" t="s">
        <v>307</v>
      </c>
      <c r="F112" s="5">
        <v>1071166</v>
      </c>
      <c r="G112" s="7" t="s">
        <v>605</v>
      </c>
      <c r="H112" s="139">
        <v>36703.994017595614</v>
      </c>
      <c r="I112" s="139">
        <v>5138.5591624633862</v>
      </c>
      <c r="J112" s="125">
        <v>0</v>
      </c>
      <c r="K112" s="125">
        <v>17100</v>
      </c>
      <c r="L112" s="130">
        <v>2394.0000000000005</v>
      </c>
      <c r="M112" s="123">
        <v>0.47814959842208626</v>
      </c>
      <c r="N112" s="130">
        <v>2744.5591624633857</v>
      </c>
      <c r="O112" s="130">
        <v>6.4646349172044859</v>
      </c>
      <c r="P112" s="123">
        <v>1.2622457986977702</v>
      </c>
      <c r="Q112" s="5">
        <v>39678</v>
      </c>
      <c r="R112" s="5">
        <v>450</v>
      </c>
      <c r="S112" s="5">
        <v>39228</v>
      </c>
      <c r="T112" s="5">
        <v>0</v>
      </c>
      <c r="U112" s="5">
        <v>0</v>
      </c>
      <c r="V112" s="5">
        <v>0</v>
      </c>
      <c r="W112" s="5">
        <v>0</v>
      </c>
      <c r="X112" s="125">
        <v>36703.994017595614</v>
      </c>
      <c r="Y112" s="125">
        <v>32.062995635729237</v>
      </c>
      <c r="Z112" s="125">
        <v>-20074.005982404386</v>
      </c>
      <c r="AA112" s="112">
        <v>100201.9</v>
      </c>
      <c r="AB112" s="112">
        <v>107092.44</v>
      </c>
      <c r="AC112" s="8">
        <v>1.5469161196130607</v>
      </c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66"/>
      <c r="BG112" s="66"/>
      <c r="BH112" s="66"/>
      <c r="BI112" s="188" t="s">
        <v>1</v>
      </c>
      <c r="BJ112" s="204"/>
    </row>
    <row r="113" spans="1:62" ht="12.75" customHeight="1" x14ac:dyDescent="0.35">
      <c r="A113" s="108"/>
      <c r="B113" s="126" t="s">
        <v>15</v>
      </c>
      <c r="C113" s="5" t="s">
        <v>5</v>
      </c>
      <c r="D113" s="5" t="s">
        <v>308</v>
      </c>
      <c r="E113" s="5" t="s">
        <v>315</v>
      </c>
      <c r="F113" s="5">
        <v>1074230</v>
      </c>
      <c r="G113" s="7" t="s">
        <v>702</v>
      </c>
      <c r="H113" s="139">
        <v>2055.3072068847464</v>
      </c>
      <c r="I113" s="139">
        <v>924.88824309813594</v>
      </c>
      <c r="J113" s="125">
        <v>0</v>
      </c>
      <c r="K113" s="125">
        <v>768</v>
      </c>
      <c r="L113" s="130">
        <v>345.6</v>
      </c>
      <c r="M113" s="123">
        <v>0.38534385387595843</v>
      </c>
      <c r="N113" s="130">
        <v>579.28824309813592</v>
      </c>
      <c r="O113" s="130">
        <v>0</v>
      </c>
      <c r="P113" s="123">
        <v>0.48380917985724936</v>
      </c>
      <c r="Q113" s="5">
        <v>2241</v>
      </c>
      <c r="R113" s="5">
        <v>24</v>
      </c>
      <c r="S113" s="5">
        <v>2217</v>
      </c>
      <c r="T113" s="5">
        <v>0</v>
      </c>
      <c r="U113" s="5">
        <v>0</v>
      </c>
      <c r="V113" s="5">
        <v>0</v>
      </c>
      <c r="W113" s="5">
        <v>0.6</v>
      </c>
      <c r="X113" s="125">
        <v>2055.3072068847464</v>
      </c>
      <c r="Y113" s="125">
        <v>32.360125910719688</v>
      </c>
      <c r="Z113" s="125">
        <v>-953.69279311525361</v>
      </c>
      <c r="AA113" s="112">
        <v>15394.25</v>
      </c>
      <c r="AB113" s="112">
        <v>16609.82</v>
      </c>
      <c r="AC113" s="8">
        <v>1.4640147175666147</v>
      </c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66"/>
      <c r="BD113" s="66"/>
      <c r="BE113" s="66"/>
      <c r="BF113" s="66"/>
      <c r="BG113" s="66"/>
      <c r="BH113" s="66"/>
      <c r="BI113" s="188"/>
      <c r="BJ113" s="204"/>
    </row>
    <row r="114" spans="1:62" x14ac:dyDescent="0.35">
      <c r="A114" s="108"/>
      <c r="B114" s="126" t="s">
        <v>1</v>
      </c>
      <c r="C114" s="5" t="s">
        <v>2</v>
      </c>
      <c r="D114" s="5" t="s">
        <v>310</v>
      </c>
      <c r="E114" s="5" t="s">
        <v>311</v>
      </c>
      <c r="F114" s="5">
        <v>1080401</v>
      </c>
      <c r="G114" s="7" t="s">
        <v>754</v>
      </c>
      <c r="H114" s="139">
        <v>14682.759063160751</v>
      </c>
      <c r="I114" s="139">
        <v>0</v>
      </c>
      <c r="J114" s="125">
        <v>0</v>
      </c>
      <c r="K114" s="125">
        <v>11880</v>
      </c>
      <c r="L114" s="130">
        <v>0</v>
      </c>
      <c r="M114" s="123">
        <v>0.83199621729475326</v>
      </c>
      <c r="N114" s="130">
        <v>0</v>
      </c>
      <c r="O114" s="130">
        <v>24.723691108628365</v>
      </c>
      <c r="P114" s="123">
        <v>1.8571145223996188</v>
      </c>
      <c r="Q114" s="5">
        <v>16185</v>
      </c>
      <c r="R114" s="5">
        <v>336</v>
      </c>
      <c r="S114" s="5">
        <v>15849</v>
      </c>
      <c r="T114" s="5">
        <v>0</v>
      </c>
      <c r="U114" s="5">
        <v>0</v>
      </c>
      <c r="V114" s="5">
        <v>0</v>
      </c>
      <c r="W114" s="5">
        <v>1776</v>
      </c>
      <c r="X114" s="125">
        <v>14682.759063160751</v>
      </c>
      <c r="Y114" s="125">
        <v>32.38287831017815</v>
      </c>
      <c r="Z114" s="125">
        <v>-13382.240936839249</v>
      </c>
      <c r="AA114" s="112">
        <v>20115.38</v>
      </c>
      <c r="AB114" s="112">
        <v>24146.25</v>
      </c>
      <c r="AC114" s="8">
        <v>1.9114254943006919</v>
      </c>
      <c r="AD114" s="66"/>
      <c r="AE114" s="66">
        <v>18.119303797468355</v>
      </c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188" t="s">
        <v>1</v>
      </c>
      <c r="BJ114" s="204"/>
    </row>
    <row r="115" spans="1:62" ht="12.75" customHeight="1" x14ac:dyDescent="0.35">
      <c r="A115" s="108"/>
      <c r="B115" s="126" t="s">
        <v>21</v>
      </c>
      <c r="C115" s="5" t="s">
        <v>5</v>
      </c>
      <c r="D115" s="5" t="s">
        <v>308</v>
      </c>
      <c r="E115" s="5" t="s">
        <v>395</v>
      </c>
      <c r="F115" s="5">
        <v>1069125</v>
      </c>
      <c r="G115" s="7" t="s">
        <v>557</v>
      </c>
      <c r="H115" s="139">
        <v>89.459450266297608</v>
      </c>
      <c r="I115" s="139">
        <v>71.567560213038092</v>
      </c>
      <c r="J115" s="125">
        <v>0</v>
      </c>
      <c r="K115" s="125">
        <v>63</v>
      </c>
      <c r="L115" s="130">
        <v>50.400000000000006</v>
      </c>
      <c r="M115" s="123">
        <v>0.70422967961982019</v>
      </c>
      <c r="N115" s="130">
        <v>21.167560213038087</v>
      </c>
      <c r="O115" s="130">
        <v>0</v>
      </c>
      <c r="P115" s="123">
        <v>0.63031085127923481</v>
      </c>
      <c r="Q115" s="5">
        <v>97</v>
      </c>
      <c r="R115" s="5">
        <v>0</v>
      </c>
      <c r="S115" s="5">
        <v>97</v>
      </c>
      <c r="T115" s="5">
        <v>0</v>
      </c>
      <c r="U115" s="5">
        <v>12</v>
      </c>
      <c r="V115" s="5">
        <v>0</v>
      </c>
      <c r="W115" s="5">
        <v>50</v>
      </c>
      <c r="X115" s="125">
        <v>89.459450266297608</v>
      </c>
      <c r="Y115" s="125">
        <v>32.528704249105978</v>
      </c>
      <c r="Z115" s="125">
        <v>-70.540549733702392</v>
      </c>
      <c r="AA115" s="112">
        <v>3242.01</v>
      </c>
      <c r="AB115" s="112">
        <v>5762.16</v>
      </c>
      <c r="AC115" s="8">
        <v>1.7885198212566862</v>
      </c>
      <c r="AD115" s="66"/>
      <c r="AE115" s="66">
        <v>23.728842851009016</v>
      </c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188" t="s">
        <v>1</v>
      </c>
      <c r="BJ115" s="204"/>
    </row>
    <row r="116" spans="1:62" ht="12.75" customHeight="1" x14ac:dyDescent="0.35">
      <c r="A116" s="108"/>
      <c r="B116" s="126" t="s">
        <v>27</v>
      </c>
      <c r="C116" s="5" t="s">
        <v>5</v>
      </c>
      <c r="D116" s="5" t="s">
        <v>312</v>
      </c>
      <c r="E116" s="5" t="s">
        <v>313</v>
      </c>
      <c r="F116" s="5">
        <v>1077108</v>
      </c>
      <c r="G116" s="7" t="s">
        <v>673</v>
      </c>
      <c r="H116" s="139">
        <v>30179.839557603533</v>
      </c>
      <c r="I116" s="139">
        <v>6881.0034191336053</v>
      </c>
      <c r="J116" s="125">
        <v>0</v>
      </c>
      <c r="K116" s="125">
        <v>10172</v>
      </c>
      <c r="L116" s="130">
        <v>2319.2159999999999</v>
      </c>
      <c r="M116" s="123">
        <v>0.41955160085700077</v>
      </c>
      <c r="N116" s="130">
        <v>4561.787419133605</v>
      </c>
      <c r="O116" s="130">
        <v>0</v>
      </c>
      <c r="P116" s="123">
        <v>0.63862279524378807</v>
      </c>
      <c r="Q116" s="5">
        <v>35333</v>
      </c>
      <c r="R116" s="5">
        <v>2490</v>
      </c>
      <c r="S116" s="5">
        <v>32843</v>
      </c>
      <c r="T116" s="5">
        <v>0</v>
      </c>
      <c r="U116" s="5">
        <v>0</v>
      </c>
      <c r="V116" s="5">
        <v>0</v>
      </c>
      <c r="W116" s="5">
        <v>0</v>
      </c>
      <c r="X116" s="125">
        <v>30179.839557603533</v>
      </c>
      <c r="Y116" s="125">
        <v>32.647290855188302</v>
      </c>
      <c r="Z116" s="125">
        <v>-15325.160442396467</v>
      </c>
      <c r="AA116" s="112">
        <v>63075.86</v>
      </c>
      <c r="AB116" s="112">
        <v>68641.87</v>
      </c>
      <c r="AC116" s="8">
        <v>1.5077946293632776</v>
      </c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66"/>
      <c r="BF116" s="66"/>
      <c r="BG116" s="66"/>
      <c r="BH116" s="66"/>
      <c r="BI116" s="189"/>
      <c r="BJ116" s="204"/>
    </row>
    <row r="117" spans="1:62" ht="12.75" customHeight="1" x14ac:dyDescent="0.35">
      <c r="A117" s="108"/>
      <c r="B117" s="126" t="s">
        <v>1</v>
      </c>
      <c r="C117" s="5" t="s">
        <v>2</v>
      </c>
      <c r="D117" s="5" t="s">
        <v>308</v>
      </c>
      <c r="E117" s="5" t="s">
        <v>395</v>
      </c>
      <c r="F117" s="5">
        <v>1078355</v>
      </c>
      <c r="G117" s="7" t="s">
        <v>706</v>
      </c>
      <c r="H117" s="139">
        <v>889</v>
      </c>
      <c r="I117" s="139">
        <v>224.02799999999999</v>
      </c>
      <c r="J117" s="125">
        <v>0</v>
      </c>
      <c r="K117" s="125">
        <v>570</v>
      </c>
      <c r="L117" s="130">
        <v>143.64000000000001</v>
      </c>
      <c r="M117" s="123">
        <v>0.64116985376827895</v>
      </c>
      <c r="N117" s="130">
        <v>80.387999999999977</v>
      </c>
      <c r="O117" s="130">
        <v>10.3599550056243</v>
      </c>
      <c r="P117" s="123">
        <v>1.34533183352081</v>
      </c>
      <c r="Q117" s="5">
        <v>982</v>
      </c>
      <c r="R117" s="5">
        <v>0</v>
      </c>
      <c r="S117" s="5">
        <v>982</v>
      </c>
      <c r="T117" s="5">
        <v>0</v>
      </c>
      <c r="U117" s="5">
        <v>0</v>
      </c>
      <c r="V117" s="5">
        <v>0</v>
      </c>
      <c r="W117" s="5">
        <v>1425</v>
      </c>
      <c r="X117" s="125">
        <v>889</v>
      </c>
      <c r="Y117" s="125">
        <v>33.138357705286836</v>
      </c>
      <c r="Z117" s="125">
        <v>-663</v>
      </c>
      <c r="AA117" s="112">
        <v>8045.45</v>
      </c>
      <c r="AB117" s="112">
        <v>21783.35</v>
      </c>
      <c r="AC117" s="8">
        <v>1.7457817772778403</v>
      </c>
      <c r="AD117" s="66"/>
      <c r="AE117" s="66">
        <v>67.599515738498795</v>
      </c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66"/>
      <c r="BD117" s="66"/>
      <c r="BE117" s="66"/>
      <c r="BF117" s="66"/>
      <c r="BG117" s="66"/>
      <c r="BH117" s="66"/>
      <c r="BI117" s="188" t="s">
        <v>1</v>
      </c>
      <c r="BJ117" s="204"/>
    </row>
    <row r="118" spans="1:62" ht="12.75" customHeight="1" x14ac:dyDescent="0.35">
      <c r="A118" s="108"/>
      <c r="B118" s="126" t="s">
        <v>27</v>
      </c>
      <c r="C118" s="5" t="s">
        <v>5</v>
      </c>
      <c r="D118" s="5" t="s">
        <v>312</v>
      </c>
      <c r="E118" s="5" t="s">
        <v>313</v>
      </c>
      <c r="F118" s="5">
        <v>1052861</v>
      </c>
      <c r="G118" s="7" t="s">
        <v>196</v>
      </c>
      <c r="H118" s="139">
        <v>14097.958099188441</v>
      </c>
      <c r="I118" s="139">
        <v>648.50607256266824</v>
      </c>
      <c r="J118" s="125">
        <v>0</v>
      </c>
      <c r="K118" s="125">
        <v>11748</v>
      </c>
      <c r="L118" s="130">
        <v>540.40800000000002</v>
      </c>
      <c r="M118" s="123">
        <v>1.1672612362883459</v>
      </c>
      <c r="N118" s="130">
        <v>108.09807256266822</v>
      </c>
      <c r="O118" s="130">
        <v>4.6641812185016169</v>
      </c>
      <c r="P118" s="123">
        <v>1.168757469452901</v>
      </c>
      <c r="Q118" s="5">
        <v>26532</v>
      </c>
      <c r="R118" s="5">
        <v>4708</v>
      </c>
      <c r="S118" s="5">
        <v>21824</v>
      </c>
      <c r="T118" s="5">
        <v>0</v>
      </c>
      <c r="U118" s="5">
        <v>0</v>
      </c>
      <c r="V118" s="5">
        <v>0</v>
      </c>
      <c r="W118" s="5">
        <v>0</v>
      </c>
      <c r="X118" s="125">
        <v>19590.476190476187</v>
      </c>
      <c r="Y118" s="125">
        <v>33.420320855614982</v>
      </c>
      <c r="Z118" s="125">
        <v>-24182.041900811557</v>
      </c>
      <c r="AA118" s="112">
        <v>7189.96</v>
      </c>
      <c r="AB118" s="112">
        <v>11130.24</v>
      </c>
      <c r="AC118" s="8">
        <v>2.715286833077168</v>
      </c>
      <c r="AD118" s="66"/>
      <c r="AE118" s="66">
        <v>7.7885819816926292</v>
      </c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  <c r="BB118" s="66"/>
      <c r="BC118" s="66"/>
      <c r="BD118" s="66"/>
      <c r="BE118" s="66"/>
      <c r="BF118" s="66"/>
      <c r="BG118" s="66"/>
      <c r="BH118" s="66"/>
      <c r="BI118" s="188" t="s">
        <v>1</v>
      </c>
      <c r="BJ118" s="204" t="s">
        <v>818</v>
      </c>
    </row>
    <row r="119" spans="1:62" ht="12.75" customHeight="1" x14ac:dyDescent="0.35">
      <c r="A119" s="108"/>
      <c r="B119" s="126" t="s">
        <v>1</v>
      </c>
      <c r="C119" s="5" t="s">
        <v>24</v>
      </c>
      <c r="D119" s="5" t="s">
        <v>316</v>
      </c>
      <c r="E119" s="5" t="s">
        <v>317</v>
      </c>
      <c r="F119" s="5">
        <v>1070881</v>
      </c>
      <c r="G119" s="7" t="s">
        <v>684</v>
      </c>
      <c r="H119" s="139">
        <v>865.20612748698557</v>
      </c>
      <c r="I119" s="139">
        <v>93.442261768594435</v>
      </c>
      <c r="J119" s="125">
        <v>0</v>
      </c>
      <c r="K119" s="125">
        <v>1321</v>
      </c>
      <c r="L119" s="130">
        <v>142.66800000000001</v>
      </c>
      <c r="M119" s="123">
        <v>1.8908788877302638</v>
      </c>
      <c r="N119" s="130">
        <v>49.225738231405572</v>
      </c>
      <c r="O119" s="130">
        <v>25.901750942825913</v>
      </c>
      <c r="P119" s="123">
        <v>1.9132305041806756</v>
      </c>
      <c r="Q119" s="5">
        <v>2490</v>
      </c>
      <c r="R119" s="5">
        <v>315</v>
      </c>
      <c r="S119" s="5">
        <v>2175</v>
      </c>
      <c r="T119" s="5">
        <v>0</v>
      </c>
      <c r="U119" s="5">
        <v>0</v>
      </c>
      <c r="V119" s="5">
        <v>0</v>
      </c>
      <c r="W119" s="5">
        <v>0</v>
      </c>
      <c r="X119" s="125">
        <v>1947.6190476190477</v>
      </c>
      <c r="Y119" s="125">
        <v>33.502444987775064</v>
      </c>
      <c r="Z119" s="125">
        <v>-2945.7938725130143</v>
      </c>
      <c r="AA119" s="112">
        <v>4585.59</v>
      </c>
      <c r="AB119" s="112">
        <v>11527.5</v>
      </c>
      <c r="AC119" s="8">
        <v>4.4047307097432977</v>
      </c>
      <c r="AD119" s="66"/>
      <c r="AE119" s="66" t="s">
        <v>574</v>
      </c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  <c r="BC119" s="66"/>
      <c r="BD119" s="66"/>
      <c r="BE119" s="66"/>
      <c r="BF119" s="66"/>
      <c r="BG119" s="66"/>
      <c r="BH119" s="66"/>
      <c r="BI119" s="188" t="s">
        <v>1</v>
      </c>
      <c r="BJ119" s="204"/>
    </row>
    <row r="120" spans="1:62" ht="12.75" customHeight="1" x14ac:dyDescent="0.35">
      <c r="A120" s="108"/>
      <c r="B120" s="126" t="s">
        <v>15</v>
      </c>
      <c r="C120" s="5" t="s">
        <v>5</v>
      </c>
      <c r="D120" s="5" t="s">
        <v>308</v>
      </c>
      <c r="E120" s="5" t="s">
        <v>315</v>
      </c>
      <c r="F120" s="56">
        <v>1074235</v>
      </c>
      <c r="G120" s="65" t="s">
        <v>636</v>
      </c>
      <c r="H120" s="139">
        <v>1460.2804030725115</v>
      </c>
      <c r="I120" s="139">
        <v>1095.2103023043837</v>
      </c>
      <c r="J120" s="125">
        <v>0</v>
      </c>
      <c r="K120" s="125">
        <v>451</v>
      </c>
      <c r="L120" s="130">
        <v>338.25</v>
      </c>
      <c r="M120" s="123">
        <v>0.30884479381567459</v>
      </c>
      <c r="N120" s="130">
        <v>756.96030230438373</v>
      </c>
      <c r="O120" s="130">
        <v>6.2549304340641765</v>
      </c>
      <c r="P120" s="123">
        <v>1.2116494171672683</v>
      </c>
      <c r="Q120" s="5">
        <v>1664</v>
      </c>
      <c r="R120" s="5">
        <v>0</v>
      </c>
      <c r="S120" s="5">
        <v>1664</v>
      </c>
      <c r="T120" s="5">
        <v>0</v>
      </c>
      <c r="U120" s="5">
        <v>0</v>
      </c>
      <c r="V120" s="5">
        <v>0</v>
      </c>
      <c r="W120" s="5">
        <v>0</v>
      </c>
      <c r="X120" s="125">
        <v>1460.2804030725115</v>
      </c>
      <c r="Y120" s="125">
        <v>34.185215315473336</v>
      </c>
      <c r="Z120" s="125">
        <v>-654.71959692748851</v>
      </c>
      <c r="AA120" s="112">
        <v>13215.54</v>
      </c>
      <c r="AB120" s="112">
        <v>15059.2</v>
      </c>
      <c r="AC120" s="8">
        <v>1.4483519709981192</v>
      </c>
      <c r="AD120" s="66"/>
      <c r="AE120" s="66">
        <v>339.04983660130716</v>
      </c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  <c r="BF120" s="66"/>
      <c r="BG120" s="66"/>
      <c r="BH120" s="66"/>
      <c r="BI120" s="188" t="s">
        <v>1</v>
      </c>
      <c r="BJ120" s="204"/>
    </row>
    <row r="121" spans="1:62" ht="12.75" customHeight="1" x14ac:dyDescent="0.35">
      <c r="A121" s="108"/>
      <c r="B121" s="126" t="s">
        <v>15</v>
      </c>
      <c r="C121" s="5" t="s">
        <v>5</v>
      </c>
      <c r="D121" s="5" t="s">
        <v>312</v>
      </c>
      <c r="E121" s="5" t="s">
        <v>315</v>
      </c>
      <c r="F121" s="56">
        <v>1080722</v>
      </c>
      <c r="G121" s="65" t="s">
        <v>736</v>
      </c>
      <c r="H121" s="139">
        <v>5472.9268292682927</v>
      </c>
      <c r="I121" s="139">
        <v>1543.3653658536584</v>
      </c>
      <c r="J121" s="125">
        <v>0</v>
      </c>
      <c r="K121" s="125">
        <v>798</v>
      </c>
      <c r="L121" s="130">
        <v>225.03599999999997</v>
      </c>
      <c r="M121" s="123">
        <v>0.14580863674851821</v>
      </c>
      <c r="N121" s="130">
        <v>1318.3293658536584</v>
      </c>
      <c r="O121" s="130">
        <v>0</v>
      </c>
      <c r="P121" s="123">
        <v>3.0331119925130354E-2</v>
      </c>
      <c r="Q121" s="5">
        <v>6370</v>
      </c>
      <c r="R121" s="5">
        <v>0</v>
      </c>
      <c r="S121" s="5">
        <v>6370</v>
      </c>
      <c r="T121" s="5">
        <v>0</v>
      </c>
      <c r="U121" s="5">
        <v>0</v>
      </c>
      <c r="V121" s="5">
        <v>0</v>
      </c>
      <c r="W121" s="5">
        <v>4900</v>
      </c>
      <c r="X121" s="125">
        <v>5472.9268292682927</v>
      </c>
      <c r="Y121" s="125">
        <v>34.917331431881991</v>
      </c>
      <c r="Z121" s="125">
        <v>-1695.0731707317073</v>
      </c>
      <c r="AA121" s="112">
        <v>23369.4</v>
      </c>
      <c r="AB121" s="112">
        <v>48122.9</v>
      </c>
      <c r="AC121" s="8">
        <v>1.309719684477918</v>
      </c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66"/>
      <c r="BD121" s="66"/>
      <c r="BE121" s="66"/>
      <c r="BF121" s="66"/>
      <c r="BG121" s="66"/>
      <c r="BH121" s="66"/>
      <c r="BI121" s="188"/>
      <c r="BJ121" s="204"/>
    </row>
    <row r="122" spans="1:62" ht="12.75" customHeight="1" x14ac:dyDescent="0.35">
      <c r="A122" s="108"/>
      <c r="B122" s="126" t="s">
        <v>15</v>
      </c>
      <c r="C122" s="5" t="s">
        <v>5</v>
      </c>
      <c r="D122" s="5" t="s">
        <v>308</v>
      </c>
      <c r="E122" s="5" t="s">
        <v>315</v>
      </c>
      <c r="F122" s="5">
        <v>1074226</v>
      </c>
      <c r="G122" s="141" t="s">
        <v>633</v>
      </c>
      <c r="H122" s="139">
        <v>2538.523009654858</v>
      </c>
      <c r="I122" s="139">
        <v>507.70460193097165</v>
      </c>
      <c r="J122" s="125">
        <v>0</v>
      </c>
      <c r="K122" s="125">
        <v>711</v>
      </c>
      <c r="L122" s="130">
        <v>142.20000000000002</v>
      </c>
      <c r="M122" s="123">
        <v>0.2800841265948063</v>
      </c>
      <c r="N122" s="130">
        <v>365.5046019309716</v>
      </c>
      <c r="O122" s="130">
        <v>0</v>
      </c>
      <c r="P122" s="123">
        <v>0.16196029006874263</v>
      </c>
      <c r="Q122" s="5">
        <v>2991</v>
      </c>
      <c r="R122" s="5">
        <v>0</v>
      </c>
      <c r="S122" s="5">
        <v>2991</v>
      </c>
      <c r="T122" s="5">
        <v>0</v>
      </c>
      <c r="U122" s="5">
        <v>0</v>
      </c>
      <c r="V122" s="5">
        <v>0</v>
      </c>
      <c r="W122" s="5">
        <v>0</v>
      </c>
      <c r="X122" s="125">
        <v>2538.523009654858</v>
      </c>
      <c r="Y122" s="125">
        <v>35.347325850002768</v>
      </c>
      <c r="Z122" s="125">
        <v>-1163.476990345142</v>
      </c>
      <c r="AA122" s="112">
        <v>6600.16</v>
      </c>
      <c r="AB122" s="112">
        <v>7776.6</v>
      </c>
      <c r="AC122" s="8">
        <v>1.4583283215948988</v>
      </c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  <c r="BB122" s="66"/>
      <c r="BC122" s="66"/>
      <c r="BD122" s="66"/>
      <c r="BE122" s="66"/>
      <c r="BF122" s="66"/>
      <c r="BG122" s="66"/>
      <c r="BH122" s="66"/>
      <c r="BI122" s="189" t="s">
        <v>1</v>
      </c>
      <c r="BJ122" s="204"/>
    </row>
    <row r="123" spans="1:62" ht="12.75" customHeight="1" x14ac:dyDescent="0.35">
      <c r="A123" s="108"/>
      <c r="B123" s="126" t="s">
        <v>27</v>
      </c>
      <c r="C123" s="5" t="s">
        <v>5</v>
      </c>
      <c r="D123" s="5" t="s">
        <v>312</v>
      </c>
      <c r="E123" s="5" t="s">
        <v>313</v>
      </c>
      <c r="F123" s="5">
        <v>1052769</v>
      </c>
      <c r="G123" s="7" t="s">
        <v>192</v>
      </c>
      <c r="H123" s="139">
        <v>36672.288502109885</v>
      </c>
      <c r="I123" s="139">
        <v>10121.55162658233</v>
      </c>
      <c r="J123" s="125">
        <v>0</v>
      </c>
      <c r="K123" s="125">
        <v>15838</v>
      </c>
      <c r="L123" s="130">
        <v>4371.2880000000005</v>
      </c>
      <c r="M123" s="123">
        <v>0.43422433260699933</v>
      </c>
      <c r="N123" s="130">
        <v>5750.2636265823294</v>
      </c>
      <c r="O123" s="130">
        <v>0</v>
      </c>
      <c r="P123" s="123">
        <v>0.89120838763160104</v>
      </c>
      <c r="Q123" s="5">
        <v>43370</v>
      </c>
      <c r="R123" s="5">
        <v>86</v>
      </c>
      <c r="S123" s="5">
        <v>43284</v>
      </c>
      <c r="T123" s="5">
        <v>700</v>
      </c>
      <c r="U123" s="5">
        <v>70</v>
      </c>
      <c r="V123" s="5">
        <v>0</v>
      </c>
      <c r="W123" s="5">
        <v>700</v>
      </c>
      <c r="X123" s="125">
        <v>36672.288502109885</v>
      </c>
      <c r="Y123" s="125">
        <v>35.408752849588097</v>
      </c>
      <c r="Z123" s="125">
        <v>-23235.711497890115</v>
      </c>
      <c r="AA123" s="112">
        <v>148889.49</v>
      </c>
      <c r="AB123" s="112">
        <v>181701.24</v>
      </c>
      <c r="AC123" s="8">
        <v>1.6336040767282163</v>
      </c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6"/>
      <c r="AW123" s="66"/>
      <c r="AX123" s="66"/>
      <c r="AY123" s="66"/>
      <c r="AZ123" s="66"/>
      <c r="BA123" s="66"/>
      <c r="BB123" s="66"/>
      <c r="BC123" s="66"/>
      <c r="BD123" s="66"/>
      <c r="BE123" s="66"/>
      <c r="BF123" s="66"/>
      <c r="BG123" s="66"/>
      <c r="BH123" s="66"/>
      <c r="BI123" s="189"/>
      <c r="BJ123" s="204"/>
    </row>
    <row r="124" spans="1:62" ht="12.75" customHeight="1" x14ac:dyDescent="0.35">
      <c r="A124" s="108"/>
      <c r="B124" s="126" t="s">
        <v>15</v>
      </c>
      <c r="C124" s="5" t="s">
        <v>5</v>
      </c>
      <c r="D124" s="5" t="s">
        <v>308</v>
      </c>
      <c r="E124" s="5" t="s">
        <v>315</v>
      </c>
      <c r="F124" s="5">
        <v>1071558</v>
      </c>
      <c r="G124" s="7" t="s">
        <v>589</v>
      </c>
      <c r="H124" s="139">
        <v>4059.2625212865751</v>
      </c>
      <c r="I124" s="139">
        <v>1055.4082555345096</v>
      </c>
      <c r="J124" s="125">
        <v>0</v>
      </c>
      <c r="K124" s="125">
        <v>2850</v>
      </c>
      <c r="L124" s="130">
        <v>741</v>
      </c>
      <c r="M124" s="123">
        <v>0.80556504607728108</v>
      </c>
      <c r="N124" s="130">
        <v>314.40825553450964</v>
      </c>
      <c r="O124" s="130">
        <v>0</v>
      </c>
      <c r="P124" s="123">
        <v>0.86675121901617835</v>
      </c>
      <c r="Q124" s="5">
        <v>5256</v>
      </c>
      <c r="R124" s="5">
        <v>420</v>
      </c>
      <c r="S124" s="5">
        <v>4836</v>
      </c>
      <c r="T124" s="5">
        <v>0</v>
      </c>
      <c r="U124" s="5">
        <v>0</v>
      </c>
      <c r="V124" s="5">
        <v>0</v>
      </c>
      <c r="W124" s="5">
        <v>0</v>
      </c>
      <c r="X124" s="125">
        <v>4059.2625212865755</v>
      </c>
      <c r="Y124" s="125">
        <v>35.740482227795695</v>
      </c>
      <c r="Z124" s="125">
        <v>-4046.7374787134249</v>
      </c>
      <c r="AA124" s="112">
        <v>7306.67</v>
      </c>
      <c r="AB124" s="112">
        <v>8704.7999999999993</v>
      </c>
      <c r="AC124" s="8">
        <v>1.996914453670471</v>
      </c>
      <c r="AD124" s="66"/>
      <c r="AE124" s="66">
        <v>22.123413866612527</v>
      </c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  <c r="AX124" s="66"/>
      <c r="AY124" s="66"/>
      <c r="AZ124" s="66"/>
      <c r="BA124" s="66"/>
      <c r="BB124" s="66"/>
      <c r="BC124" s="66"/>
      <c r="BD124" s="66"/>
      <c r="BE124" s="66"/>
      <c r="BF124" s="66"/>
      <c r="BG124" s="66"/>
      <c r="BH124" s="66"/>
      <c r="BI124" s="188" t="s">
        <v>1</v>
      </c>
      <c r="BJ124" s="204"/>
    </row>
    <row r="125" spans="1:62" ht="12.75" customHeight="1" x14ac:dyDescent="0.35">
      <c r="A125" s="108"/>
      <c r="B125" s="126" t="s">
        <v>9</v>
      </c>
      <c r="C125" s="5" t="s">
        <v>5</v>
      </c>
      <c r="D125" s="5" t="s">
        <v>308</v>
      </c>
      <c r="E125" s="5" t="s">
        <v>315</v>
      </c>
      <c r="F125" s="142">
        <v>1080403</v>
      </c>
      <c r="G125" s="143" t="s">
        <v>743</v>
      </c>
      <c r="H125" s="139">
        <v>490.29585160778072</v>
      </c>
      <c r="I125" s="139">
        <v>392.23668128622461</v>
      </c>
      <c r="J125" s="125">
        <v>0</v>
      </c>
      <c r="K125" s="125">
        <v>484</v>
      </c>
      <c r="L125" s="130">
        <v>387.20000000000005</v>
      </c>
      <c r="M125" s="123">
        <v>1.0055153401427972</v>
      </c>
      <c r="N125" s="130">
        <v>5.0366812862245638</v>
      </c>
      <c r="O125" s="130">
        <v>4.771530419920321</v>
      </c>
      <c r="P125" s="123">
        <v>1.1607817870160411</v>
      </c>
      <c r="Q125" s="5">
        <v>728</v>
      </c>
      <c r="R125" s="5">
        <v>9</v>
      </c>
      <c r="S125" s="5">
        <v>719</v>
      </c>
      <c r="T125" s="5">
        <v>0</v>
      </c>
      <c r="U125" s="5">
        <v>0</v>
      </c>
      <c r="V125" s="5">
        <v>0</v>
      </c>
      <c r="W125" s="5">
        <v>0</v>
      </c>
      <c r="X125" s="125">
        <v>586.90476190476204</v>
      </c>
      <c r="Y125" s="125">
        <v>36.752129817444214</v>
      </c>
      <c r="Z125" s="125">
        <v>-721.70414839221928</v>
      </c>
      <c r="AA125" s="112">
        <v>9805.92</v>
      </c>
      <c r="AB125" s="112">
        <v>14380</v>
      </c>
      <c r="AC125" s="8">
        <v>2.4719768605538945</v>
      </c>
      <c r="AD125" s="66"/>
      <c r="AE125" s="66">
        <v>46.744578313253015</v>
      </c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  <c r="AX125" s="66"/>
      <c r="AY125" s="66"/>
      <c r="AZ125" s="66"/>
      <c r="BA125" s="66"/>
      <c r="BB125" s="66"/>
      <c r="BC125" s="66"/>
      <c r="BD125" s="66"/>
      <c r="BE125" s="66"/>
      <c r="BF125" s="66"/>
      <c r="BG125" s="66"/>
      <c r="BH125" s="66"/>
      <c r="BI125" s="188" t="s">
        <v>1</v>
      </c>
      <c r="BJ125" s="204"/>
    </row>
    <row r="126" spans="1:62" ht="12.75" customHeight="1" x14ac:dyDescent="0.35">
      <c r="A126" s="108"/>
      <c r="B126" s="126" t="s">
        <v>21</v>
      </c>
      <c r="C126" s="5" t="s">
        <v>5</v>
      </c>
      <c r="D126" s="5" t="s">
        <v>306</v>
      </c>
      <c r="E126" s="5" t="s">
        <v>307</v>
      </c>
      <c r="F126" s="5">
        <v>1016066</v>
      </c>
      <c r="G126" s="7" t="s">
        <v>289</v>
      </c>
      <c r="H126" s="139">
        <v>1846.5309796143101</v>
      </c>
      <c r="I126" s="139">
        <v>1772.6697404297377</v>
      </c>
      <c r="J126" s="125">
        <v>0</v>
      </c>
      <c r="K126" s="125">
        <v>1235</v>
      </c>
      <c r="L126" s="130">
        <v>1185.5999999999999</v>
      </c>
      <c r="M126" s="123">
        <v>0.66882170601760371</v>
      </c>
      <c r="N126" s="130">
        <v>587.06974042973775</v>
      </c>
      <c r="O126" s="130">
        <v>0</v>
      </c>
      <c r="P126" s="123">
        <v>0.69760704578476729</v>
      </c>
      <c r="Q126" s="5">
        <v>2269</v>
      </c>
      <c r="R126" s="5">
        <v>0</v>
      </c>
      <c r="S126" s="5">
        <v>2269</v>
      </c>
      <c r="T126" s="5">
        <v>0</v>
      </c>
      <c r="U126" s="5">
        <v>0</v>
      </c>
      <c r="V126" s="5">
        <v>0</v>
      </c>
      <c r="W126" s="5">
        <v>0</v>
      </c>
      <c r="X126" s="125">
        <v>1846.5309796143101</v>
      </c>
      <c r="Y126" s="125">
        <v>36.863719456371079</v>
      </c>
      <c r="Z126" s="125">
        <v>-1657.4690203856899</v>
      </c>
      <c r="AA126" s="112">
        <v>20237.98</v>
      </c>
      <c r="AB126" s="112">
        <v>24868.240000000002</v>
      </c>
      <c r="AC126" s="8">
        <v>1.8976123545633066</v>
      </c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188"/>
      <c r="BJ126" s="204"/>
    </row>
    <row r="127" spans="1:62" ht="12.75" customHeight="1" x14ac:dyDescent="0.35">
      <c r="A127" s="108"/>
      <c r="B127" s="126" t="s">
        <v>31</v>
      </c>
      <c r="C127" s="5" t="s">
        <v>5</v>
      </c>
      <c r="D127" s="5" t="s">
        <v>306</v>
      </c>
      <c r="E127" s="5" t="s">
        <v>307</v>
      </c>
      <c r="F127" s="5">
        <v>1078161</v>
      </c>
      <c r="G127" s="7" t="s">
        <v>705</v>
      </c>
      <c r="H127" s="139">
        <v>4700.3106365150779</v>
      </c>
      <c r="I127" s="139">
        <v>1743.8152461470938</v>
      </c>
      <c r="J127" s="125">
        <v>0</v>
      </c>
      <c r="K127" s="125">
        <v>1152</v>
      </c>
      <c r="L127" s="130">
        <v>427.392</v>
      </c>
      <c r="M127" s="123">
        <v>0.3140217985878358</v>
      </c>
      <c r="N127" s="130">
        <v>1316.4232461470938</v>
      </c>
      <c r="O127" s="130">
        <v>0</v>
      </c>
      <c r="P127" s="123">
        <v>0.16962991036588188</v>
      </c>
      <c r="Q127" s="5">
        <v>6142</v>
      </c>
      <c r="R127" s="5">
        <v>324</v>
      </c>
      <c r="S127" s="5">
        <v>5818</v>
      </c>
      <c r="T127" s="5">
        <v>0</v>
      </c>
      <c r="U127" s="5">
        <v>0</v>
      </c>
      <c r="V127" s="5">
        <v>0</v>
      </c>
      <c r="W127" s="5">
        <v>0</v>
      </c>
      <c r="X127" s="125">
        <v>4700.3106365150779</v>
      </c>
      <c r="Y127" s="125">
        <v>37.133715938699766</v>
      </c>
      <c r="Z127" s="125">
        <v>-2593.6893634849221</v>
      </c>
      <c r="AA127" s="112">
        <v>45687.02</v>
      </c>
      <c r="AB127" s="112">
        <v>56550.96</v>
      </c>
      <c r="AC127" s="8">
        <v>1.5518123298778281</v>
      </c>
      <c r="AD127" s="66"/>
      <c r="AE127" s="66">
        <v>40.776923076923076</v>
      </c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66"/>
      <c r="BF127" s="66"/>
      <c r="BG127" s="66"/>
      <c r="BH127" s="66"/>
      <c r="BI127" s="188" t="s">
        <v>1</v>
      </c>
      <c r="BJ127" s="204"/>
    </row>
    <row r="128" spans="1:62" ht="12.75" customHeight="1" x14ac:dyDescent="0.35">
      <c r="A128" s="108"/>
      <c r="B128" s="126" t="s">
        <v>1</v>
      </c>
      <c r="C128" s="5" t="s">
        <v>2</v>
      </c>
      <c r="D128" s="5" t="s">
        <v>310</v>
      </c>
      <c r="E128" s="5" t="s">
        <v>311</v>
      </c>
      <c r="F128" s="137">
        <v>1068296</v>
      </c>
      <c r="G128" s="138" t="s">
        <v>571</v>
      </c>
      <c r="H128" s="139">
        <v>6936.0285265887087</v>
      </c>
      <c r="I128" s="139">
        <v>1248.4851347859676</v>
      </c>
      <c r="J128" s="125">
        <v>0</v>
      </c>
      <c r="K128" s="125">
        <v>5976</v>
      </c>
      <c r="L128" s="130">
        <v>1075.68</v>
      </c>
      <c r="M128" s="123">
        <v>0.90311047251138876</v>
      </c>
      <c r="N128" s="130">
        <v>172.80513478596754</v>
      </c>
      <c r="O128" s="130">
        <v>5.4311479251017305</v>
      </c>
      <c r="P128" s="123">
        <v>1.1677309633824098</v>
      </c>
      <c r="Q128" s="5">
        <v>9845</v>
      </c>
      <c r="R128" s="5">
        <v>288</v>
      </c>
      <c r="S128" s="5">
        <v>9557</v>
      </c>
      <c r="T128" s="5">
        <v>0</v>
      </c>
      <c r="U128" s="5">
        <v>0</v>
      </c>
      <c r="V128" s="5">
        <v>0</v>
      </c>
      <c r="W128" s="5">
        <v>0</v>
      </c>
      <c r="X128" s="125">
        <v>7457.1428571428569</v>
      </c>
      <c r="Y128" s="125">
        <v>38.447701149425285</v>
      </c>
      <c r="Z128" s="125">
        <v>-8884.9714734112913</v>
      </c>
      <c r="AA128" s="112">
        <v>15051.18</v>
      </c>
      <c r="AB128" s="112">
        <v>20738.689999999999</v>
      </c>
      <c r="AC128" s="8">
        <v>2.2809883118778229</v>
      </c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  <c r="BC128" s="66"/>
      <c r="BD128" s="66"/>
      <c r="BE128" s="66"/>
      <c r="BF128" s="66"/>
      <c r="BG128" s="66"/>
      <c r="BH128" s="66"/>
      <c r="BI128" s="188" t="s">
        <v>1</v>
      </c>
      <c r="BJ128" s="204" t="s">
        <v>808</v>
      </c>
    </row>
    <row r="129" spans="1:62" ht="12.75" customHeight="1" x14ac:dyDescent="0.35">
      <c r="A129" s="108"/>
      <c r="B129" s="126" t="s">
        <v>15</v>
      </c>
      <c r="C129" s="5" t="s">
        <v>5</v>
      </c>
      <c r="D129" s="5" t="s">
        <v>308</v>
      </c>
      <c r="E129" s="5" t="s">
        <v>315</v>
      </c>
      <c r="F129" s="56">
        <v>1074227</v>
      </c>
      <c r="G129" s="65" t="s">
        <v>701</v>
      </c>
      <c r="H129" s="139">
        <v>1719.4045428290324</v>
      </c>
      <c r="I129" s="139">
        <v>550.20945370529034</v>
      </c>
      <c r="J129" s="125">
        <v>0</v>
      </c>
      <c r="K129" s="125">
        <v>684</v>
      </c>
      <c r="L129" s="130">
        <v>218.88</v>
      </c>
      <c r="M129" s="123">
        <v>0.41874962061885901</v>
      </c>
      <c r="N129" s="130">
        <v>331.32945370529035</v>
      </c>
      <c r="O129" s="130">
        <v>0</v>
      </c>
      <c r="P129" s="123">
        <v>0.40500000000000003</v>
      </c>
      <c r="Q129" s="5">
        <v>2246</v>
      </c>
      <c r="R129" s="5">
        <v>36</v>
      </c>
      <c r="S129" s="5">
        <v>2210</v>
      </c>
      <c r="T129" s="5">
        <v>0</v>
      </c>
      <c r="U129" s="5">
        <v>0</v>
      </c>
      <c r="V129" s="5">
        <v>0</v>
      </c>
      <c r="W129" s="5">
        <v>0</v>
      </c>
      <c r="X129" s="125">
        <v>1719.4045428290324</v>
      </c>
      <c r="Y129" s="125">
        <v>38.55986089865327</v>
      </c>
      <c r="Z129" s="125">
        <v>-1210.5954571709676</v>
      </c>
      <c r="AA129" s="112">
        <v>9594.2800000000007</v>
      </c>
      <c r="AB129" s="112">
        <v>12331.8</v>
      </c>
      <c r="AC129" s="8">
        <v>1.7040783172406346</v>
      </c>
      <c r="AD129" s="66"/>
      <c r="AE129" s="66">
        <v>159.2206572769953</v>
      </c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6"/>
      <c r="BD129" s="66"/>
      <c r="BE129" s="66"/>
      <c r="BF129" s="66"/>
      <c r="BG129" s="66"/>
      <c r="BH129" s="66"/>
      <c r="BI129" s="188" t="s">
        <v>1</v>
      </c>
      <c r="BJ129" s="204"/>
    </row>
    <row r="130" spans="1:62" ht="12.75" customHeight="1" x14ac:dyDescent="0.35">
      <c r="A130" s="108"/>
      <c r="B130" s="126" t="s">
        <v>15</v>
      </c>
      <c r="C130" s="5" t="s">
        <v>5</v>
      </c>
      <c r="D130" s="5" t="s">
        <v>312</v>
      </c>
      <c r="E130" s="5" t="s">
        <v>315</v>
      </c>
      <c r="F130" s="5">
        <v>1078687</v>
      </c>
      <c r="G130" s="7" t="s">
        <v>709</v>
      </c>
      <c r="H130" s="139">
        <v>1737.0487804878048</v>
      </c>
      <c r="I130" s="139">
        <v>604.49297560975606</v>
      </c>
      <c r="J130" s="125">
        <v>0</v>
      </c>
      <c r="K130" s="125">
        <v>1248</v>
      </c>
      <c r="L130" s="130">
        <v>434.30399999999997</v>
      </c>
      <c r="M130" s="123">
        <v>0.71845996152712055</v>
      </c>
      <c r="N130" s="130">
        <v>170.18897560975608</v>
      </c>
      <c r="O130" s="130">
        <v>1.916202137070163</v>
      </c>
      <c r="P130" s="123">
        <v>1.0647682779241119</v>
      </c>
      <c r="Q130" s="5">
        <v>2241</v>
      </c>
      <c r="R130" s="5">
        <v>0</v>
      </c>
      <c r="S130" s="5">
        <v>2241</v>
      </c>
      <c r="T130" s="5">
        <v>0</v>
      </c>
      <c r="U130" s="5">
        <v>0</v>
      </c>
      <c r="V130" s="5">
        <v>0</v>
      </c>
      <c r="W130" s="5">
        <v>0</v>
      </c>
      <c r="X130" s="125">
        <v>1737.0487804878048</v>
      </c>
      <c r="Y130" s="125">
        <v>38.703576292843202</v>
      </c>
      <c r="Z130" s="125">
        <v>-1751.9512195121952</v>
      </c>
      <c r="AA130" s="112">
        <v>8112.02</v>
      </c>
      <c r="AB130" s="112">
        <v>10465.469999999999</v>
      </c>
      <c r="AC130" s="8">
        <v>2.0085791712885608</v>
      </c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66"/>
      <c r="BD130" s="66"/>
      <c r="BE130" s="66"/>
      <c r="BF130" s="66"/>
      <c r="BG130" s="66"/>
      <c r="BH130" s="66"/>
      <c r="BI130" s="189"/>
      <c r="BJ130" s="204"/>
    </row>
    <row r="131" spans="1:62" ht="12.75" customHeight="1" x14ac:dyDescent="0.35">
      <c r="A131" s="108"/>
      <c r="B131" s="126" t="s">
        <v>27</v>
      </c>
      <c r="C131" s="5" t="s">
        <v>5</v>
      </c>
      <c r="D131" s="5" t="s">
        <v>312</v>
      </c>
      <c r="E131" s="5" t="s">
        <v>313</v>
      </c>
      <c r="F131" s="5">
        <v>1072353</v>
      </c>
      <c r="G131" s="7" t="s">
        <v>598</v>
      </c>
      <c r="H131" s="139">
        <v>199390.34891260776</v>
      </c>
      <c r="I131" s="139">
        <v>60614.666069432758</v>
      </c>
      <c r="J131" s="125">
        <v>0</v>
      </c>
      <c r="K131" s="125">
        <v>83566</v>
      </c>
      <c r="L131" s="130">
        <v>25404.063999999998</v>
      </c>
      <c r="M131" s="123">
        <v>0.44458520928138451</v>
      </c>
      <c r="N131" s="130">
        <v>35210.60206943276</v>
      </c>
      <c r="O131" s="130">
        <v>0</v>
      </c>
      <c r="P131" s="123">
        <v>0.85751188706129033</v>
      </c>
      <c r="Q131" s="5">
        <v>271222</v>
      </c>
      <c r="R131" s="5">
        <v>5080</v>
      </c>
      <c r="S131" s="5">
        <v>266142</v>
      </c>
      <c r="T131" s="5">
        <v>0</v>
      </c>
      <c r="U131" s="5">
        <v>0</v>
      </c>
      <c r="V131" s="5">
        <v>0</v>
      </c>
      <c r="W131" s="5">
        <v>600</v>
      </c>
      <c r="X131" s="125">
        <v>199390.34891260776</v>
      </c>
      <c r="Y131" s="125">
        <v>40.043362397141294</v>
      </c>
      <c r="Z131" s="125">
        <v>-155397.65108739224</v>
      </c>
      <c r="AA131" s="112">
        <v>516421</v>
      </c>
      <c r="AB131" s="112">
        <v>690861.78</v>
      </c>
      <c r="AC131" s="8">
        <v>1.779363955852761</v>
      </c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66"/>
      <c r="BD131" s="66"/>
      <c r="BE131" s="66"/>
      <c r="BF131" s="66"/>
      <c r="BG131" s="66"/>
      <c r="BH131" s="66"/>
      <c r="BI131" s="188" t="s">
        <v>1</v>
      </c>
      <c r="BJ131" s="204"/>
    </row>
    <row r="132" spans="1:62" ht="12.75" customHeight="1" x14ac:dyDescent="0.35">
      <c r="A132" s="108"/>
      <c r="B132" s="126" t="s">
        <v>31</v>
      </c>
      <c r="C132" s="5" t="s">
        <v>5</v>
      </c>
      <c r="D132" s="5" t="s">
        <v>306</v>
      </c>
      <c r="E132" s="5" t="s">
        <v>307</v>
      </c>
      <c r="F132" s="5">
        <v>1071169</v>
      </c>
      <c r="G132" s="7" t="s">
        <v>601</v>
      </c>
      <c r="H132" s="139">
        <v>23910.559994301148</v>
      </c>
      <c r="I132" s="139">
        <v>4303.9007989742067</v>
      </c>
      <c r="J132" s="125">
        <v>0</v>
      </c>
      <c r="K132" s="125">
        <v>15417</v>
      </c>
      <c r="L132" s="130">
        <v>2775.06</v>
      </c>
      <c r="M132" s="123">
        <v>0.77835901812570485</v>
      </c>
      <c r="N132" s="130">
        <v>1528.8407989742068</v>
      </c>
      <c r="O132" s="130">
        <v>4.6255377425353474</v>
      </c>
      <c r="P132" s="123">
        <v>1.1758611171970259</v>
      </c>
      <c r="Q132" s="5">
        <v>36257</v>
      </c>
      <c r="R132" s="5">
        <v>3194</v>
      </c>
      <c r="S132" s="5">
        <v>33063</v>
      </c>
      <c r="T132" s="5">
        <v>0</v>
      </c>
      <c r="U132" s="5">
        <v>744</v>
      </c>
      <c r="V132" s="5">
        <v>0</v>
      </c>
      <c r="W132" s="5">
        <v>0</v>
      </c>
      <c r="X132" s="125">
        <v>23910.559994301148</v>
      </c>
      <c r="Y132" s="125">
        <v>41.483344607420634</v>
      </c>
      <c r="Z132" s="125">
        <v>-27763.440005698852</v>
      </c>
      <c r="AA132" s="112">
        <v>105923.78</v>
      </c>
      <c r="AB132" s="112">
        <v>149765.01</v>
      </c>
      <c r="AC132" s="8">
        <v>2.1611371717063923</v>
      </c>
      <c r="AD132" s="66"/>
      <c r="AE132" s="66">
        <v>45.406639004149376</v>
      </c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  <c r="AX132" s="66"/>
      <c r="AY132" s="66"/>
      <c r="AZ132" s="66"/>
      <c r="BA132" s="66"/>
      <c r="BB132" s="66"/>
      <c r="BC132" s="66"/>
      <c r="BD132" s="66"/>
      <c r="BE132" s="66"/>
      <c r="BF132" s="66"/>
      <c r="BG132" s="66"/>
      <c r="BH132" s="66"/>
      <c r="BI132" s="188" t="s">
        <v>1</v>
      </c>
      <c r="BJ132" s="204"/>
    </row>
    <row r="133" spans="1:62" ht="12.75" customHeight="1" x14ac:dyDescent="0.35">
      <c r="A133" s="108"/>
      <c r="B133" s="126" t="s">
        <v>15</v>
      </c>
      <c r="C133" s="5" t="s">
        <v>5</v>
      </c>
      <c r="D133" s="5" t="s">
        <v>308</v>
      </c>
      <c r="E133" s="5" t="s">
        <v>315</v>
      </c>
      <c r="F133" s="56">
        <v>1078183</v>
      </c>
      <c r="G133" s="65" t="s">
        <v>694</v>
      </c>
      <c r="H133" s="139">
        <v>1414.1848014984348</v>
      </c>
      <c r="I133" s="139">
        <v>397.38592922106022</v>
      </c>
      <c r="J133" s="125">
        <v>0</v>
      </c>
      <c r="K133" s="125">
        <v>28</v>
      </c>
      <c r="L133" s="130">
        <v>7.8680000000000003</v>
      </c>
      <c r="M133" s="123">
        <v>6.9297873867801188E-2</v>
      </c>
      <c r="N133" s="130">
        <v>389.51792922106023</v>
      </c>
      <c r="O133" s="130">
        <v>0</v>
      </c>
      <c r="P133" s="123">
        <v>0.78561151079136693</v>
      </c>
      <c r="Q133" s="5">
        <v>2044</v>
      </c>
      <c r="R133" s="5">
        <v>70</v>
      </c>
      <c r="S133" s="5">
        <v>1974</v>
      </c>
      <c r="T133" s="5">
        <v>0</v>
      </c>
      <c r="U133" s="5">
        <v>0</v>
      </c>
      <c r="V133" s="5">
        <v>0</v>
      </c>
      <c r="W133" s="5">
        <v>0</v>
      </c>
      <c r="X133" s="125">
        <v>1414.1848014984348</v>
      </c>
      <c r="Y133" s="125">
        <v>41.875715208685577</v>
      </c>
      <c r="Z133" s="125">
        <v>-657.81519850156519</v>
      </c>
      <c r="AA133" s="112">
        <v>6689.09</v>
      </c>
      <c r="AB133" s="112">
        <v>9337.02</v>
      </c>
      <c r="AC133" s="8">
        <v>1.4651550474906538</v>
      </c>
      <c r="AD133" s="66"/>
      <c r="AE133" s="66">
        <v>1010.848</v>
      </c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  <c r="BC133" s="66"/>
      <c r="BD133" s="66"/>
      <c r="BE133" s="66"/>
      <c r="BF133" s="66"/>
      <c r="BG133" s="66"/>
      <c r="BH133" s="66"/>
      <c r="BI133" s="188" t="s">
        <v>1</v>
      </c>
      <c r="BJ133" s="204"/>
    </row>
    <row r="134" spans="1:62" ht="12.75" customHeight="1" x14ac:dyDescent="0.35">
      <c r="A134" s="108"/>
      <c r="B134" s="126" t="s">
        <v>1</v>
      </c>
      <c r="C134" s="5" t="s">
        <v>50</v>
      </c>
      <c r="D134" s="5" t="s">
        <v>310</v>
      </c>
      <c r="E134" s="5" t="s">
        <v>403</v>
      </c>
      <c r="F134" s="5">
        <v>1076302</v>
      </c>
      <c r="G134" s="7" t="s">
        <v>692</v>
      </c>
      <c r="H134" s="139">
        <v>22949.963271663197</v>
      </c>
      <c r="I134" s="139">
        <v>849.14864105153822</v>
      </c>
      <c r="J134" s="125">
        <v>0</v>
      </c>
      <c r="K134" s="125">
        <v>13408</v>
      </c>
      <c r="L134" s="130">
        <v>496.096</v>
      </c>
      <c r="M134" s="123">
        <v>0.60305107403324432</v>
      </c>
      <c r="N134" s="130">
        <v>353.05264105153822</v>
      </c>
      <c r="O134" s="130">
        <v>0</v>
      </c>
      <c r="P134" s="123">
        <v>0.84592395532536024</v>
      </c>
      <c r="Q134" s="5">
        <v>32802</v>
      </c>
      <c r="R134" s="5">
        <v>432</v>
      </c>
      <c r="S134" s="5">
        <v>32370</v>
      </c>
      <c r="T134" s="5">
        <v>0</v>
      </c>
      <c r="U134" s="5">
        <v>0</v>
      </c>
      <c r="V134" s="5">
        <v>0</v>
      </c>
      <c r="W134" s="5">
        <v>0</v>
      </c>
      <c r="X134" s="125">
        <v>22949.963271663197</v>
      </c>
      <c r="Y134" s="125">
        <v>42.313793207636095</v>
      </c>
      <c r="Z134" s="125">
        <v>-23260.036728336803</v>
      </c>
      <c r="AA134" s="112">
        <v>51866.92</v>
      </c>
      <c r="AB134" s="112">
        <v>73156.2</v>
      </c>
      <c r="AC134" s="8">
        <v>2.0135108476211139</v>
      </c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6"/>
      <c r="AW134" s="66"/>
      <c r="AX134" s="66"/>
      <c r="AY134" s="66"/>
      <c r="AZ134" s="66"/>
      <c r="BA134" s="66"/>
      <c r="BB134" s="66"/>
      <c r="BC134" s="66"/>
      <c r="BD134" s="66"/>
      <c r="BE134" s="66"/>
      <c r="BF134" s="66"/>
      <c r="BG134" s="66"/>
      <c r="BH134" s="66"/>
      <c r="BI134" s="189" t="s">
        <v>1</v>
      </c>
      <c r="BJ134" s="204"/>
    </row>
    <row r="135" spans="1:62" ht="12.75" customHeight="1" x14ac:dyDescent="0.35">
      <c r="A135" s="108"/>
      <c r="B135" s="126" t="s">
        <v>8</v>
      </c>
      <c r="C135" s="5" t="s">
        <v>5</v>
      </c>
      <c r="D135" s="5" t="s">
        <v>308</v>
      </c>
      <c r="E135" s="5" t="s">
        <v>309</v>
      </c>
      <c r="F135" s="5">
        <v>1079847</v>
      </c>
      <c r="G135" s="7" t="s">
        <v>728</v>
      </c>
      <c r="H135" s="139">
        <v>9060.3875735077982</v>
      </c>
      <c r="I135" s="139">
        <v>3479.1888282269947</v>
      </c>
      <c r="J135" s="125">
        <v>0</v>
      </c>
      <c r="K135" s="125">
        <v>4742</v>
      </c>
      <c r="L135" s="130">
        <v>1820.9280000000001</v>
      </c>
      <c r="M135" s="123">
        <v>0.72469306050424542</v>
      </c>
      <c r="N135" s="130">
        <v>1658.2608282269946</v>
      </c>
      <c r="O135" s="130">
        <v>0</v>
      </c>
      <c r="P135" s="123">
        <v>0.69796685958752835</v>
      </c>
      <c r="Q135" s="5">
        <v>14677</v>
      </c>
      <c r="R135" s="5">
        <v>1824</v>
      </c>
      <c r="S135" s="5">
        <v>12853</v>
      </c>
      <c r="T135" s="5">
        <v>0</v>
      </c>
      <c r="U135" s="5">
        <v>0</v>
      </c>
      <c r="V135" s="5">
        <v>0</v>
      </c>
      <c r="W135" s="5">
        <v>1</v>
      </c>
      <c r="X135" s="125">
        <v>9060.3875735077982</v>
      </c>
      <c r="Y135" s="125">
        <v>42.557782089526647</v>
      </c>
      <c r="Z135" s="125">
        <v>-10358.612426492202</v>
      </c>
      <c r="AA135" s="112">
        <v>81362.28</v>
      </c>
      <c r="AB135" s="112">
        <v>115428.92</v>
      </c>
      <c r="AC135" s="8">
        <v>2.1432857968218002</v>
      </c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66"/>
      <c r="BD135" s="66"/>
      <c r="BE135" s="66"/>
      <c r="BF135" s="66"/>
      <c r="BG135" s="66"/>
      <c r="BH135" s="66"/>
      <c r="BI135" s="188" t="s">
        <v>1</v>
      </c>
      <c r="BJ135" s="204"/>
    </row>
    <row r="136" spans="1:62" ht="12.75" customHeight="1" x14ac:dyDescent="0.35">
      <c r="A136" s="108"/>
      <c r="B136" s="126" t="s">
        <v>27</v>
      </c>
      <c r="C136" s="5" t="s">
        <v>5</v>
      </c>
      <c r="D136" s="5" t="s">
        <v>312</v>
      </c>
      <c r="E136" s="5" t="s">
        <v>313</v>
      </c>
      <c r="F136" s="56">
        <v>1072352</v>
      </c>
      <c r="G136" s="65" t="s">
        <v>592</v>
      </c>
      <c r="H136" s="139">
        <v>62563.01896135736</v>
      </c>
      <c r="I136" s="139">
        <v>14264.368323189479</v>
      </c>
      <c r="J136" s="125">
        <v>0</v>
      </c>
      <c r="K136" s="125">
        <v>30768</v>
      </c>
      <c r="L136" s="130">
        <v>7015.1040000000003</v>
      </c>
      <c r="M136" s="123">
        <v>0.55029313756845366</v>
      </c>
      <c r="N136" s="130">
        <v>7249.264323189479</v>
      </c>
      <c r="O136" s="130">
        <v>0</v>
      </c>
      <c r="P136" s="123">
        <v>0.61013337626866471</v>
      </c>
      <c r="Q136" s="5">
        <v>93150</v>
      </c>
      <c r="R136" s="5">
        <v>3660</v>
      </c>
      <c r="S136" s="5">
        <v>89487</v>
      </c>
      <c r="T136" s="5">
        <v>0</v>
      </c>
      <c r="U136" s="5">
        <v>0</v>
      </c>
      <c r="V136" s="5">
        <v>0</v>
      </c>
      <c r="W136" s="5">
        <v>30</v>
      </c>
      <c r="X136" s="125">
        <v>62563.01896135736</v>
      </c>
      <c r="Y136" s="125">
        <v>42.91049320459063</v>
      </c>
      <c r="Z136" s="125">
        <v>-61354.98103864264</v>
      </c>
      <c r="AA136" s="112">
        <v>135761.75</v>
      </c>
      <c r="AB136" s="112">
        <v>194251.89</v>
      </c>
      <c r="AC136" s="8">
        <v>1.9806908627049971</v>
      </c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  <c r="BD136" s="66"/>
      <c r="BE136" s="66"/>
      <c r="BF136" s="66"/>
      <c r="BG136" s="66"/>
      <c r="BH136" s="66"/>
      <c r="BI136" s="189"/>
      <c r="BJ136" s="204"/>
    </row>
    <row r="137" spans="1:62" ht="12.75" customHeight="1" x14ac:dyDescent="0.35">
      <c r="A137" s="108"/>
      <c r="B137" s="126" t="s">
        <v>1</v>
      </c>
      <c r="C137" s="5" t="s">
        <v>17</v>
      </c>
      <c r="D137" s="5" t="s">
        <v>312</v>
      </c>
      <c r="E137" s="5" t="s">
        <v>398</v>
      </c>
      <c r="F137" s="5">
        <v>1043974</v>
      </c>
      <c r="G137" s="7" t="s">
        <v>18</v>
      </c>
      <c r="H137" s="139">
        <v>5974.1386437098245</v>
      </c>
      <c r="I137" s="139">
        <v>3512.7935225013766</v>
      </c>
      <c r="J137" s="125">
        <v>0</v>
      </c>
      <c r="K137" s="125">
        <v>161</v>
      </c>
      <c r="L137" s="130">
        <v>94.667999999999992</v>
      </c>
      <c r="M137" s="123">
        <v>0.46282822761592096</v>
      </c>
      <c r="N137" s="130">
        <v>3418.1255225013765</v>
      </c>
      <c r="O137" s="130">
        <v>0</v>
      </c>
      <c r="P137" s="123">
        <v>0</v>
      </c>
      <c r="Q137" s="5">
        <v>11244</v>
      </c>
      <c r="R137" s="5">
        <v>2604</v>
      </c>
      <c r="S137" s="5">
        <v>8640</v>
      </c>
      <c r="T137" s="5">
        <v>0</v>
      </c>
      <c r="U137" s="5">
        <v>0</v>
      </c>
      <c r="V137" s="5">
        <v>0</v>
      </c>
      <c r="W137" s="5">
        <v>0</v>
      </c>
      <c r="X137" s="125">
        <v>5974.1386437098245</v>
      </c>
      <c r="Y137" s="125">
        <v>43.387007811228472</v>
      </c>
      <c r="Z137" s="125">
        <v>-5430.8613562901755</v>
      </c>
      <c r="AA137" s="112">
        <v>25569.31</v>
      </c>
      <c r="AB137" s="112">
        <v>36979.199999999997</v>
      </c>
      <c r="AC137" s="8">
        <v>1.9090618213235366</v>
      </c>
      <c r="AD137" s="66"/>
      <c r="AE137" s="66">
        <v>13.682250396196514</v>
      </c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6"/>
      <c r="BD137" s="66"/>
      <c r="BE137" s="66"/>
      <c r="BF137" s="66"/>
      <c r="BG137" s="66"/>
      <c r="BH137" s="66"/>
      <c r="BI137" s="188" t="s">
        <v>1</v>
      </c>
      <c r="BJ137" s="204"/>
    </row>
    <row r="138" spans="1:62" ht="12.75" customHeight="1" x14ac:dyDescent="0.35">
      <c r="A138" s="108"/>
      <c r="B138" s="126" t="s">
        <v>21</v>
      </c>
      <c r="C138" s="5" t="s">
        <v>5</v>
      </c>
      <c r="D138" s="5" t="s">
        <v>396</v>
      </c>
      <c r="E138" s="5" t="s">
        <v>307</v>
      </c>
      <c r="F138" s="5">
        <v>1063071</v>
      </c>
      <c r="G138" s="7" t="s">
        <v>444</v>
      </c>
      <c r="H138" s="139">
        <v>875.82610652863229</v>
      </c>
      <c r="I138" s="139">
        <v>437.91305326431615</v>
      </c>
      <c r="J138" s="125">
        <v>0</v>
      </c>
      <c r="K138" s="125">
        <v>1636</v>
      </c>
      <c r="L138" s="130">
        <v>818</v>
      </c>
      <c r="M138" s="123">
        <v>1.9227561127112247</v>
      </c>
      <c r="N138" s="130">
        <v>380.08694673568385</v>
      </c>
      <c r="O138" s="130">
        <v>7.1180149607135581</v>
      </c>
      <c r="P138" s="123">
        <v>1.1526634638650883</v>
      </c>
      <c r="Q138" s="5">
        <v>2963</v>
      </c>
      <c r="R138" s="5">
        <v>48</v>
      </c>
      <c r="S138" s="5">
        <v>2915</v>
      </c>
      <c r="T138" s="5">
        <v>0</v>
      </c>
      <c r="U138" s="5">
        <v>0</v>
      </c>
      <c r="V138" s="5">
        <v>0</v>
      </c>
      <c r="W138" s="5">
        <v>0</v>
      </c>
      <c r="X138" s="125">
        <v>2004.7619047619048</v>
      </c>
      <c r="Y138" s="125">
        <v>43.621140142517817</v>
      </c>
      <c r="Z138" s="125">
        <v>-3723.1738934713676</v>
      </c>
      <c r="AA138" s="112">
        <v>4396.6499999999996</v>
      </c>
      <c r="AB138" s="112">
        <v>14633.3</v>
      </c>
      <c r="AC138" s="8">
        <v>5.251042376697697</v>
      </c>
      <c r="AD138" s="66"/>
      <c r="AE138" s="66">
        <v>0</v>
      </c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  <c r="BD138" s="66"/>
      <c r="BE138" s="66"/>
      <c r="BF138" s="66"/>
      <c r="BG138" s="66"/>
      <c r="BH138" s="66"/>
      <c r="BI138" s="189" t="s">
        <v>1</v>
      </c>
      <c r="BJ138" s="204"/>
    </row>
    <row r="139" spans="1:62" ht="12.75" customHeight="1" x14ac:dyDescent="0.35">
      <c r="A139" s="108"/>
      <c r="B139" s="126" t="s">
        <v>1</v>
      </c>
      <c r="C139" s="5" t="s">
        <v>24</v>
      </c>
      <c r="D139" s="5" t="s">
        <v>316</v>
      </c>
      <c r="E139" s="5" t="s">
        <v>317</v>
      </c>
      <c r="F139" s="5">
        <v>1071324</v>
      </c>
      <c r="G139" s="7" t="s">
        <v>686</v>
      </c>
      <c r="H139" s="139">
        <v>8727.1997433016713</v>
      </c>
      <c r="I139" s="139">
        <v>942.53757227658048</v>
      </c>
      <c r="J139" s="125">
        <v>0</v>
      </c>
      <c r="K139" s="125">
        <v>3234</v>
      </c>
      <c r="L139" s="130">
        <v>349.27199999999999</v>
      </c>
      <c r="M139" s="123">
        <v>0.68567240077126212</v>
      </c>
      <c r="N139" s="130">
        <v>593.26557227658054</v>
      </c>
      <c r="O139" s="130">
        <v>10.879920426043764</v>
      </c>
      <c r="P139" s="123">
        <v>1.3768373439548844</v>
      </c>
      <c r="Q139" s="5">
        <v>15501</v>
      </c>
      <c r="R139" s="5">
        <v>2750</v>
      </c>
      <c r="S139" s="5">
        <v>12751</v>
      </c>
      <c r="T139" s="5">
        <v>0</v>
      </c>
      <c r="U139" s="5">
        <v>0</v>
      </c>
      <c r="V139" s="5">
        <v>0</v>
      </c>
      <c r="W139" s="5">
        <v>1860</v>
      </c>
      <c r="X139" s="125">
        <v>8727.1997433016713</v>
      </c>
      <c r="Y139" s="125">
        <v>43.831929055319335</v>
      </c>
      <c r="Z139" s="125">
        <v>-10007.800256698329</v>
      </c>
      <c r="AA139" s="112">
        <v>45992.34</v>
      </c>
      <c r="AB139" s="112">
        <v>76999.97</v>
      </c>
      <c r="AC139" s="8">
        <v>2.1467367026152404</v>
      </c>
      <c r="AD139" s="66"/>
      <c r="AE139" s="66">
        <v>87.428449744463364</v>
      </c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188" t="s">
        <v>1</v>
      </c>
      <c r="BJ139" s="204" t="s">
        <v>849</v>
      </c>
    </row>
    <row r="140" spans="1:62" ht="12.75" customHeight="1" x14ac:dyDescent="0.35">
      <c r="A140" s="108"/>
      <c r="B140" s="126" t="s">
        <v>15</v>
      </c>
      <c r="C140" s="5" t="s">
        <v>5</v>
      </c>
      <c r="D140" s="5" t="s">
        <v>308</v>
      </c>
      <c r="E140" s="5" t="s">
        <v>397</v>
      </c>
      <c r="F140" s="56">
        <v>1074165</v>
      </c>
      <c r="G140" s="65" t="s">
        <v>631</v>
      </c>
      <c r="H140" s="139">
        <v>13276.36156541327</v>
      </c>
      <c r="I140" s="139">
        <v>13276.36156541327</v>
      </c>
      <c r="J140" s="125">
        <v>0</v>
      </c>
      <c r="K140" s="125">
        <v>7060</v>
      </c>
      <c r="L140" s="130">
        <v>7060</v>
      </c>
      <c r="M140" s="123">
        <v>0.59956185742461876</v>
      </c>
      <c r="N140" s="130">
        <v>6216.36156541327</v>
      </c>
      <c r="O140" s="130">
        <v>2.818839889046036</v>
      </c>
      <c r="P140" s="123">
        <v>1.096811234090125</v>
      </c>
      <c r="Q140" s="5">
        <v>20391</v>
      </c>
      <c r="R140" s="5">
        <v>900</v>
      </c>
      <c r="S140" s="5">
        <v>19491</v>
      </c>
      <c r="T140" s="5">
        <v>0</v>
      </c>
      <c r="U140" s="5">
        <v>0</v>
      </c>
      <c r="V140" s="5">
        <v>0</v>
      </c>
      <c r="W140" s="5">
        <v>227</v>
      </c>
      <c r="X140" s="125">
        <v>13276.36156541327</v>
      </c>
      <c r="Y140" s="125">
        <v>44.042940313052434</v>
      </c>
      <c r="Z140" s="125">
        <v>-14174.63843458673</v>
      </c>
      <c r="AA140" s="112">
        <v>148960.78</v>
      </c>
      <c r="AB140" s="112">
        <v>221235.96</v>
      </c>
      <c r="AC140" s="8">
        <v>2.0676598678596996</v>
      </c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  <c r="BD140" s="66"/>
      <c r="BE140" s="66"/>
      <c r="BF140" s="66"/>
      <c r="BG140" s="66"/>
      <c r="BH140" s="66"/>
      <c r="BI140" s="188" t="s">
        <v>1</v>
      </c>
      <c r="BJ140" s="204"/>
    </row>
    <row r="141" spans="1:62" ht="12.75" customHeight="1" x14ac:dyDescent="0.35">
      <c r="A141" s="108"/>
      <c r="B141" s="126" t="s">
        <v>1</v>
      </c>
      <c r="C141" s="5" t="s">
        <v>50</v>
      </c>
      <c r="D141" s="5" t="s">
        <v>320</v>
      </c>
      <c r="E141" s="5" t="s">
        <v>402</v>
      </c>
      <c r="F141" s="56">
        <v>1060798</v>
      </c>
      <c r="G141" s="65" t="s">
        <v>435</v>
      </c>
      <c r="H141" s="139">
        <v>9258.8655245824812</v>
      </c>
      <c r="I141" s="139">
        <v>1666.5957944248466</v>
      </c>
      <c r="J141" s="125">
        <v>0</v>
      </c>
      <c r="K141" s="125">
        <v>4553</v>
      </c>
      <c r="L141" s="130">
        <v>819.54</v>
      </c>
      <c r="M141" s="123">
        <v>0.50470546176452047</v>
      </c>
      <c r="N141" s="130">
        <v>847.05579442484668</v>
      </c>
      <c r="O141" s="130">
        <v>1.8199846074011101</v>
      </c>
      <c r="P141" s="123">
        <v>1.0434775682401469</v>
      </c>
      <c r="Q141" s="5">
        <v>13830</v>
      </c>
      <c r="R141" s="5">
        <v>120</v>
      </c>
      <c r="S141" s="5">
        <v>13710</v>
      </c>
      <c r="T141" s="5">
        <v>0</v>
      </c>
      <c r="U141" s="5">
        <v>56</v>
      </c>
      <c r="V141" s="5">
        <v>0</v>
      </c>
      <c r="W141" s="5">
        <v>80</v>
      </c>
      <c r="X141" s="125">
        <v>9258.8655245824812</v>
      </c>
      <c r="Y141" s="125">
        <v>44.422288984324261</v>
      </c>
      <c r="Z141" s="125">
        <v>-9124.1344754175188</v>
      </c>
      <c r="AA141" s="112">
        <v>63515.82</v>
      </c>
      <c r="AB141" s="112">
        <v>94983.56</v>
      </c>
      <c r="AC141" s="8">
        <v>1.9854484279086624</v>
      </c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  <c r="BF141" s="66"/>
      <c r="BG141" s="66"/>
      <c r="BH141" s="66"/>
      <c r="BI141" s="188" t="s">
        <v>1</v>
      </c>
      <c r="BJ141" s="204"/>
    </row>
    <row r="142" spans="1:62" ht="12.75" customHeight="1" x14ac:dyDescent="0.35">
      <c r="A142" s="108"/>
      <c r="B142" s="126" t="s">
        <v>21</v>
      </c>
      <c r="C142" s="5" t="s">
        <v>5</v>
      </c>
      <c r="D142" s="5" t="s">
        <v>308</v>
      </c>
      <c r="E142" s="5" t="s">
        <v>395</v>
      </c>
      <c r="F142" s="5">
        <v>1069726</v>
      </c>
      <c r="G142" s="7" t="s">
        <v>569</v>
      </c>
      <c r="H142" s="139">
        <v>2457.1056877456599</v>
      </c>
      <c r="I142" s="139">
        <v>1228.55284387283</v>
      </c>
      <c r="J142" s="125">
        <v>0</v>
      </c>
      <c r="K142" s="125">
        <v>1832</v>
      </c>
      <c r="L142" s="130">
        <v>916</v>
      </c>
      <c r="M142" s="123">
        <v>0.76268595581631393</v>
      </c>
      <c r="N142" s="130">
        <v>312.55284387282995</v>
      </c>
      <c r="O142" s="130">
        <v>0</v>
      </c>
      <c r="P142" s="123">
        <v>0.93193232911786461</v>
      </c>
      <c r="Q142" s="5">
        <v>3704</v>
      </c>
      <c r="R142" s="5">
        <v>42</v>
      </c>
      <c r="S142" s="5">
        <v>3662</v>
      </c>
      <c r="T142" s="5">
        <v>0</v>
      </c>
      <c r="U142" s="5">
        <v>0</v>
      </c>
      <c r="V142" s="5">
        <v>0</v>
      </c>
      <c r="W142" s="5">
        <v>0</v>
      </c>
      <c r="X142" s="125">
        <v>2457.1056877456599</v>
      </c>
      <c r="Y142" s="125">
        <v>44.711141465304294</v>
      </c>
      <c r="Z142" s="125">
        <v>-3078.8943122543401</v>
      </c>
      <c r="AA142" s="112">
        <v>43982.19</v>
      </c>
      <c r="AB142" s="112">
        <v>65549.8</v>
      </c>
      <c r="AC142" s="8">
        <v>2.2530573379931238</v>
      </c>
      <c r="AD142" s="66"/>
      <c r="AE142" s="66">
        <v>4.154447115384615</v>
      </c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BE142" s="66"/>
      <c r="BF142" s="66"/>
      <c r="BG142" s="66"/>
      <c r="BH142" s="66"/>
      <c r="BI142" s="188" t="s">
        <v>1</v>
      </c>
      <c r="BJ142" s="204"/>
    </row>
    <row r="143" spans="1:62" ht="12.75" customHeight="1" x14ac:dyDescent="0.35">
      <c r="A143" s="108"/>
      <c r="B143" s="126" t="s">
        <v>27</v>
      </c>
      <c r="C143" s="5" t="s">
        <v>5</v>
      </c>
      <c r="D143" s="5" t="s">
        <v>312</v>
      </c>
      <c r="E143" s="5" t="s">
        <v>313</v>
      </c>
      <c r="F143" s="5">
        <v>1081304</v>
      </c>
      <c r="G143" s="7" t="s">
        <v>747</v>
      </c>
      <c r="H143" s="139">
        <v>14493.355194646367</v>
      </c>
      <c r="I143" s="139">
        <v>3304.4849843793718</v>
      </c>
      <c r="J143" s="125">
        <v>0</v>
      </c>
      <c r="K143" s="125">
        <v>22637</v>
      </c>
      <c r="L143" s="130">
        <v>5161.2359999999999</v>
      </c>
      <c r="M143" s="123">
        <v>1.9266760267018583</v>
      </c>
      <c r="N143" s="130">
        <v>1856.7510156206281</v>
      </c>
      <c r="O143" s="130">
        <v>57.296627254721486</v>
      </c>
      <c r="P143" s="123">
        <v>2.3835966652986182</v>
      </c>
      <c r="Q143" s="5">
        <v>55662</v>
      </c>
      <c r="R143" s="5">
        <v>5287</v>
      </c>
      <c r="S143" s="5">
        <v>50375</v>
      </c>
      <c r="T143" s="5">
        <v>0</v>
      </c>
      <c r="U143" s="5">
        <v>60</v>
      </c>
      <c r="V143" s="5">
        <v>0</v>
      </c>
      <c r="W143" s="5">
        <v>0</v>
      </c>
      <c r="X143" s="125">
        <v>33242.857142857145</v>
      </c>
      <c r="Y143" s="125">
        <v>45.460893854748598</v>
      </c>
      <c r="Z143" s="125">
        <v>-63805.64480535363</v>
      </c>
      <c r="AA143" s="112">
        <v>28696.84</v>
      </c>
      <c r="AB143" s="112">
        <v>99861.3</v>
      </c>
      <c r="AC143" s="8">
        <v>5.4024067545741579</v>
      </c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  <c r="BF143" s="66"/>
      <c r="BG143" s="66"/>
      <c r="BH143" s="66"/>
      <c r="BI143" s="188" t="s">
        <v>1</v>
      </c>
      <c r="BJ143" s="204"/>
    </row>
    <row r="144" spans="1:62" ht="12.75" customHeight="1" x14ac:dyDescent="0.35">
      <c r="A144" s="108"/>
      <c r="B144" s="126">
        <v>0</v>
      </c>
      <c r="C144" s="5" t="s">
        <v>5</v>
      </c>
      <c r="D144" s="5" t="s">
        <v>318</v>
      </c>
      <c r="E144" s="5" t="s">
        <v>319</v>
      </c>
      <c r="F144" s="132">
        <v>1079428</v>
      </c>
      <c r="G144" s="133" t="s">
        <v>734</v>
      </c>
      <c r="H144" s="139">
        <v>20804</v>
      </c>
      <c r="I144" s="139">
        <v>16643.2</v>
      </c>
      <c r="J144" s="125">
        <v>0</v>
      </c>
      <c r="K144" s="125">
        <v>16752</v>
      </c>
      <c r="L144" s="130">
        <v>13401.6</v>
      </c>
      <c r="M144" s="123">
        <v>0.80522976350701791</v>
      </c>
      <c r="N144" s="130">
        <v>3241.6000000000004</v>
      </c>
      <c r="O144" s="130">
        <v>1.6900596039223224</v>
      </c>
      <c r="P144" s="123">
        <v>1.1172</v>
      </c>
      <c r="Q144" s="5">
        <v>32010</v>
      </c>
      <c r="R144" s="5">
        <v>0</v>
      </c>
      <c r="S144" s="5">
        <v>32010</v>
      </c>
      <c r="T144" s="5">
        <v>0</v>
      </c>
      <c r="U144" s="5">
        <v>0</v>
      </c>
      <c r="V144" s="5">
        <v>0</v>
      </c>
      <c r="W144" s="5">
        <v>0</v>
      </c>
      <c r="X144" s="125">
        <v>20804</v>
      </c>
      <c r="Y144" s="125">
        <v>46.159392424533742</v>
      </c>
      <c r="Z144" s="125">
        <v>-27958</v>
      </c>
      <c r="AA144" s="112">
        <v>161855.12</v>
      </c>
      <c r="AB144" s="112">
        <v>249037.8</v>
      </c>
      <c r="AC144" s="8">
        <v>2.3438761776581427</v>
      </c>
      <c r="AD144" s="66"/>
      <c r="AE144" s="66" t="s">
        <v>574</v>
      </c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/>
      <c r="BB144" s="66"/>
      <c r="BC144" s="66"/>
      <c r="BD144" s="66"/>
      <c r="BE144" s="66"/>
      <c r="BF144" s="66"/>
      <c r="BG144" s="66"/>
      <c r="BH144" s="66"/>
      <c r="BI144" s="188" t="s">
        <v>1</v>
      </c>
      <c r="BJ144" s="204" t="s">
        <v>807</v>
      </c>
    </row>
    <row r="145" spans="1:62" ht="12.75" customHeight="1" x14ac:dyDescent="0.35">
      <c r="A145" s="108"/>
      <c r="B145" s="126" t="s">
        <v>21</v>
      </c>
      <c r="C145" s="5" t="s">
        <v>5</v>
      </c>
      <c r="D145" s="5" t="s">
        <v>306</v>
      </c>
      <c r="E145" s="5" t="s">
        <v>307</v>
      </c>
      <c r="F145" s="5">
        <v>1059375</v>
      </c>
      <c r="G145" s="7" t="s">
        <v>349</v>
      </c>
      <c r="H145" s="139">
        <v>4188.9777188132675</v>
      </c>
      <c r="I145" s="139">
        <v>3770.0799469319409</v>
      </c>
      <c r="J145" s="125">
        <v>0</v>
      </c>
      <c r="K145" s="125">
        <v>785</v>
      </c>
      <c r="L145" s="130">
        <v>706.5</v>
      </c>
      <c r="M145" s="123">
        <v>0.19885519950580877</v>
      </c>
      <c r="N145" s="130">
        <v>3063.5799469319409</v>
      </c>
      <c r="O145" s="130">
        <v>0</v>
      </c>
      <c r="P145" s="123">
        <v>0.85501775359278076</v>
      </c>
      <c r="Q145" s="5">
        <v>6585</v>
      </c>
      <c r="R145" s="5">
        <v>48</v>
      </c>
      <c r="S145" s="5">
        <v>6537</v>
      </c>
      <c r="T145" s="5">
        <v>0</v>
      </c>
      <c r="U145" s="5">
        <v>0</v>
      </c>
      <c r="V145" s="5">
        <v>0</v>
      </c>
      <c r="W145" s="5">
        <v>0</v>
      </c>
      <c r="X145" s="125">
        <v>4188.9777188132675</v>
      </c>
      <c r="Y145" s="125">
        <v>46.815718097339925</v>
      </c>
      <c r="Z145" s="125">
        <v>-3181.0222811867325</v>
      </c>
      <c r="AA145" s="112">
        <v>100451.69</v>
      </c>
      <c r="AB145" s="112">
        <v>156757.26</v>
      </c>
      <c r="AC145" s="8">
        <v>1.7593791360838062</v>
      </c>
      <c r="AD145" s="66"/>
      <c r="AE145" s="66" t="s">
        <v>574</v>
      </c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6"/>
      <c r="BB145" s="66"/>
      <c r="BC145" s="66"/>
      <c r="BD145" s="66"/>
      <c r="BE145" s="66"/>
      <c r="BF145" s="66"/>
      <c r="BG145" s="66"/>
      <c r="BH145" s="66"/>
      <c r="BI145" s="188" t="s">
        <v>1</v>
      </c>
      <c r="BJ145" s="204"/>
    </row>
    <row r="146" spans="1:62" ht="12.75" customHeight="1" x14ac:dyDescent="0.35">
      <c r="A146" s="108"/>
      <c r="B146" s="126" t="s">
        <v>22</v>
      </c>
      <c r="C146" s="5" t="s">
        <v>5</v>
      </c>
      <c r="D146" s="5" t="s">
        <v>306</v>
      </c>
      <c r="E146" s="5" t="s">
        <v>307</v>
      </c>
      <c r="F146" s="5">
        <v>1062351</v>
      </c>
      <c r="G146" s="7" t="s">
        <v>412</v>
      </c>
      <c r="H146" s="139">
        <v>48659.587022081418</v>
      </c>
      <c r="I146" s="139">
        <v>7298.9380533122121</v>
      </c>
      <c r="J146" s="125">
        <v>0</v>
      </c>
      <c r="K146" s="125">
        <v>19735</v>
      </c>
      <c r="L146" s="130">
        <v>2960.25</v>
      </c>
      <c r="M146" s="123">
        <v>0.50964263195958426</v>
      </c>
      <c r="N146" s="130">
        <v>4338.6880533122121</v>
      </c>
      <c r="O146" s="130">
        <v>0</v>
      </c>
      <c r="P146" s="123">
        <v>0.4742450851101131</v>
      </c>
      <c r="Q146" s="5">
        <v>82657</v>
      </c>
      <c r="R146" s="5">
        <v>5064</v>
      </c>
      <c r="S146" s="5">
        <v>77593</v>
      </c>
      <c r="T146" s="5">
        <v>3840</v>
      </c>
      <c r="U146" s="5">
        <v>0</v>
      </c>
      <c r="V146" s="5">
        <v>0</v>
      </c>
      <c r="W146" s="5">
        <v>0</v>
      </c>
      <c r="X146" s="125">
        <v>48659.587022081418</v>
      </c>
      <c r="Y146" s="125">
        <v>47.838260504423587</v>
      </c>
      <c r="Z146" s="125">
        <v>-57572.412977918582</v>
      </c>
      <c r="AA146" s="112">
        <v>163496.21</v>
      </c>
      <c r="AB146" s="112">
        <v>273614.88</v>
      </c>
      <c r="AC146" s="8">
        <v>2.1831669050498226</v>
      </c>
      <c r="AD146" s="66"/>
      <c r="AE146" s="66">
        <v>112.11666666666667</v>
      </c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/>
      <c r="BB146" s="66"/>
      <c r="BC146" s="66"/>
      <c r="BD146" s="66"/>
      <c r="BE146" s="66"/>
      <c r="BF146" s="66"/>
      <c r="BG146" s="66"/>
      <c r="BH146" s="66"/>
      <c r="BI146" s="188" t="s">
        <v>1</v>
      </c>
      <c r="BJ146" s="204"/>
    </row>
    <row r="147" spans="1:62" ht="12.75" customHeight="1" x14ac:dyDescent="0.35">
      <c r="A147" s="108"/>
      <c r="B147" s="126" t="s">
        <v>1</v>
      </c>
      <c r="C147" s="5" t="s">
        <v>50</v>
      </c>
      <c r="D147" s="5" t="s">
        <v>320</v>
      </c>
      <c r="E147" s="5" t="s">
        <v>402</v>
      </c>
      <c r="F147" s="5">
        <v>1060794</v>
      </c>
      <c r="G147" s="7" t="s">
        <v>431</v>
      </c>
      <c r="H147" s="139">
        <v>33337.516048512058</v>
      </c>
      <c r="I147" s="139">
        <v>6000.7528887321705</v>
      </c>
      <c r="J147" s="125">
        <v>0</v>
      </c>
      <c r="K147" s="125">
        <v>19211</v>
      </c>
      <c r="L147" s="130">
        <v>3457.98</v>
      </c>
      <c r="M147" s="123">
        <v>0.58897609442249854</v>
      </c>
      <c r="N147" s="130">
        <v>2542.7728887321705</v>
      </c>
      <c r="O147" s="130">
        <v>0</v>
      </c>
      <c r="P147" s="123">
        <v>0.76668958983330548</v>
      </c>
      <c r="Q147" s="5">
        <v>55241</v>
      </c>
      <c r="R147" s="5">
        <v>424</v>
      </c>
      <c r="S147" s="5">
        <v>54817</v>
      </c>
      <c r="T147" s="5">
        <v>0</v>
      </c>
      <c r="U147" s="5">
        <v>640</v>
      </c>
      <c r="V147" s="5">
        <v>0</v>
      </c>
      <c r="W147" s="5">
        <v>400</v>
      </c>
      <c r="X147" s="125">
        <v>33337.516048512058</v>
      </c>
      <c r="Y147" s="125">
        <v>49.329110111471508</v>
      </c>
      <c r="Z147" s="125">
        <v>-41114.483951487942</v>
      </c>
      <c r="AA147" s="112">
        <v>229028.74</v>
      </c>
      <c r="AB147" s="112">
        <v>383737.59</v>
      </c>
      <c r="AC147" s="8">
        <v>2.2332797648048821</v>
      </c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66"/>
      <c r="BD147" s="66"/>
      <c r="BE147" s="66"/>
      <c r="BF147" s="66"/>
      <c r="BG147" s="66"/>
      <c r="BH147" s="66"/>
      <c r="BI147" s="188"/>
      <c r="BJ147" s="204"/>
    </row>
    <row r="148" spans="1:62" ht="12.75" customHeight="1" x14ac:dyDescent="0.35">
      <c r="A148" s="108"/>
      <c r="B148" s="126" t="s">
        <v>15</v>
      </c>
      <c r="C148" s="5" t="s">
        <v>5</v>
      </c>
      <c r="D148" s="5" t="s">
        <v>308</v>
      </c>
      <c r="E148" s="5" t="s">
        <v>315</v>
      </c>
      <c r="F148" s="5">
        <v>1078372</v>
      </c>
      <c r="G148" s="7" t="s">
        <v>708</v>
      </c>
      <c r="H148" s="139">
        <v>6923.2993926019417</v>
      </c>
      <c r="I148" s="139">
        <v>2492.3877813366989</v>
      </c>
      <c r="J148" s="125">
        <v>0</v>
      </c>
      <c r="K148" s="125">
        <v>8318</v>
      </c>
      <c r="L148" s="130">
        <v>2994.48</v>
      </c>
      <c r="M148" s="123">
        <v>1.2953361528150831</v>
      </c>
      <c r="N148" s="130">
        <v>502.09221866330108</v>
      </c>
      <c r="O148" s="130">
        <v>48.990244847583469</v>
      </c>
      <c r="P148" s="123">
        <v>3.1716057771511075</v>
      </c>
      <c r="Q148" s="5">
        <v>18228</v>
      </c>
      <c r="R148" s="5">
        <v>650</v>
      </c>
      <c r="S148" s="5">
        <v>17578</v>
      </c>
      <c r="T148" s="5">
        <v>0</v>
      </c>
      <c r="U148" s="5">
        <v>0</v>
      </c>
      <c r="V148" s="5">
        <v>0</v>
      </c>
      <c r="W148" s="5">
        <v>400</v>
      </c>
      <c r="X148" s="125">
        <v>10676.190476190477</v>
      </c>
      <c r="Y148" s="125">
        <v>49.394023193577162</v>
      </c>
      <c r="Z148" s="125">
        <v>-19622.700607398059</v>
      </c>
      <c r="AA148" s="112">
        <v>43686.02</v>
      </c>
      <c r="AB148" s="112">
        <v>113441.18</v>
      </c>
      <c r="AC148" s="8">
        <v>3.8342990089907665</v>
      </c>
      <c r="AD148" s="66"/>
      <c r="AE148" s="66">
        <v>44</v>
      </c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  <c r="BD148" s="66"/>
      <c r="BE148" s="66"/>
      <c r="BF148" s="66"/>
      <c r="BG148" s="66"/>
      <c r="BH148" s="66"/>
      <c r="BI148" s="188" t="s">
        <v>1</v>
      </c>
      <c r="BJ148" s="204"/>
    </row>
    <row r="149" spans="1:62" ht="12.75" customHeight="1" x14ac:dyDescent="0.35">
      <c r="A149" s="108"/>
      <c r="B149" s="126" t="s">
        <v>1</v>
      </c>
      <c r="C149" s="5" t="s">
        <v>50</v>
      </c>
      <c r="D149" s="5" t="s">
        <v>310</v>
      </c>
      <c r="E149" s="5" t="s">
        <v>403</v>
      </c>
      <c r="F149" s="5">
        <v>1076301</v>
      </c>
      <c r="G149" s="7" t="s">
        <v>691</v>
      </c>
      <c r="H149" s="139">
        <v>22281.382197805564</v>
      </c>
      <c r="I149" s="139">
        <v>2896.5796857147234</v>
      </c>
      <c r="J149" s="125">
        <v>0</v>
      </c>
      <c r="K149" s="125">
        <v>10471</v>
      </c>
      <c r="L149" s="130">
        <v>1361.23</v>
      </c>
      <c r="M149" s="123">
        <v>0.49076847670055945</v>
      </c>
      <c r="N149" s="130">
        <v>1535.3496857147234</v>
      </c>
      <c r="O149" s="130">
        <v>0</v>
      </c>
      <c r="P149" s="123">
        <v>0.76159321320017381</v>
      </c>
      <c r="Q149" s="5">
        <v>37182</v>
      </c>
      <c r="R149" s="5">
        <v>464</v>
      </c>
      <c r="S149" s="5">
        <v>36718</v>
      </c>
      <c r="T149" s="5">
        <v>0</v>
      </c>
      <c r="U149" s="5">
        <v>0</v>
      </c>
      <c r="V149" s="5">
        <v>0</v>
      </c>
      <c r="W149" s="5">
        <v>0</v>
      </c>
      <c r="X149" s="125">
        <v>22281.382197805564</v>
      </c>
      <c r="Y149" s="125">
        <v>49.437687043871449</v>
      </c>
      <c r="Z149" s="125">
        <v>-25371.617802194436</v>
      </c>
      <c r="AA149" s="112">
        <v>101380.29</v>
      </c>
      <c r="AB149" s="112">
        <v>167066.9</v>
      </c>
      <c r="AC149" s="8">
        <v>2.1386913781629406</v>
      </c>
      <c r="AD149" s="66"/>
      <c r="AE149" s="66">
        <v>0</v>
      </c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  <c r="BF149" s="66"/>
      <c r="BG149" s="66"/>
      <c r="BH149" s="66"/>
      <c r="BI149" s="188" t="s">
        <v>1</v>
      </c>
      <c r="BJ149" s="204"/>
    </row>
    <row r="150" spans="1:62" ht="12.75" customHeight="1" x14ac:dyDescent="0.35">
      <c r="A150" s="108"/>
      <c r="B150" s="126" t="s">
        <v>15</v>
      </c>
      <c r="C150" s="5" t="s">
        <v>5</v>
      </c>
      <c r="D150" s="5" t="s">
        <v>312</v>
      </c>
      <c r="E150" s="5" t="s">
        <v>315</v>
      </c>
      <c r="F150" s="5">
        <v>1080723</v>
      </c>
      <c r="G150" s="7" t="s">
        <v>737</v>
      </c>
      <c r="H150" s="139">
        <v>240</v>
      </c>
      <c r="I150" s="139">
        <v>11.28</v>
      </c>
      <c r="J150" s="125">
        <v>0</v>
      </c>
      <c r="K150" s="125">
        <v>0</v>
      </c>
      <c r="L150" s="130">
        <v>0</v>
      </c>
      <c r="M150" s="123">
        <v>0</v>
      </c>
      <c r="N150" s="130">
        <v>11.28</v>
      </c>
      <c r="O150" s="130">
        <v>0</v>
      </c>
      <c r="P150" s="123">
        <v>0</v>
      </c>
      <c r="Q150" s="5">
        <v>396</v>
      </c>
      <c r="R150" s="5">
        <v>0</v>
      </c>
      <c r="S150" s="5">
        <v>396</v>
      </c>
      <c r="T150" s="5">
        <v>0</v>
      </c>
      <c r="U150" s="5">
        <v>0</v>
      </c>
      <c r="V150" s="5">
        <v>0</v>
      </c>
      <c r="W150" s="5">
        <v>440</v>
      </c>
      <c r="X150" s="125">
        <v>240</v>
      </c>
      <c r="Y150" s="125">
        <v>49.5</v>
      </c>
      <c r="Z150" s="125">
        <v>-156</v>
      </c>
      <c r="AA150" s="112">
        <v>156</v>
      </c>
      <c r="AB150" s="112">
        <v>543.4</v>
      </c>
      <c r="AC150" s="8">
        <v>1.65</v>
      </c>
      <c r="AD150" s="66"/>
      <c r="AE150" s="66">
        <v>21.992222251817914</v>
      </c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66"/>
      <c r="BF150" s="66"/>
      <c r="BG150" s="66"/>
      <c r="BH150" s="66"/>
      <c r="BI150" s="189" t="s">
        <v>1</v>
      </c>
      <c r="BJ150" s="204"/>
    </row>
    <row r="151" spans="1:62" ht="12.75" customHeight="1" x14ac:dyDescent="0.35">
      <c r="A151" s="108"/>
      <c r="B151" s="126" t="s">
        <v>1</v>
      </c>
      <c r="C151" s="5" t="s">
        <v>5</v>
      </c>
      <c r="D151" s="5" t="s">
        <v>396</v>
      </c>
      <c r="E151" s="5" t="s">
        <v>397</v>
      </c>
      <c r="F151" s="5">
        <v>1071792</v>
      </c>
      <c r="G151" s="7" t="s">
        <v>665</v>
      </c>
      <c r="H151" s="139">
        <v>3399.922167552726</v>
      </c>
      <c r="I151" s="139">
        <v>3399.922167552726</v>
      </c>
      <c r="J151" s="125">
        <v>0</v>
      </c>
      <c r="K151" s="125">
        <v>1728</v>
      </c>
      <c r="L151" s="130">
        <v>1728</v>
      </c>
      <c r="M151" s="123">
        <v>0.52324727223991996</v>
      </c>
      <c r="N151" s="130">
        <v>1671.922167552726</v>
      </c>
      <c r="O151" s="130">
        <v>0</v>
      </c>
      <c r="P151" s="123">
        <v>0.71667782890808351</v>
      </c>
      <c r="Q151" s="5">
        <v>5693</v>
      </c>
      <c r="R151" s="5">
        <v>51</v>
      </c>
      <c r="S151" s="5">
        <v>5642</v>
      </c>
      <c r="T151" s="5">
        <v>0</v>
      </c>
      <c r="U151" s="5">
        <v>0</v>
      </c>
      <c r="V151" s="5">
        <v>0</v>
      </c>
      <c r="W151" s="5">
        <v>0</v>
      </c>
      <c r="X151" s="125">
        <v>3399.922167552726</v>
      </c>
      <c r="Y151" s="125">
        <v>49.783492579723919</v>
      </c>
      <c r="Z151" s="125">
        <v>-4021.077832447274</v>
      </c>
      <c r="AA151" s="112">
        <v>51474.82</v>
      </c>
      <c r="AB151" s="112">
        <v>85419.88</v>
      </c>
      <c r="AC151" s="8">
        <v>2.1826970248973838</v>
      </c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  <c r="BD151" s="66"/>
      <c r="BE151" s="66"/>
      <c r="BF151" s="66"/>
      <c r="BG151" s="66"/>
      <c r="BH151" s="66"/>
      <c r="BI151" s="188" t="s">
        <v>1</v>
      </c>
      <c r="BJ151" s="204"/>
    </row>
    <row r="152" spans="1:62" ht="12.75" customHeight="1" x14ac:dyDescent="0.35">
      <c r="A152" s="108"/>
      <c r="B152" s="126" t="s">
        <v>1</v>
      </c>
      <c r="C152" s="5" t="s">
        <v>50</v>
      </c>
      <c r="D152" s="5" t="s">
        <v>320</v>
      </c>
      <c r="E152" s="5" t="s">
        <v>402</v>
      </c>
      <c r="F152" s="5">
        <v>1060797</v>
      </c>
      <c r="G152" s="7" t="s">
        <v>434</v>
      </c>
      <c r="H152" s="139">
        <v>13544.083792977872</v>
      </c>
      <c r="I152" s="139">
        <v>2437.9350827360167</v>
      </c>
      <c r="J152" s="125">
        <v>0</v>
      </c>
      <c r="K152" s="125">
        <v>5608</v>
      </c>
      <c r="L152" s="130">
        <v>1009.4399999999999</v>
      </c>
      <c r="M152" s="123">
        <v>0.42586859976386915</v>
      </c>
      <c r="N152" s="130">
        <v>1428.4950827360167</v>
      </c>
      <c r="O152" s="130">
        <v>2.929096600568089</v>
      </c>
      <c r="P152" s="123">
        <v>1.0785570214348874</v>
      </c>
      <c r="Q152" s="5">
        <v>22647</v>
      </c>
      <c r="R152" s="5">
        <v>160</v>
      </c>
      <c r="S152" s="5">
        <v>22487</v>
      </c>
      <c r="T152" s="5">
        <v>0</v>
      </c>
      <c r="U152" s="5">
        <v>120</v>
      </c>
      <c r="V152" s="5">
        <v>0</v>
      </c>
      <c r="W152" s="5">
        <v>80</v>
      </c>
      <c r="X152" s="125">
        <v>13544.083792977872</v>
      </c>
      <c r="Y152" s="125">
        <v>49.808463260524235</v>
      </c>
      <c r="Z152" s="125">
        <v>-14710.916207022128</v>
      </c>
      <c r="AA152" s="112">
        <v>93047.86</v>
      </c>
      <c r="AB152" s="112">
        <v>155859.69</v>
      </c>
      <c r="AC152" s="8">
        <v>2.0861507084480104</v>
      </c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6"/>
      <c r="BB152" s="66"/>
      <c r="BC152" s="66"/>
      <c r="BD152" s="66"/>
      <c r="BE152" s="66"/>
      <c r="BF152" s="66"/>
      <c r="BG152" s="66"/>
      <c r="BH152" s="66"/>
      <c r="BI152" s="188" t="s">
        <v>1</v>
      </c>
      <c r="BJ152" s="204" t="s">
        <v>832</v>
      </c>
    </row>
    <row r="153" spans="1:62" ht="12.75" customHeight="1" x14ac:dyDescent="0.35">
      <c r="A153" s="108"/>
      <c r="B153" s="126" t="s">
        <v>21</v>
      </c>
      <c r="C153" s="5" t="s">
        <v>5</v>
      </c>
      <c r="D153" s="5" t="s">
        <v>306</v>
      </c>
      <c r="E153" s="5" t="s">
        <v>307</v>
      </c>
      <c r="F153" s="56">
        <v>1016065</v>
      </c>
      <c r="G153" s="65" t="s">
        <v>288</v>
      </c>
      <c r="H153" s="139">
        <v>1451.3230250495744</v>
      </c>
      <c r="I153" s="139">
        <v>1393.2701040475913</v>
      </c>
      <c r="J153" s="125">
        <v>0</v>
      </c>
      <c r="K153" s="125">
        <v>1530</v>
      </c>
      <c r="L153" s="130">
        <v>1468.8</v>
      </c>
      <c r="M153" s="123">
        <v>1.1162229028542174</v>
      </c>
      <c r="N153" s="130">
        <v>75.529895952408651</v>
      </c>
      <c r="O153" s="130">
        <v>24.343518675498096</v>
      </c>
      <c r="P153" s="123">
        <v>1.810333937865618</v>
      </c>
      <c r="Q153" s="5">
        <v>3319</v>
      </c>
      <c r="R153" s="5">
        <v>90</v>
      </c>
      <c r="S153" s="5">
        <v>3229</v>
      </c>
      <c r="T153" s="5">
        <v>0</v>
      </c>
      <c r="U153" s="5">
        <v>0</v>
      </c>
      <c r="V153" s="5">
        <v>0</v>
      </c>
      <c r="W153" s="5">
        <v>0</v>
      </c>
      <c r="X153" s="125">
        <v>1928.5714285714287</v>
      </c>
      <c r="Y153" s="125">
        <v>50.228888888888882</v>
      </c>
      <c r="Z153" s="125">
        <v>-3397.6769749504256</v>
      </c>
      <c r="AA153" s="112">
        <v>15891.99</v>
      </c>
      <c r="AB153" s="112">
        <v>35357.550000000003</v>
      </c>
      <c r="AC153" s="8">
        <v>3.3410894172469754</v>
      </c>
      <c r="AD153" s="66"/>
      <c r="AE153" s="66">
        <v>58.314976494291471</v>
      </c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6"/>
      <c r="BB153" s="66"/>
      <c r="BC153" s="66"/>
      <c r="BD153" s="66"/>
      <c r="BE153" s="66"/>
      <c r="BF153" s="66"/>
      <c r="BG153" s="66"/>
      <c r="BH153" s="66"/>
      <c r="BI153" s="188" t="s">
        <v>1</v>
      </c>
      <c r="BJ153" s="204"/>
    </row>
    <row r="154" spans="1:62" ht="12.75" customHeight="1" x14ac:dyDescent="0.35">
      <c r="A154" s="108"/>
      <c r="B154" s="126" t="s">
        <v>1</v>
      </c>
      <c r="C154" s="5" t="s">
        <v>50</v>
      </c>
      <c r="D154" s="5" t="s">
        <v>320</v>
      </c>
      <c r="E154" s="5" t="s">
        <v>402</v>
      </c>
      <c r="F154" s="5">
        <v>1060799</v>
      </c>
      <c r="G154" s="7" t="s">
        <v>436</v>
      </c>
      <c r="H154" s="139">
        <v>13833.230569457908</v>
      </c>
      <c r="I154" s="139">
        <v>2489.9815025024232</v>
      </c>
      <c r="J154" s="125">
        <v>0</v>
      </c>
      <c r="K154" s="125">
        <v>6974</v>
      </c>
      <c r="L154" s="130">
        <v>1255.32</v>
      </c>
      <c r="M154" s="123">
        <v>0.55561858536282582</v>
      </c>
      <c r="N154" s="130">
        <v>1234.6615025024232</v>
      </c>
      <c r="O154" s="130">
        <v>0</v>
      </c>
      <c r="P154" s="123">
        <v>0.84522983486848713</v>
      </c>
      <c r="Q154" s="5">
        <v>24154</v>
      </c>
      <c r="R154" s="5">
        <v>712</v>
      </c>
      <c r="S154" s="5">
        <v>23442</v>
      </c>
      <c r="T154" s="5">
        <v>0</v>
      </c>
      <c r="U154" s="5">
        <v>0</v>
      </c>
      <c r="V154" s="5">
        <v>0</v>
      </c>
      <c r="W154" s="5">
        <v>0</v>
      </c>
      <c r="X154" s="125">
        <v>13833.230569457906</v>
      </c>
      <c r="Y154" s="125">
        <v>50.838449953455751</v>
      </c>
      <c r="Z154" s="125">
        <v>-17294.769430542092</v>
      </c>
      <c r="AA154" s="112">
        <v>94342.63</v>
      </c>
      <c r="AB154" s="112">
        <v>159874.44</v>
      </c>
      <c r="AC154" s="8">
        <v>2.250233583811351</v>
      </c>
      <c r="AD154" s="66"/>
      <c r="AE154" s="66" t="s">
        <v>574</v>
      </c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188" t="s">
        <v>1</v>
      </c>
      <c r="BJ154" s="204"/>
    </row>
    <row r="155" spans="1:62" ht="12.75" customHeight="1" x14ac:dyDescent="0.35">
      <c r="A155" s="108"/>
      <c r="B155" s="126" t="s">
        <v>1</v>
      </c>
      <c r="C155" s="5" t="s">
        <v>2</v>
      </c>
      <c r="D155" s="5" t="s">
        <v>306</v>
      </c>
      <c r="E155" s="5" t="s">
        <v>401</v>
      </c>
      <c r="F155" s="5">
        <v>1075852</v>
      </c>
      <c r="G155" s="7" t="s">
        <v>687</v>
      </c>
      <c r="H155" s="139">
        <v>10129.95017572994</v>
      </c>
      <c r="I155" s="139">
        <v>911.69551581569465</v>
      </c>
      <c r="J155" s="125">
        <v>0</v>
      </c>
      <c r="K155" s="125">
        <v>3648</v>
      </c>
      <c r="L155" s="130">
        <v>328.32</v>
      </c>
      <c r="M155" s="123">
        <v>0.78657839987113709</v>
      </c>
      <c r="N155" s="130">
        <v>583.3755158156946</v>
      </c>
      <c r="O155" s="130">
        <v>0</v>
      </c>
      <c r="P155" s="123">
        <v>0.60102855098037433</v>
      </c>
      <c r="Q155" s="5">
        <v>22721</v>
      </c>
      <c r="R155" s="5">
        <v>4320</v>
      </c>
      <c r="S155" s="5">
        <v>18401</v>
      </c>
      <c r="T155" s="5">
        <v>0</v>
      </c>
      <c r="U155" s="5">
        <v>0</v>
      </c>
      <c r="V155" s="5">
        <v>0</v>
      </c>
      <c r="W155" s="5">
        <v>480</v>
      </c>
      <c r="X155" s="125">
        <v>10129.95017572994</v>
      </c>
      <c r="Y155" s="125">
        <v>54.494838614566234</v>
      </c>
      <c r="Z155" s="125">
        <v>-16239.04982427006</v>
      </c>
      <c r="AA155" s="112">
        <v>3950.68</v>
      </c>
      <c r="AB155" s="112">
        <v>7363.59</v>
      </c>
      <c r="AC155" s="8">
        <v>2.6030730203566783</v>
      </c>
      <c r="AD155" s="66"/>
      <c r="AE155" s="66">
        <v>8.3670715249662617</v>
      </c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BE155" s="66"/>
      <c r="BF155" s="66"/>
      <c r="BG155" s="66"/>
      <c r="BH155" s="66"/>
      <c r="BI155" s="188" t="s">
        <v>1</v>
      </c>
      <c r="BJ155" s="204"/>
    </row>
    <row r="156" spans="1:62" ht="12.75" customHeight="1" x14ac:dyDescent="0.35">
      <c r="A156" s="108"/>
      <c r="B156" s="126" t="s">
        <v>1</v>
      </c>
      <c r="C156" s="5" t="s">
        <v>24</v>
      </c>
      <c r="D156" s="5" t="s">
        <v>316</v>
      </c>
      <c r="E156" s="5" t="s">
        <v>317</v>
      </c>
      <c r="F156" s="5">
        <v>1072239</v>
      </c>
      <c r="G156" s="7" t="s">
        <v>767</v>
      </c>
      <c r="H156" s="139">
        <v>3966.2065017446912</v>
      </c>
      <c r="I156" s="139">
        <v>1507.1584706629826</v>
      </c>
      <c r="J156" s="125">
        <v>0</v>
      </c>
      <c r="K156" s="125">
        <v>3422</v>
      </c>
      <c r="L156" s="130">
        <v>1300.3600000000001</v>
      </c>
      <c r="M156" s="123">
        <v>0.99893941433890521</v>
      </c>
      <c r="N156" s="130">
        <v>206.79847066298248</v>
      </c>
      <c r="O156" s="130">
        <v>9.6038134687977568</v>
      </c>
      <c r="P156" s="123">
        <v>1.3249525447867425</v>
      </c>
      <c r="Q156" s="5">
        <v>9128</v>
      </c>
      <c r="R156" s="5">
        <v>540</v>
      </c>
      <c r="S156" s="5">
        <v>8588</v>
      </c>
      <c r="T156" s="5">
        <v>0</v>
      </c>
      <c r="U156" s="5">
        <v>0</v>
      </c>
      <c r="V156" s="5">
        <v>0</v>
      </c>
      <c r="W156" s="5">
        <v>0</v>
      </c>
      <c r="X156" s="125">
        <v>4716.666666666667</v>
      </c>
      <c r="Y156" s="125">
        <v>54.623321554770314</v>
      </c>
      <c r="Z156" s="125">
        <v>-8583.7934982553088</v>
      </c>
      <c r="AA156" s="112">
        <v>34347.35</v>
      </c>
      <c r="AB156" s="112">
        <v>74372.08</v>
      </c>
      <c r="AC156" s="8">
        <v>3.1642326224011259</v>
      </c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188"/>
      <c r="BJ156" s="204"/>
    </row>
    <row r="157" spans="1:62" x14ac:dyDescent="0.35">
      <c r="A157" s="108"/>
      <c r="B157" s="126" t="s">
        <v>1</v>
      </c>
      <c r="C157" s="5" t="s">
        <v>50</v>
      </c>
      <c r="D157" s="5" t="s">
        <v>320</v>
      </c>
      <c r="E157" s="5" t="s">
        <v>402</v>
      </c>
      <c r="F157" s="5">
        <v>1060792</v>
      </c>
      <c r="G157" s="7" t="s">
        <v>429</v>
      </c>
      <c r="H157" s="139">
        <v>11019.262033524548</v>
      </c>
      <c r="I157" s="139">
        <v>1983.4671660344186</v>
      </c>
      <c r="J157" s="125">
        <v>0</v>
      </c>
      <c r="K157" s="125">
        <v>451</v>
      </c>
      <c r="L157" s="130">
        <v>81.179999999999993</v>
      </c>
      <c r="M157" s="123">
        <v>5.8352364980863811E-2</v>
      </c>
      <c r="N157" s="130">
        <v>1902.2871660344185</v>
      </c>
      <c r="O157" s="130">
        <v>0</v>
      </c>
      <c r="P157" s="123">
        <v>0.87687398781838721</v>
      </c>
      <c r="Q157" s="5">
        <v>20624</v>
      </c>
      <c r="R157" s="5">
        <v>192</v>
      </c>
      <c r="S157" s="5">
        <v>20432</v>
      </c>
      <c r="T157" s="5">
        <v>0</v>
      </c>
      <c r="U157" s="5">
        <v>0</v>
      </c>
      <c r="V157" s="5">
        <v>0</v>
      </c>
      <c r="W157" s="5">
        <v>0</v>
      </c>
      <c r="X157" s="125">
        <v>11019.262033524548</v>
      </c>
      <c r="Y157" s="125">
        <v>55.626229609129517</v>
      </c>
      <c r="Z157" s="125">
        <v>-10055.737966475452</v>
      </c>
      <c r="AA157" s="112">
        <v>76914.45</v>
      </c>
      <c r="AB157" s="112">
        <v>142615.35999999999</v>
      </c>
      <c r="AC157" s="8">
        <v>1.9125600186185145</v>
      </c>
      <c r="AD157" s="66"/>
      <c r="AE157" s="66">
        <v>4.7401500938086309</v>
      </c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6"/>
      <c r="BB157" s="66"/>
      <c r="BC157" s="66"/>
      <c r="BD157" s="66"/>
      <c r="BE157" s="66"/>
      <c r="BF157" s="66"/>
      <c r="BG157" s="66"/>
      <c r="BH157" s="66"/>
      <c r="BI157" s="188" t="s">
        <v>1</v>
      </c>
      <c r="BJ157" s="208" t="s">
        <v>866</v>
      </c>
    </row>
    <row r="158" spans="1:62" ht="12.75" customHeight="1" x14ac:dyDescent="0.35">
      <c r="A158" s="108"/>
      <c r="B158" s="126" t="s">
        <v>31</v>
      </c>
      <c r="C158" s="5" t="s">
        <v>5</v>
      </c>
      <c r="D158" s="5" t="s">
        <v>396</v>
      </c>
      <c r="E158" s="5" t="s">
        <v>397</v>
      </c>
      <c r="F158" s="5">
        <v>1071794</v>
      </c>
      <c r="G158" s="7" t="s">
        <v>660</v>
      </c>
      <c r="H158" s="139">
        <v>250</v>
      </c>
      <c r="I158" s="139">
        <v>125</v>
      </c>
      <c r="J158" s="125">
        <v>0</v>
      </c>
      <c r="K158" s="125">
        <v>372</v>
      </c>
      <c r="L158" s="130">
        <v>186</v>
      </c>
      <c r="M158" s="123">
        <v>1.6719999999999999</v>
      </c>
      <c r="N158" s="130">
        <v>61</v>
      </c>
      <c r="O158" s="130">
        <v>31.800000000000008</v>
      </c>
      <c r="P158" s="123">
        <v>2.3250000000000002</v>
      </c>
      <c r="Q158" s="5">
        <v>972</v>
      </c>
      <c r="R158" s="5">
        <v>46</v>
      </c>
      <c r="S158" s="5">
        <v>926</v>
      </c>
      <c r="T158" s="5">
        <v>0</v>
      </c>
      <c r="U158" s="5">
        <v>0</v>
      </c>
      <c r="V158" s="5">
        <v>1287</v>
      </c>
      <c r="W158" s="5">
        <v>0</v>
      </c>
      <c r="X158" s="125">
        <v>497.61904761904759</v>
      </c>
      <c r="Y158" s="125">
        <v>55.825837320574166</v>
      </c>
      <c r="Z158" s="125">
        <v>-1094</v>
      </c>
      <c r="AA158" s="112">
        <v>1697.5</v>
      </c>
      <c r="AB158" s="112">
        <v>15026.27</v>
      </c>
      <c r="AC158" s="8">
        <v>5.3760000000000003</v>
      </c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BE158" s="66"/>
      <c r="BF158" s="66"/>
      <c r="BG158" s="66"/>
      <c r="BH158" s="66"/>
      <c r="BI158" s="188"/>
      <c r="BJ158" s="204" t="s">
        <v>846</v>
      </c>
    </row>
    <row r="159" spans="1:62" ht="12.75" customHeight="1" x14ac:dyDescent="0.35">
      <c r="A159" s="108"/>
      <c r="B159" s="126" t="s">
        <v>21</v>
      </c>
      <c r="C159" s="5" t="s">
        <v>5</v>
      </c>
      <c r="D159" s="5" t="s">
        <v>308</v>
      </c>
      <c r="E159" s="5" t="s">
        <v>395</v>
      </c>
      <c r="F159" s="5">
        <v>1069121</v>
      </c>
      <c r="G159" s="7" t="s">
        <v>558</v>
      </c>
      <c r="H159" s="139">
        <v>189.23968708906878</v>
      </c>
      <c r="I159" s="139">
        <v>151.39174967125504</v>
      </c>
      <c r="J159" s="125">
        <v>0</v>
      </c>
      <c r="K159" s="125">
        <v>150</v>
      </c>
      <c r="L159" s="130">
        <v>120</v>
      </c>
      <c r="M159" s="123">
        <v>0.79264557190585516</v>
      </c>
      <c r="N159" s="130">
        <v>31.391749671255042</v>
      </c>
      <c r="O159" s="130">
        <v>0</v>
      </c>
      <c r="P159" s="123">
        <v>0.98108097985846188</v>
      </c>
      <c r="Q159" s="5">
        <v>355</v>
      </c>
      <c r="R159" s="5">
        <v>0</v>
      </c>
      <c r="S159" s="5">
        <v>355</v>
      </c>
      <c r="T159" s="5">
        <v>0</v>
      </c>
      <c r="U159" s="5">
        <v>0</v>
      </c>
      <c r="V159" s="5">
        <v>0</v>
      </c>
      <c r="W159" s="5">
        <v>0</v>
      </c>
      <c r="X159" s="125">
        <v>189.23968708906878</v>
      </c>
      <c r="Y159" s="125">
        <v>56.277835605315715</v>
      </c>
      <c r="Z159" s="125">
        <v>-315.76031291093125</v>
      </c>
      <c r="AA159" s="112">
        <v>7522.28</v>
      </c>
      <c r="AB159" s="112">
        <v>14111.25</v>
      </c>
      <c r="AC159" s="8">
        <v>2.6685734254163793</v>
      </c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  <c r="AZ159" s="66"/>
      <c r="BA159" s="66"/>
      <c r="BB159" s="66"/>
      <c r="BC159" s="66"/>
      <c r="BD159" s="66"/>
      <c r="BE159" s="66"/>
      <c r="BF159" s="66"/>
      <c r="BG159" s="66"/>
      <c r="BH159" s="66"/>
      <c r="BI159" s="188"/>
      <c r="BJ159" s="209"/>
    </row>
    <row r="160" spans="1:62" ht="12.75" customHeight="1" x14ac:dyDescent="0.35">
      <c r="A160" s="108"/>
      <c r="B160" s="126" t="s">
        <v>1</v>
      </c>
      <c r="C160" s="5" t="s">
        <v>50</v>
      </c>
      <c r="D160" s="5" t="s">
        <v>320</v>
      </c>
      <c r="E160" s="5" t="s">
        <v>402</v>
      </c>
      <c r="F160" s="5">
        <v>1060795</v>
      </c>
      <c r="G160" s="7" t="s">
        <v>432</v>
      </c>
      <c r="H160" s="139">
        <v>14274.832730379356</v>
      </c>
      <c r="I160" s="139">
        <v>2569.469891468284</v>
      </c>
      <c r="J160" s="125">
        <v>0</v>
      </c>
      <c r="K160" s="125">
        <v>4914</v>
      </c>
      <c r="L160" s="130">
        <v>884.52</v>
      </c>
      <c r="M160" s="123">
        <v>0.40701002314621154</v>
      </c>
      <c r="N160" s="130">
        <v>1684.949891468284</v>
      </c>
      <c r="O160" s="130">
        <v>0</v>
      </c>
      <c r="P160" s="123">
        <v>0.84314457308910851</v>
      </c>
      <c r="Q160" s="5">
        <v>27853</v>
      </c>
      <c r="R160" s="5">
        <v>896</v>
      </c>
      <c r="S160" s="5">
        <v>26957</v>
      </c>
      <c r="T160" s="5">
        <v>0</v>
      </c>
      <c r="U160" s="5">
        <v>24</v>
      </c>
      <c r="V160" s="5">
        <v>0</v>
      </c>
      <c r="W160" s="5">
        <v>400</v>
      </c>
      <c r="X160" s="125">
        <v>14274.832730379354</v>
      </c>
      <c r="Y160" s="125">
        <v>56.652852980821478</v>
      </c>
      <c r="Z160" s="125">
        <v>-18492.167269620644</v>
      </c>
      <c r="AA160" s="112">
        <v>98496.35</v>
      </c>
      <c r="AB160" s="112">
        <v>188928.9</v>
      </c>
      <c r="AC160" s="8">
        <v>2.2954384558402605</v>
      </c>
      <c r="AD160" s="66"/>
      <c r="AE160" s="66">
        <v>53.485240371099245</v>
      </c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66"/>
      <c r="BD160" s="66"/>
      <c r="BE160" s="66"/>
      <c r="BF160" s="66"/>
      <c r="BG160" s="66"/>
      <c r="BH160" s="66"/>
      <c r="BI160" s="188" t="s">
        <v>1</v>
      </c>
      <c r="BJ160" s="204" t="s">
        <v>838</v>
      </c>
    </row>
    <row r="161" spans="1:62" ht="12.75" customHeight="1" x14ac:dyDescent="0.35">
      <c r="A161" s="108"/>
      <c r="B161" s="126" t="s">
        <v>1</v>
      </c>
      <c r="C161" s="5" t="s">
        <v>2</v>
      </c>
      <c r="D161" s="5" t="s">
        <v>310</v>
      </c>
      <c r="E161" s="5" t="s">
        <v>311</v>
      </c>
      <c r="F161" s="135">
        <v>1080744</v>
      </c>
      <c r="G161" s="136" t="s">
        <v>765</v>
      </c>
      <c r="H161" s="139">
        <v>15071.688827088985</v>
      </c>
      <c r="I161" s="139">
        <v>2260.7533240633475</v>
      </c>
      <c r="J161" s="125">
        <v>0</v>
      </c>
      <c r="K161" s="125">
        <v>9405</v>
      </c>
      <c r="L161" s="130">
        <v>1410.75</v>
      </c>
      <c r="M161" s="123">
        <v>0.633571997773546</v>
      </c>
      <c r="N161" s="130">
        <v>850.00332406334746</v>
      </c>
      <c r="O161" s="130">
        <v>0</v>
      </c>
      <c r="P161" s="123">
        <v>0.68900028302871119</v>
      </c>
      <c r="Q161" s="5">
        <v>28737</v>
      </c>
      <c r="R161" s="5">
        <v>144</v>
      </c>
      <c r="S161" s="5">
        <v>28593</v>
      </c>
      <c r="T161" s="5">
        <v>0</v>
      </c>
      <c r="U161" s="5">
        <v>0</v>
      </c>
      <c r="V161" s="5">
        <v>0</v>
      </c>
      <c r="W161" s="5">
        <v>0</v>
      </c>
      <c r="X161" s="125">
        <v>15071.688827088985</v>
      </c>
      <c r="Y161" s="125">
        <v>56.913993504049635</v>
      </c>
      <c r="Z161" s="125">
        <v>-23070.311172911017</v>
      </c>
      <c r="AA161" s="112">
        <v>37829.94</v>
      </c>
      <c r="AB161" s="112">
        <v>71768.429999999993</v>
      </c>
      <c r="AC161" s="8">
        <v>2.5307051145752006</v>
      </c>
      <c r="AD161" s="66"/>
      <c r="AE161" s="66">
        <v>40.312352692310292</v>
      </c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6"/>
      <c r="BB161" s="66"/>
      <c r="BC161" s="66"/>
      <c r="BD161" s="66"/>
      <c r="BE161" s="66"/>
      <c r="BF161" s="66"/>
      <c r="BG161" s="66"/>
      <c r="BH161" s="66"/>
      <c r="BI161" s="188" t="s">
        <v>1</v>
      </c>
      <c r="BJ161" s="204" t="s">
        <v>840</v>
      </c>
    </row>
    <row r="162" spans="1:62" ht="12.75" customHeight="1" x14ac:dyDescent="0.35">
      <c r="A162" s="108"/>
      <c r="B162" s="126" t="s">
        <v>21</v>
      </c>
      <c r="C162" s="5" t="s">
        <v>5</v>
      </c>
      <c r="D162" s="5" t="s">
        <v>396</v>
      </c>
      <c r="E162" s="5" t="s">
        <v>397</v>
      </c>
      <c r="F162" s="5">
        <v>1071793</v>
      </c>
      <c r="G162" s="7" t="s">
        <v>666</v>
      </c>
      <c r="H162" s="139">
        <v>500</v>
      </c>
      <c r="I162" s="139">
        <v>250</v>
      </c>
      <c r="J162" s="125">
        <v>0</v>
      </c>
      <c r="K162" s="125">
        <v>593</v>
      </c>
      <c r="L162" s="130">
        <v>296.5</v>
      </c>
      <c r="M162" s="123">
        <v>1.1879999999999999</v>
      </c>
      <c r="N162" s="130">
        <v>46.5</v>
      </c>
      <c r="O162" s="130">
        <v>15.72</v>
      </c>
      <c r="P162" s="123">
        <v>2.048</v>
      </c>
      <c r="Q162" s="5">
        <v>1347</v>
      </c>
      <c r="R162" s="5">
        <v>1</v>
      </c>
      <c r="S162" s="5">
        <v>1346</v>
      </c>
      <c r="T162" s="5">
        <v>440</v>
      </c>
      <c r="U162" s="5">
        <v>0</v>
      </c>
      <c r="V162" s="5">
        <v>0</v>
      </c>
      <c r="W162" s="5">
        <v>0</v>
      </c>
      <c r="X162" s="125">
        <v>707.14285714285711</v>
      </c>
      <c r="Y162" s="125">
        <v>57.103030303030302</v>
      </c>
      <c r="Z162" s="125">
        <v>-1880</v>
      </c>
      <c r="AA162" s="112">
        <v>3585</v>
      </c>
      <c r="AB162" s="112">
        <v>12805.62</v>
      </c>
      <c r="AC162" s="8">
        <v>4.76</v>
      </c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  <c r="BD162" s="66"/>
      <c r="BE162" s="66"/>
      <c r="BF162" s="66"/>
      <c r="BG162" s="66"/>
      <c r="BH162" s="66"/>
      <c r="BI162" s="188"/>
      <c r="BJ162" s="204" t="s">
        <v>848</v>
      </c>
    </row>
    <row r="163" spans="1:62" ht="12.75" customHeight="1" x14ac:dyDescent="0.35">
      <c r="A163" s="108"/>
      <c r="B163" s="126" t="s">
        <v>1</v>
      </c>
      <c r="C163" s="5" t="s">
        <v>50</v>
      </c>
      <c r="D163" s="5" t="s">
        <v>310</v>
      </c>
      <c r="E163" s="5" t="s">
        <v>403</v>
      </c>
      <c r="F163" s="5">
        <v>1061420</v>
      </c>
      <c r="G163" s="7" t="s">
        <v>537</v>
      </c>
      <c r="H163" s="139">
        <v>11086.494932677591</v>
      </c>
      <c r="I163" s="139">
        <v>1441.2443412480868</v>
      </c>
      <c r="J163" s="125">
        <v>0</v>
      </c>
      <c r="K163" s="125">
        <v>6391</v>
      </c>
      <c r="L163" s="130">
        <v>830.83</v>
      </c>
      <c r="M163" s="123">
        <v>0.66865136772399403</v>
      </c>
      <c r="N163" s="130">
        <v>610.41434124808677</v>
      </c>
      <c r="O163" s="130">
        <v>0</v>
      </c>
      <c r="P163" s="123">
        <v>0.55644666109728336</v>
      </c>
      <c r="Q163" s="5">
        <v>22839</v>
      </c>
      <c r="R163" s="5">
        <v>1022</v>
      </c>
      <c r="S163" s="5">
        <v>21817</v>
      </c>
      <c r="T163" s="5">
        <v>0</v>
      </c>
      <c r="U163" s="5">
        <v>0</v>
      </c>
      <c r="V163" s="5">
        <v>0</v>
      </c>
      <c r="W163" s="5">
        <v>140</v>
      </c>
      <c r="X163" s="125">
        <v>11086.494932677591</v>
      </c>
      <c r="Y163" s="125">
        <v>59.036693199653484</v>
      </c>
      <c r="Z163" s="125">
        <v>-18143.50506732241</v>
      </c>
      <c r="AA163" s="112">
        <v>49556.63</v>
      </c>
      <c r="AB163" s="112">
        <v>98147.79</v>
      </c>
      <c r="AC163" s="8">
        <v>2.6365411410457771</v>
      </c>
      <c r="AD163" s="66"/>
      <c r="AE163" s="66" t="s">
        <v>574</v>
      </c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  <c r="BD163" s="66"/>
      <c r="BE163" s="66"/>
      <c r="BF163" s="66"/>
      <c r="BG163" s="66"/>
      <c r="BH163" s="66"/>
      <c r="BI163" s="188" t="s">
        <v>1</v>
      </c>
      <c r="BJ163" s="204"/>
    </row>
    <row r="164" spans="1:62" ht="12.75" customHeight="1" x14ac:dyDescent="0.35">
      <c r="A164" s="108"/>
      <c r="B164" s="126" t="s">
        <v>21</v>
      </c>
      <c r="C164" s="5" t="s">
        <v>5</v>
      </c>
      <c r="D164" s="5" t="s">
        <v>308</v>
      </c>
      <c r="E164" s="5" t="s">
        <v>395</v>
      </c>
      <c r="F164" s="5">
        <v>1069126</v>
      </c>
      <c r="G164" s="7" t="s">
        <v>556</v>
      </c>
      <c r="H164" s="139">
        <v>1389.4172159893565</v>
      </c>
      <c r="I164" s="139">
        <v>694.70860799467823</v>
      </c>
      <c r="J164" s="125">
        <v>0</v>
      </c>
      <c r="K164" s="125">
        <v>1073</v>
      </c>
      <c r="L164" s="130">
        <v>536.5</v>
      </c>
      <c r="M164" s="123">
        <v>0.77226623339048917</v>
      </c>
      <c r="N164" s="130">
        <v>158.20860799467823</v>
      </c>
      <c r="O164" s="130">
        <v>16.61316057827306</v>
      </c>
      <c r="P164" s="123">
        <v>1.5537072973394694</v>
      </c>
      <c r="Q164" s="5">
        <v>2741</v>
      </c>
      <c r="R164" s="5">
        <v>0</v>
      </c>
      <c r="S164" s="5">
        <v>2741</v>
      </c>
      <c r="T164" s="5">
        <v>0</v>
      </c>
      <c r="U164" s="5">
        <v>0</v>
      </c>
      <c r="V164" s="5">
        <v>0</v>
      </c>
      <c r="W164" s="5">
        <v>0</v>
      </c>
      <c r="X164" s="125">
        <v>1389.4172159893565</v>
      </c>
      <c r="Y164" s="125">
        <v>59.183087019291627</v>
      </c>
      <c r="Z164" s="125">
        <v>-2424.5827840106435</v>
      </c>
      <c r="AA164" s="112">
        <v>21633.23</v>
      </c>
      <c r="AB164" s="112">
        <v>42677.37</v>
      </c>
      <c r="AC164" s="8">
        <v>2.7450358007002102</v>
      </c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  <c r="AW164" s="66"/>
      <c r="AX164" s="66"/>
      <c r="AY164" s="66"/>
      <c r="AZ164" s="66"/>
      <c r="BA164" s="66"/>
      <c r="BB164" s="66"/>
      <c r="BC164" s="66"/>
      <c r="BD164" s="66"/>
      <c r="BE164" s="66"/>
      <c r="BF164" s="66"/>
      <c r="BG164" s="66"/>
      <c r="BH164" s="66"/>
      <c r="BI164" s="188" t="s">
        <v>1</v>
      </c>
      <c r="BJ164" s="204"/>
    </row>
    <row r="165" spans="1:62" ht="12.75" customHeight="1" x14ac:dyDescent="0.35">
      <c r="A165" s="108"/>
      <c r="B165" s="126" t="s">
        <v>21</v>
      </c>
      <c r="C165" s="5" t="s">
        <v>5</v>
      </c>
      <c r="D165" s="5" t="s">
        <v>308</v>
      </c>
      <c r="E165" s="5" t="s">
        <v>395</v>
      </c>
      <c r="F165" s="5">
        <v>1069142</v>
      </c>
      <c r="G165" s="7" t="s">
        <v>559</v>
      </c>
      <c r="H165" s="139">
        <v>1190.5569828550022</v>
      </c>
      <c r="I165" s="139">
        <v>595.27849142750108</v>
      </c>
      <c r="J165" s="125">
        <v>0</v>
      </c>
      <c r="K165" s="125">
        <v>1302</v>
      </c>
      <c r="L165" s="130">
        <v>651</v>
      </c>
      <c r="M165" s="123">
        <v>1.154081677556579</v>
      </c>
      <c r="N165" s="130">
        <v>55.721508572498919</v>
      </c>
      <c r="O165" s="130">
        <v>19.220850182674624</v>
      </c>
      <c r="P165" s="123">
        <v>1.6743043370774231</v>
      </c>
      <c r="Q165" s="5">
        <v>3314</v>
      </c>
      <c r="R165" s="5">
        <v>72</v>
      </c>
      <c r="S165" s="5">
        <v>3242</v>
      </c>
      <c r="T165" s="5">
        <v>0</v>
      </c>
      <c r="U165" s="5">
        <v>5</v>
      </c>
      <c r="V165" s="5">
        <v>0</v>
      </c>
      <c r="W165" s="5">
        <v>0</v>
      </c>
      <c r="X165" s="125">
        <v>1635.714285714286</v>
      </c>
      <c r="Y165" s="125">
        <v>59.460262008733615</v>
      </c>
      <c r="Z165" s="125">
        <v>-3425.4430171449976</v>
      </c>
      <c r="AA165" s="112">
        <v>20620.45</v>
      </c>
      <c r="AB165" s="112">
        <v>56238.04</v>
      </c>
      <c r="AC165" s="8">
        <v>3.8771768730721745</v>
      </c>
      <c r="AD165" s="66"/>
      <c r="AE165" s="66">
        <v>23.572447992259317</v>
      </c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6"/>
      <c r="BD165" s="66"/>
      <c r="BE165" s="66"/>
      <c r="BF165" s="66"/>
      <c r="BG165" s="66"/>
      <c r="BH165" s="66"/>
      <c r="BI165" s="188" t="s">
        <v>1</v>
      </c>
      <c r="BJ165" s="204"/>
    </row>
    <row r="166" spans="1:62" ht="12.75" customHeight="1" x14ac:dyDescent="0.35">
      <c r="A166" s="108"/>
      <c r="B166" s="126" t="s">
        <v>1</v>
      </c>
      <c r="C166" s="5" t="s">
        <v>2</v>
      </c>
      <c r="D166" s="5" t="s">
        <v>310</v>
      </c>
      <c r="E166" s="5" t="s">
        <v>311</v>
      </c>
      <c r="F166" s="150">
        <v>1068295</v>
      </c>
      <c r="G166" s="151" t="s">
        <v>566</v>
      </c>
      <c r="H166" s="139">
        <v>786.80434449646077</v>
      </c>
      <c r="I166" s="139">
        <v>424.87434602808884</v>
      </c>
      <c r="J166" s="125">
        <v>0</v>
      </c>
      <c r="K166" s="125">
        <v>612</v>
      </c>
      <c r="L166" s="130">
        <v>330.48</v>
      </c>
      <c r="M166" s="123">
        <v>0.77782997041236202</v>
      </c>
      <c r="N166" s="130">
        <v>94.394346028088819</v>
      </c>
      <c r="O166" s="130">
        <v>0</v>
      </c>
      <c r="P166" s="123">
        <v>0.9093124682301944</v>
      </c>
      <c r="Q166" s="5">
        <v>1564</v>
      </c>
      <c r="R166" s="5">
        <v>0</v>
      </c>
      <c r="S166" s="5">
        <v>1564</v>
      </c>
      <c r="T166" s="5">
        <v>0</v>
      </c>
      <c r="U166" s="5">
        <v>0</v>
      </c>
      <c r="V166" s="5">
        <v>0</v>
      </c>
      <c r="W166" s="5">
        <v>0</v>
      </c>
      <c r="X166" s="125">
        <v>786.80434449646077</v>
      </c>
      <c r="Y166" s="125">
        <v>59.633631064947757</v>
      </c>
      <c r="Z166" s="125">
        <v>-1389.1956555035392</v>
      </c>
      <c r="AA166" s="112">
        <v>6483.27</v>
      </c>
      <c r="AB166" s="112">
        <v>12887.36</v>
      </c>
      <c r="AC166" s="8">
        <v>2.765617672577287</v>
      </c>
      <c r="AD166" s="66"/>
      <c r="AE166" s="66">
        <v>0</v>
      </c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  <c r="AW166" s="66"/>
      <c r="AX166" s="66"/>
      <c r="AY166" s="66"/>
      <c r="AZ166" s="66"/>
      <c r="BA166" s="66"/>
      <c r="BB166" s="66"/>
      <c r="BC166" s="66"/>
      <c r="BD166" s="66"/>
      <c r="BE166" s="66"/>
      <c r="BF166" s="66"/>
      <c r="BG166" s="66"/>
      <c r="BH166" s="66"/>
      <c r="BI166" s="188" t="s">
        <v>1</v>
      </c>
      <c r="BJ166" s="204"/>
    </row>
    <row r="167" spans="1:62" ht="12.75" customHeight="1" x14ac:dyDescent="0.35">
      <c r="A167" s="108"/>
      <c r="B167" s="126" t="s">
        <v>1</v>
      </c>
      <c r="C167" s="5" t="s">
        <v>5</v>
      </c>
      <c r="D167" s="5" t="s">
        <v>396</v>
      </c>
      <c r="E167" s="5" t="s">
        <v>307</v>
      </c>
      <c r="F167" s="5">
        <v>1067889</v>
      </c>
      <c r="G167" s="7" t="s">
        <v>542</v>
      </c>
      <c r="H167" s="139">
        <v>1192.2300969696767</v>
      </c>
      <c r="I167" s="139">
        <v>453.0474368484771</v>
      </c>
      <c r="J167" s="125">
        <v>0</v>
      </c>
      <c r="K167" s="125">
        <v>906</v>
      </c>
      <c r="L167" s="130">
        <v>344.28000000000003</v>
      </c>
      <c r="M167" s="123">
        <v>0.88070247737312901</v>
      </c>
      <c r="N167" s="130">
        <v>108.76743684847708</v>
      </c>
      <c r="O167" s="130">
        <v>0</v>
      </c>
      <c r="P167" s="123">
        <v>0.81641455390285755</v>
      </c>
      <c r="Q167" s="5">
        <v>2654</v>
      </c>
      <c r="R167" s="5">
        <v>144</v>
      </c>
      <c r="S167" s="5">
        <v>2510</v>
      </c>
      <c r="T167" s="5">
        <v>0</v>
      </c>
      <c r="U167" s="5">
        <v>0</v>
      </c>
      <c r="V167" s="5">
        <v>0</v>
      </c>
      <c r="W167" s="5">
        <v>0</v>
      </c>
      <c r="X167" s="125">
        <v>1250</v>
      </c>
      <c r="Y167" s="125">
        <v>60.24</v>
      </c>
      <c r="Z167" s="125">
        <v>-2367.7699030303233</v>
      </c>
      <c r="AA167" s="112">
        <v>3207.1</v>
      </c>
      <c r="AB167" s="112">
        <v>6751.9</v>
      </c>
      <c r="AC167" s="8">
        <v>2.9860007804269895</v>
      </c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6"/>
      <c r="BD167" s="66"/>
      <c r="BE167" s="66"/>
      <c r="BF167" s="66"/>
      <c r="BG167" s="66"/>
      <c r="BH167" s="66"/>
      <c r="BI167" s="189"/>
      <c r="BJ167" s="204"/>
    </row>
    <row r="168" spans="1:62" ht="12.75" customHeight="1" x14ac:dyDescent="0.35">
      <c r="A168" s="108"/>
      <c r="B168" s="126" t="s">
        <v>1</v>
      </c>
      <c r="C168" s="5" t="s">
        <v>2</v>
      </c>
      <c r="D168" s="5" t="s">
        <v>306</v>
      </c>
      <c r="E168" s="5" t="s">
        <v>401</v>
      </c>
      <c r="F168" s="56">
        <v>1076365</v>
      </c>
      <c r="G168" s="65" t="s">
        <v>724</v>
      </c>
      <c r="H168" s="139">
        <v>11478.426642662567</v>
      </c>
      <c r="I168" s="139">
        <v>10330.583978396311</v>
      </c>
      <c r="J168" s="125">
        <v>0</v>
      </c>
      <c r="K168" s="125">
        <v>5694</v>
      </c>
      <c r="L168" s="130">
        <v>5124.6000000000004</v>
      </c>
      <c r="M168" s="123">
        <v>0.55460562655330303</v>
      </c>
      <c r="N168" s="130">
        <v>5205.9839783963107</v>
      </c>
      <c r="O168" s="130">
        <v>0</v>
      </c>
      <c r="P168" s="123">
        <v>0.6017033910827152</v>
      </c>
      <c r="Q168" s="5">
        <v>24321</v>
      </c>
      <c r="R168" s="5">
        <v>672</v>
      </c>
      <c r="S168" s="5">
        <v>23649</v>
      </c>
      <c r="T168" s="5">
        <v>0</v>
      </c>
      <c r="U168" s="5">
        <v>0</v>
      </c>
      <c r="V168" s="5">
        <v>0</v>
      </c>
      <c r="W168" s="5">
        <v>765</v>
      </c>
      <c r="X168" s="125">
        <v>11478.426642662567</v>
      </c>
      <c r="Y168" s="125">
        <v>61.808993696319817</v>
      </c>
      <c r="Z168" s="125">
        <v>-18536.573357337431</v>
      </c>
      <c r="AA168" s="112">
        <v>214761.36</v>
      </c>
      <c r="AB168" s="112">
        <v>456785.94</v>
      </c>
      <c r="AC168" s="8">
        <v>2.6149054164306298</v>
      </c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6"/>
      <c r="BB168" s="66"/>
      <c r="BC168" s="66"/>
      <c r="BD168" s="66"/>
      <c r="BE168" s="66"/>
      <c r="BF168" s="66"/>
      <c r="BG168" s="66"/>
      <c r="BH168" s="66"/>
      <c r="BI168" s="188" t="s">
        <v>1</v>
      </c>
      <c r="BJ168" s="204" t="s">
        <v>836</v>
      </c>
    </row>
    <row r="169" spans="1:62" ht="12.75" customHeight="1" x14ac:dyDescent="0.35">
      <c r="A169" s="108"/>
      <c r="B169" s="126" t="s">
        <v>1</v>
      </c>
      <c r="C169" s="5" t="s">
        <v>50</v>
      </c>
      <c r="D169" s="5" t="s">
        <v>316</v>
      </c>
      <c r="E169" s="5" t="s">
        <v>408</v>
      </c>
      <c r="F169" s="5">
        <v>1060662</v>
      </c>
      <c r="G169" s="7" t="s">
        <v>426</v>
      </c>
      <c r="H169" s="139">
        <v>1292.415931129472</v>
      </c>
      <c r="I169" s="139">
        <v>2946.7083229751961</v>
      </c>
      <c r="J169" s="125">
        <v>0</v>
      </c>
      <c r="K169" s="125">
        <v>723</v>
      </c>
      <c r="L169" s="130">
        <v>1648.4399999999998</v>
      </c>
      <c r="M169" s="123">
        <v>0.71726135346372077</v>
      </c>
      <c r="N169" s="130">
        <v>1298.2683229751963</v>
      </c>
      <c r="O169" s="130">
        <v>0</v>
      </c>
      <c r="P169" s="123">
        <v>0.57671906308352516</v>
      </c>
      <c r="Q169" s="5">
        <v>2896</v>
      </c>
      <c r="R169" s="5">
        <v>204</v>
      </c>
      <c r="S169" s="5">
        <v>2692</v>
      </c>
      <c r="T169" s="5">
        <v>0</v>
      </c>
      <c r="U169" s="5">
        <v>0</v>
      </c>
      <c r="V169" s="5">
        <v>0</v>
      </c>
      <c r="W169" s="5">
        <v>0</v>
      </c>
      <c r="X169" s="125">
        <v>1292.415931129472</v>
      </c>
      <c r="Y169" s="125">
        <v>62.487623415027066</v>
      </c>
      <c r="Z169" s="125">
        <v>-2326.584068870528</v>
      </c>
      <c r="AA169" s="112">
        <v>15987.19</v>
      </c>
      <c r="AB169" s="112">
        <v>33300.04</v>
      </c>
      <c r="AC169" s="8">
        <v>2.8001821339646229</v>
      </c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66"/>
      <c r="AX169" s="66"/>
      <c r="AY169" s="66"/>
      <c r="AZ169" s="66"/>
      <c r="BA169" s="66"/>
      <c r="BB169" s="66"/>
      <c r="BC169" s="66"/>
      <c r="BD169" s="66"/>
      <c r="BE169" s="66"/>
      <c r="BF169" s="66"/>
      <c r="BG169" s="66"/>
      <c r="BH169" s="66"/>
      <c r="BI169" s="188"/>
      <c r="BJ169" s="204"/>
    </row>
    <row r="170" spans="1:62" ht="12.75" customHeight="1" x14ac:dyDescent="0.35">
      <c r="A170" s="108"/>
      <c r="B170" s="126" t="s">
        <v>21</v>
      </c>
      <c r="C170" s="5" t="s">
        <v>5</v>
      </c>
      <c r="D170" s="5" t="s">
        <v>308</v>
      </c>
      <c r="E170" s="5" t="s">
        <v>372</v>
      </c>
      <c r="F170" s="5">
        <v>1089904</v>
      </c>
      <c r="G170" s="169" t="s">
        <v>796</v>
      </c>
      <c r="H170" s="139">
        <v>1950</v>
      </c>
      <c r="I170" s="139">
        <v>842.4</v>
      </c>
      <c r="J170" s="125">
        <v>0</v>
      </c>
      <c r="K170" s="125">
        <v>0</v>
      </c>
      <c r="L170" s="130">
        <v>0</v>
      </c>
      <c r="M170" s="123">
        <v>0</v>
      </c>
      <c r="N170" s="130">
        <v>842.4</v>
      </c>
      <c r="O170" s="130">
        <v>0</v>
      </c>
      <c r="P170" s="123">
        <v>0</v>
      </c>
      <c r="Q170" s="5">
        <v>4097</v>
      </c>
      <c r="R170" s="5">
        <v>0</v>
      </c>
      <c r="S170" s="5">
        <v>4097</v>
      </c>
      <c r="T170" s="5">
        <v>0</v>
      </c>
      <c r="U170" s="5">
        <v>0</v>
      </c>
      <c r="V170" s="5">
        <v>0</v>
      </c>
      <c r="W170" s="5">
        <v>0</v>
      </c>
      <c r="X170" s="125">
        <v>1950</v>
      </c>
      <c r="Y170" s="125">
        <v>63.030769230769231</v>
      </c>
      <c r="Z170" s="125">
        <v>-2147</v>
      </c>
      <c r="AA170" s="112">
        <v>22717.5</v>
      </c>
      <c r="AB170" s="112">
        <v>47730.05</v>
      </c>
      <c r="AC170" s="8">
        <v>2.1010256410256409</v>
      </c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6"/>
      <c r="BD170" s="66"/>
      <c r="BE170" s="66"/>
      <c r="BF170" s="66"/>
      <c r="BG170" s="66"/>
      <c r="BH170" s="66"/>
      <c r="BI170" s="189"/>
      <c r="BJ170" s="204"/>
    </row>
    <row r="171" spans="1:62" ht="12.75" customHeight="1" x14ac:dyDescent="0.35">
      <c r="A171" s="108"/>
      <c r="B171" s="126" t="s">
        <v>1</v>
      </c>
      <c r="C171" s="5" t="s">
        <v>2</v>
      </c>
      <c r="D171" s="5" t="s">
        <v>310</v>
      </c>
      <c r="E171" s="5" t="s">
        <v>311</v>
      </c>
      <c r="F171" s="135">
        <v>1080750</v>
      </c>
      <c r="G171" s="136" t="s">
        <v>770</v>
      </c>
      <c r="H171" s="139">
        <v>4103.8562111569854</v>
      </c>
      <c r="I171" s="139">
        <v>2462.3137266941917</v>
      </c>
      <c r="J171" s="125">
        <v>0</v>
      </c>
      <c r="K171" s="125">
        <v>3499</v>
      </c>
      <c r="L171" s="130">
        <v>2099.4</v>
      </c>
      <c r="M171" s="123">
        <v>0.88575228101746717</v>
      </c>
      <c r="N171" s="130">
        <v>362.91372669419161</v>
      </c>
      <c r="O171" s="130">
        <v>0</v>
      </c>
      <c r="P171" s="123">
        <v>0.81485727517424944</v>
      </c>
      <c r="Q171" s="5">
        <v>9464</v>
      </c>
      <c r="R171" s="5">
        <v>136</v>
      </c>
      <c r="S171" s="5">
        <v>9328</v>
      </c>
      <c r="T171" s="5">
        <v>0</v>
      </c>
      <c r="U171" s="5">
        <v>0</v>
      </c>
      <c r="V171" s="5">
        <v>0</v>
      </c>
      <c r="W171" s="5">
        <v>0</v>
      </c>
      <c r="X171" s="125">
        <v>4327.3809523809523</v>
      </c>
      <c r="Y171" s="125">
        <v>64.66729023383769</v>
      </c>
      <c r="Z171" s="125">
        <v>-8859.1437888430155</v>
      </c>
      <c r="AA171" s="112">
        <v>43541.91</v>
      </c>
      <c r="AB171" s="112">
        <v>98970.08</v>
      </c>
      <c r="AC171" s="8">
        <v>3.1587364013285906</v>
      </c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66"/>
      <c r="AX171" s="66"/>
      <c r="AY171" s="66"/>
      <c r="AZ171" s="66"/>
      <c r="BA171" s="66"/>
      <c r="BB171" s="66"/>
      <c r="BC171" s="66"/>
      <c r="BD171" s="66"/>
      <c r="BE171" s="66"/>
      <c r="BF171" s="66"/>
      <c r="BG171" s="66"/>
      <c r="BH171" s="66"/>
      <c r="BI171" s="188" t="s">
        <v>1</v>
      </c>
      <c r="BJ171" s="204" t="s">
        <v>839</v>
      </c>
    </row>
    <row r="172" spans="1:62" ht="12.75" customHeight="1" x14ac:dyDescent="0.35">
      <c r="A172" s="108"/>
      <c r="B172" s="126" t="s">
        <v>31</v>
      </c>
      <c r="C172" s="5" t="s">
        <v>5</v>
      </c>
      <c r="D172" s="5" t="s">
        <v>306</v>
      </c>
      <c r="E172" s="5" t="s">
        <v>404</v>
      </c>
      <c r="F172" s="5">
        <v>1072597</v>
      </c>
      <c r="G172" s="7" t="s">
        <v>611</v>
      </c>
      <c r="H172" s="139">
        <v>1086.8377610651905</v>
      </c>
      <c r="I172" s="139">
        <v>543.41888053259527</v>
      </c>
      <c r="J172" s="125">
        <v>0</v>
      </c>
      <c r="K172" s="125">
        <v>336</v>
      </c>
      <c r="L172" s="130">
        <v>168</v>
      </c>
      <c r="M172" s="123">
        <v>0.69559600069384575</v>
      </c>
      <c r="N172" s="130">
        <v>375.41888053259527</v>
      </c>
      <c r="O172" s="130">
        <v>0</v>
      </c>
      <c r="P172" s="123">
        <v>0.67296750701748242</v>
      </c>
      <c r="Q172" s="5">
        <v>2780</v>
      </c>
      <c r="R172" s="5">
        <v>420</v>
      </c>
      <c r="S172" s="5">
        <v>2360</v>
      </c>
      <c r="T172" s="5">
        <v>0</v>
      </c>
      <c r="U172" s="5">
        <v>0</v>
      </c>
      <c r="V172" s="5">
        <v>0</v>
      </c>
      <c r="W172" s="5">
        <v>0</v>
      </c>
      <c r="X172" s="125">
        <v>1086.8377610651905</v>
      </c>
      <c r="Y172" s="125">
        <v>65.143117525296674</v>
      </c>
      <c r="Z172" s="125">
        <v>-2029.1622389348095</v>
      </c>
      <c r="AA172" s="112">
        <v>8390.39</v>
      </c>
      <c r="AB172" s="112">
        <v>18219.2</v>
      </c>
      <c r="AC172" s="8">
        <v>2.8670332515370678</v>
      </c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66"/>
      <c r="AX172" s="66"/>
      <c r="AY172" s="66"/>
      <c r="AZ172" s="66"/>
      <c r="BA172" s="66"/>
      <c r="BB172" s="66"/>
      <c r="BC172" s="66"/>
      <c r="BD172" s="66"/>
      <c r="BE172" s="66"/>
      <c r="BF172" s="66"/>
      <c r="BG172" s="66"/>
      <c r="BH172" s="66"/>
      <c r="BI172" s="188" t="s">
        <v>1</v>
      </c>
      <c r="BJ172" s="204"/>
    </row>
    <row r="173" spans="1:62" ht="12.75" customHeight="1" x14ac:dyDescent="0.35">
      <c r="A173" s="108"/>
      <c r="B173" s="126" t="s">
        <v>1</v>
      </c>
      <c r="C173" s="5" t="s">
        <v>2</v>
      </c>
      <c r="D173" s="5" t="s">
        <v>310</v>
      </c>
      <c r="E173" s="5" t="s">
        <v>311</v>
      </c>
      <c r="F173" s="56">
        <v>1068803</v>
      </c>
      <c r="G173" s="65" t="s">
        <v>561</v>
      </c>
      <c r="H173" s="139">
        <v>19507.174123599438</v>
      </c>
      <c r="I173" s="139">
        <v>2926.0761185399156</v>
      </c>
      <c r="J173" s="125">
        <v>0</v>
      </c>
      <c r="K173" s="125">
        <v>11240</v>
      </c>
      <c r="L173" s="130">
        <v>1686</v>
      </c>
      <c r="M173" s="123">
        <v>0.5805556421572724</v>
      </c>
      <c r="N173" s="130">
        <v>1240.0761185399156</v>
      </c>
      <c r="O173" s="130">
        <v>0</v>
      </c>
      <c r="P173" s="123">
        <v>0.91237161551781487</v>
      </c>
      <c r="Q173" s="5">
        <v>43951</v>
      </c>
      <c r="R173" s="5">
        <v>85</v>
      </c>
      <c r="S173" s="5">
        <v>43866</v>
      </c>
      <c r="T173" s="5">
        <v>0</v>
      </c>
      <c r="U173" s="5">
        <v>0</v>
      </c>
      <c r="V173" s="5">
        <v>0</v>
      </c>
      <c r="W173" s="5">
        <v>360</v>
      </c>
      <c r="X173" s="125">
        <v>19507.174123599438</v>
      </c>
      <c r="Y173" s="125">
        <v>67.46133456654546</v>
      </c>
      <c r="Z173" s="125">
        <v>-35683.825876400559</v>
      </c>
      <c r="AA173" s="112">
        <v>41745.35</v>
      </c>
      <c r="AB173" s="112">
        <v>94643.64</v>
      </c>
      <c r="AC173" s="8">
        <v>2.8292667943754544</v>
      </c>
      <c r="AD173" s="66"/>
      <c r="AE173" s="66">
        <v>21.299374464661145</v>
      </c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BE173" s="66"/>
      <c r="BF173" s="66"/>
      <c r="BG173" s="66"/>
      <c r="BH173" s="66"/>
      <c r="BI173" s="188" t="s">
        <v>1</v>
      </c>
      <c r="BJ173" s="204" t="s">
        <v>841</v>
      </c>
    </row>
    <row r="174" spans="1:62" ht="12.75" customHeight="1" x14ac:dyDescent="0.35">
      <c r="A174" s="108"/>
      <c r="B174" s="126" t="s">
        <v>1</v>
      </c>
      <c r="C174" s="5" t="s">
        <v>2</v>
      </c>
      <c r="D174" s="5" t="s">
        <v>396</v>
      </c>
      <c r="E174" s="5" t="s">
        <v>397</v>
      </c>
      <c r="F174" s="5">
        <v>1043305</v>
      </c>
      <c r="G174" s="7" t="s">
        <v>128</v>
      </c>
      <c r="H174" s="139">
        <v>5113.9208468013439</v>
      </c>
      <c r="I174" s="139">
        <v>5113.9208468013439</v>
      </c>
      <c r="J174" s="125">
        <v>0</v>
      </c>
      <c r="K174" s="125">
        <v>2416</v>
      </c>
      <c r="L174" s="130">
        <v>2416</v>
      </c>
      <c r="M174" s="123">
        <v>0.52171319813617789</v>
      </c>
      <c r="N174" s="130">
        <v>2697.9208468013439</v>
      </c>
      <c r="O174" s="130">
        <v>0</v>
      </c>
      <c r="P174" s="123">
        <v>0.42951850545405063</v>
      </c>
      <c r="Q174" s="5">
        <v>12417</v>
      </c>
      <c r="R174" s="5">
        <v>252</v>
      </c>
      <c r="S174" s="5">
        <v>12165</v>
      </c>
      <c r="T174" s="5">
        <v>0</v>
      </c>
      <c r="U174" s="5">
        <v>0</v>
      </c>
      <c r="V174" s="5">
        <v>0</v>
      </c>
      <c r="W174" s="5">
        <v>0</v>
      </c>
      <c r="X174" s="125">
        <v>5113.9208468013439</v>
      </c>
      <c r="Y174" s="125">
        <v>71.364029857495538</v>
      </c>
      <c r="Z174" s="125">
        <v>-9719.0791531986561</v>
      </c>
      <c r="AA174" s="112">
        <v>152803.95000000001</v>
      </c>
      <c r="AB174" s="112">
        <v>363490.2</v>
      </c>
      <c r="AC174" s="8">
        <v>2.9005141933860292</v>
      </c>
      <c r="AD174" s="66"/>
      <c r="AE174" s="66">
        <v>62.451143451143452</v>
      </c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  <c r="BF174" s="66"/>
      <c r="BG174" s="66"/>
      <c r="BH174" s="66"/>
      <c r="BI174" s="188" t="s">
        <v>1</v>
      </c>
      <c r="BJ174" s="204"/>
    </row>
    <row r="175" spans="1:62" ht="12.75" customHeight="1" x14ac:dyDescent="0.35">
      <c r="A175" s="108"/>
      <c r="B175" s="126" t="s">
        <v>9</v>
      </c>
      <c r="C175" s="5" t="s">
        <v>5</v>
      </c>
      <c r="D175" s="5" t="s">
        <v>308</v>
      </c>
      <c r="E175" s="5" t="s">
        <v>315</v>
      </c>
      <c r="F175" s="142">
        <v>1080402</v>
      </c>
      <c r="G175" s="143" t="s">
        <v>742</v>
      </c>
      <c r="H175" s="139">
        <v>4745.8238832068637</v>
      </c>
      <c r="I175" s="139">
        <v>949.16477664137278</v>
      </c>
      <c r="J175" s="125">
        <v>0</v>
      </c>
      <c r="K175" s="125">
        <v>1004</v>
      </c>
      <c r="L175" s="130">
        <v>200.8</v>
      </c>
      <c r="M175" s="123">
        <v>0.21492580110468876</v>
      </c>
      <c r="N175" s="130">
        <v>748.36477664137283</v>
      </c>
      <c r="O175" s="130">
        <v>0</v>
      </c>
      <c r="P175" s="123">
        <v>0.45023366338569287</v>
      </c>
      <c r="Q175" s="5">
        <v>11653</v>
      </c>
      <c r="R175" s="5">
        <v>16</v>
      </c>
      <c r="S175" s="5">
        <v>11637</v>
      </c>
      <c r="T175" s="5">
        <v>0</v>
      </c>
      <c r="U175" s="5">
        <v>0</v>
      </c>
      <c r="V175" s="5">
        <v>0</v>
      </c>
      <c r="W175" s="5">
        <v>0</v>
      </c>
      <c r="X175" s="125">
        <v>4745.8238832068637</v>
      </c>
      <c r="Y175" s="125">
        <v>73.561516101625386</v>
      </c>
      <c r="Z175" s="125">
        <v>-7911.1761167931363</v>
      </c>
      <c r="AA175" s="112">
        <v>30895.31</v>
      </c>
      <c r="AB175" s="112">
        <v>75756.87</v>
      </c>
      <c r="AC175" s="8">
        <v>2.6669763378255347</v>
      </c>
      <c r="AD175" s="66"/>
      <c r="AE175" s="66">
        <v>104.89112227805695</v>
      </c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  <c r="BD175" s="66"/>
      <c r="BE175" s="66"/>
      <c r="BF175" s="66"/>
      <c r="BG175" s="66"/>
      <c r="BH175" s="66"/>
      <c r="BI175" s="188" t="s">
        <v>1</v>
      </c>
      <c r="BJ175" s="204"/>
    </row>
    <row r="176" spans="1:62" ht="12.75" customHeight="1" x14ac:dyDescent="0.35">
      <c r="A176" s="108"/>
      <c r="B176" s="126" t="s">
        <v>1</v>
      </c>
      <c r="C176" s="5" t="s">
        <v>24</v>
      </c>
      <c r="D176" s="5" t="s">
        <v>316</v>
      </c>
      <c r="E176" s="5" t="s">
        <v>317</v>
      </c>
      <c r="F176" s="5">
        <v>1032134</v>
      </c>
      <c r="G176" s="7" t="s">
        <v>25</v>
      </c>
      <c r="H176" s="139">
        <v>1634.7728841964802</v>
      </c>
      <c r="I176" s="139">
        <v>277.91139031340163</v>
      </c>
      <c r="J176" s="125">
        <v>0</v>
      </c>
      <c r="K176" s="125">
        <v>1216</v>
      </c>
      <c r="L176" s="130">
        <v>206.72000000000003</v>
      </c>
      <c r="M176" s="123">
        <v>0.79827602513815288</v>
      </c>
      <c r="N176" s="130">
        <v>71.191390313401598</v>
      </c>
      <c r="O176" s="130">
        <v>0</v>
      </c>
      <c r="P176" s="123">
        <v>0.84867542072823487</v>
      </c>
      <c r="Q176" s="5">
        <v>4416</v>
      </c>
      <c r="R176" s="5">
        <v>89</v>
      </c>
      <c r="S176" s="5">
        <v>4327</v>
      </c>
      <c r="T176" s="5">
        <v>0</v>
      </c>
      <c r="U176" s="5">
        <v>0</v>
      </c>
      <c r="V176" s="5">
        <v>0</v>
      </c>
      <c r="W176" s="5">
        <v>0</v>
      </c>
      <c r="X176" s="125">
        <v>1634.7728841964802</v>
      </c>
      <c r="Y176" s="125">
        <v>79.405525535006603</v>
      </c>
      <c r="Z176" s="125">
        <v>-3997.2271158035201</v>
      </c>
      <c r="AA176" s="112">
        <v>18930.669999999998</v>
      </c>
      <c r="AB176" s="112">
        <v>50106.66</v>
      </c>
      <c r="AC176" s="8">
        <v>3.4451268763050398</v>
      </c>
      <c r="AD176" s="66"/>
      <c r="AE176" s="66">
        <v>9.4224010042222996</v>
      </c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  <c r="BD176" s="66"/>
      <c r="BE176" s="66"/>
      <c r="BF176" s="66"/>
      <c r="BG176" s="66"/>
      <c r="BH176" s="66"/>
      <c r="BI176" s="188" t="s">
        <v>1</v>
      </c>
      <c r="BJ176" s="204"/>
    </row>
    <row r="177" spans="1:62" ht="12.75" customHeight="1" x14ac:dyDescent="0.35">
      <c r="A177" s="108"/>
      <c r="B177" s="126" t="s">
        <v>1</v>
      </c>
      <c r="C177" s="5" t="s">
        <v>50</v>
      </c>
      <c r="D177" s="5" t="s">
        <v>310</v>
      </c>
      <c r="E177" s="5" t="s">
        <v>403</v>
      </c>
      <c r="F177" s="5">
        <v>1076303</v>
      </c>
      <c r="G177" s="7" t="s">
        <v>693</v>
      </c>
      <c r="H177" s="139">
        <v>7580.8605347597195</v>
      </c>
      <c r="I177" s="139">
        <v>280.49183978610961</v>
      </c>
      <c r="J177" s="125">
        <v>0</v>
      </c>
      <c r="K177" s="125">
        <v>4573</v>
      </c>
      <c r="L177" s="130">
        <v>169.20099999999999</v>
      </c>
      <c r="M177" s="123">
        <v>0.6412200801889667</v>
      </c>
      <c r="N177" s="130">
        <v>111.29083978610961</v>
      </c>
      <c r="O177" s="130">
        <v>6.0937698609208883</v>
      </c>
      <c r="P177" s="123">
        <v>1.2021318580988054</v>
      </c>
      <c r="Q177" s="5">
        <v>20449</v>
      </c>
      <c r="R177" s="5">
        <v>288</v>
      </c>
      <c r="S177" s="5">
        <v>20161</v>
      </c>
      <c r="T177" s="5">
        <v>0</v>
      </c>
      <c r="U177" s="5">
        <v>0</v>
      </c>
      <c r="V177" s="5">
        <v>0</v>
      </c>
      <c r="W177" s="5">
        <v>0</v>
      </c>
      <c r="X177" s="125">
        <v>7580.8605347597195</v>
      </c>
      <c r="Y177" s="125">
        <v>79.78381837084811</v>
      </c>
      <c r="Z177" s="125">
        <v>-17441.139465240281</v>
      </c>
      <c r="AA177" s="112">
        <v>17132.740000000002</v>
      </c>
      <c r="AB177" s="112">
        <v>45563.86</v>
      </c>
      <c r="AC177" s="8">
        <v>3.3006806925505709</v>
      </c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66"/>
      <c r="BF177" s="66"/>
      <c r="BG177" s="66"/>
      <c r="BH177" s="66"/>
      <c r="BI177" s="189"/>
      <c r="BJ177" s="204"/>
    </row>
    <row r="178" spans="1:62" ht="12.75" customHeight="1" x14ac:dyDescent="0.35">
      <c r="A178" s="108"/>
      <c r="B178" s="126" t="s">
        <v>1</v>
      </c>
      <c r="C178" s="5" t="s">
        <v>50</v>
      </c>
      <c r="D178" s="5" t="s">
        <v>320</v>
      </c>
      <c r="E178" s="5" t="s">
        <v>402</v>
      </c>
      <c r="F178" s="142">
        <v>1060961</v>
      </c>
      <c r="G178" s="143" t="s">
        <v>726</v>
      </c>
      <c r="H178" s="139">
        <v>15635.648542067942</v>
      </c>
      <c r="I178" s="139">
        <v>2814.4167375722295</v>
      </c>
      <c r="J178" s="125">
        <v>0</v>
      </c>
      <c r="K178" s="125">
        <v>1920</v>
      </c>
      <c r="L178" s="130">
        <v>345.59999999999997</v>
      </c>
      <c r="M178" s="123">
        <v>0.13302933961477387</v>
      </c>
      <c r="N178" s="130">
        <v>2468.8167375722296</v>
      </c>
      <c r="O178" s="130">
        <v>0</v>
      </c>
      <c r="P178" s="123">
        <v>0.21370982617949624</v>
      </c>
      <c r="Q178" s="5">
        <v>45392</v>
      </c>
      <c r="R178" s="5">
        <v>160</v>
      </c>
      <c r="S178" s="5">
        <v>45232</v>
      </c>
      <c r="T178" s="5">
        <v>0</v>
      </c>
      <c r="U178" s="5">
        <v>0</v>
      </c>
      <c r="V178" s="5">
        <v>0</v>
      </c>
      <c r="W178" s="5">
        <v>0</v>
      </c>
      <c r="X178" s="125">
        <v>15635.648542067942</v>
      </c>
      <c r="Y178" s="125">
        <v>86.786294559453623</v>
      </c>
      <c r="Z178" s="125">
        <v>-31676.351457932058</v>
      </c>
      <c r="AA178" s="112">
        <v>106635.12</v>
      </c>
      <c r="AB178" s="112">
        <v>308482.24</v>
      </c>
      <c r="AC178" s="8">
        <v>3.0259058249298945</v>
      </c>
      <c r="AD178" s="66"/>
      <c r="AE178" s="66">
        <v>33.495568685376661</v>
      </c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66"/>
      <c r="BB178" s="66"/>
      <c r="BC178" s="66"/>
      <c r="BD178" s="66"/>
      <c r="BE178" s="66"/>
      <c r="BF178" s="66"/>
      <c r="BG178" s="66"/>
      <c r="BH178" s="66"/>
      <c r="BI178" s="188" t="s">
        <v>1</v>
      </c>
      <c r="BJ178" s="204"/>
    </row>
    <row r="179" spans="1:62" x14ac:dyDescent="0.35">
      <c r="A179" s="108"/>
      <c r="B179" s="126" t="s">
        <v>1</v>
      </c>
      <c r="C179" s="5" t="s">
        <v>24</v>
      </c>
      <c r="D179" s="5" t="s">
        <v>316</v>
      </c>
      <c r="E179" s="5" t="s">
        <v>317</v>
      </c>
      <c r="F179" s="5">
        <v>1003495</v>
      </c>
      <c r="G179" s="7" t="s">
        <v>129</v>
      </c>
      <c r="H179" s="139">
        <v>1097.6873297428735</v>
      </c>
      <c r="I179" s="139">
        <v>93.303423028144252</v>
      </c>
      <c r="J179" s="125">
        <v>0</v>
      </c>
      <c r="K179" s="125">
        <v>642</v>
      </c>
      <c r="L179" s="130">
        <v>54.570000000000007</v>
      </c>
      <c r="M179" s="123">
        <v>0.62859430122203219</v>
      </c>
      <c r="N179" s="130">
        <v>38.733423028144244</v>
      </c>
      <c r="O179" s="130">
        <v>0</v>
      </c>
      <c r="P179" s="123">
        <v>0.87859421336094523</v>
      </c>
      <c r="Q179" s="5">
        <v>3297</v>
      </c>
      <c r="R179" s="5">
        <v>48</v>
      </c>
      <c r="S179" s="5">
        <v>3249</v>
      </c>
      <c r="T179" s="5">
        <v>0</v>
      </c>
      <c r="U179" s="5">
        <v>0</v>
      </c>
      <c r="V179" s="5">
        <v>0</v>
      </c>
      <c r="W179" s="5">
        <v>0</v>
      </c>
      <c r="X179" s="125">
        <v>1097.6873297428735</v>
      </c>
      <c r="Y179" s="125">
        <v>88.795777594364452</v>
      </c>
      <c r="Z179" s="125">
        <v>-2841.3126702571262</v>
      </c>
      <c r="AA179" s="112">
        <v>6926.41</v>
      </c>
      <c r="AB179" s="112">
        <v>20501.189999999999</v>
      </c>
      <c r="AC179" s="8">
        <v>3.588453554367514</v>
      </c>
      <c r="AD179" s="66"/>
      <c r="AE179" s="66">
        <v>18.339424394700778</v>
      </c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66"/>
      <c r="AY179" s="66"/>
      <c r="AZ179" s="66"/>
      <c r="BA179" s="66"/>
      <c r="BB179" s="66"/>
      <c r="BC179" s="66"/>
      <c r="BD179" s="66"/>
      <c r="BE179" s="66"/>
      <c r="BF179" s="66"/>
      <c r="BG179" s="66"/>
      <c r="BH179" s="66"/>
      <c r="BI179" s="188" t="s">
        <v>1</v>
      </c>
      <c r="BJ179" s="204"/>
    </row>
    <row r="180" spans="1:62" ht="12.75" customHeight="1" x14ac:dyDescent="0.35">
      <c r="A180" s="108"/>
      <c r="B180" s="126" t="s">
        <v>21</v>
      </c>
      <c r="C180" s="5" t="s">
        <v>5</v>
      </c>
      <c r="D180" s="5" t="s">
        <v>308</v>
      </c>
      <c r="E180" s="5" t="s">
        <v>395</v>
      </c>
      <c r="F180" s="56">
        <v>1069936</v>
      </c>
      <c r="G180" s="65" t="s">
        <v>610</v>
      </c>
      <c r="H180" s="139">
        <v>311.069321854912</v>
      </c>
      <c r="I180" s="139">
        <v>59.103171152433283</v>
      </c>
      <c r="J180" s="125">
        <v>0</v>
      </c>
      <c r="K180" s="125">
        <v>393</v>
      </c>
      <c r="L180" s="130">
        <v>74.67</v>
      </c>
      <c r="M180" s="123">
        <v>1.2633839867478216</v>
      </c>
      <c r="N180" s="130">
        <v>15.566828847566718</v>
      </c>
      <c r="O180" s="130">
        <v>0</v>
      </c>
      <c r="P180" s="123">
        <v>0.90921706509741995</v>
      </c>
      <c r="Q180" s="5">
        <v>1407</v>
      </c>
      <c r="R180" s="5">
        <v>0</v>
      </c>
      <c r="S180" s="5">
        <v>1407</v>
      </c>
      <c r="T180" s="5">
        <v>0</v>
      </c>
      <c r="U180" s="5">
        <v>0</v>
      </c>
      <c r="V180" s="5">
        <v>0</v>
      </c>
      <c r="W180" s="5">
        <v>0</v>
      </c>
      <c r="X180" s="125">
        <v>467.85714285714283</v>
      </c>
      <c r="Y180" s="125">
        <v>90.219847328244285</v>
      </c>
      <c r="Z180" s="125">
        <v>-1488.930678145088</v>
      </c>
      <c r="AA180" s="112">
        <v>2541.44</v>
      </c>
      <c r="AB180" s="112">
        <v>11495.19</v>
      </c>
      <c r="AC180" s="8">
        <v>5.7864915423564351</v>
      </c>
      <c r="AD180" s="66"/>
      <c r="AE180" s="66">
        <v>75.108571428571437</v>
      </c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6"/>
      <c r="BB180" s="66"/>
      <c r="BC180" s="66"/>
      <c r="BD180" s="66"/>
      <c r="BE180" s="66"/>
      <c r="BF180" s="66"/>
      <c r="BG180" s="66"/>
      <c r="BH180" s="66"/>
      <c r="BI180" s="188" t="s">
        <v>1</v>
      </c>
      <c r="BJ180" s="204"/>
    </row>
    <row r="181" spans="1:62" ht="12.75" customHeight="1" x14ac:dyDescent="0.35">
      <c r="A181" s="108"/>
      <c r="B181" s="126" t="s">
        <v>15</v>
      </c>
      <c r="C181" s="5" t="s">
        <v>5</v>
      </c>
      <c r="D181" s="5" t="s">
        <v>312</v>
      </c>
      <c r="E181" s="5" t="s">
        <v>315</v>
      </c>
      <c r="F181" s="5">
        <v>1078686</v>
      </c>
      <c r="G181" s="7" t="s">
        <v>720</v>
      </c>
      <c r="H181" s="139">
        <v>2074.0244102439024</v>
      </c>
      <c r="I181" s="139">
        <v>217.77256307560975</v>
      </c>
      <c r="J181" s="125">
        <v>0</v>
      </c>
      <c r="K181" s="125">
        <v>1924</v>
      </c>
      <c r="L181" s="130">
        <v>202.01999999999998</v>
      </c>
      <c r="M181" s="123">
        <v>0.96141587830468611</v>
      </c>
      <c r="N181" s="130">
        <v>15.752563075609771</v>
      </c>
      <c r="O181" s="130">
        <v>37.072498912219096</v>
      </c>
      <c r="P181" s="123">
        <v>1.9995909475418352</v>
      </c>
      <c r="Q181" s="5">
        <v>7300</v>
      </c>
      <c r="R181" s="5">
        <v>70</v>
      </c>
      <c r="S181" s="5">
        <v>7230</v>
      </c>
      <c r="T181" s="5">
        <v>0</v>
      </c>
      <c r="U181" s="5">
        <v>0</v>
      </c>
      <c r="V181" s="5">
        <v>0</v>
      </c>
      <c r="W181" s="5">
        <v>0</v>
      </c>
      <c r="X181" s="125">
        <v>2373.8095238095239</v>
      </c>
      <c r="Y181" s="125">
        <v>91.372116349047133</v>
      </c>
      <c r="Z181" s="125">
        <v>-7149.9755897560972</v>
      </c>
      <c r="AA181" s="112">
        <v>2903.63</v>
      </c>
      <c r="AB181" s="112">
        <v>10122</v>
      </c>
      <c r="AC181" s="8">
        <v>4.4473922073633023</v>
      </c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C181" s="66"/>
      <c r="BD181" s="66"/>
      <c r="BE181" s="66"/>
      <c r="BF181" s="66"/>
      <c r="BG181" s="66"/>
      <c r="BH181" s="66"/>
      <c r="BI181" s="189"/>
      <c r="BJ181" s="204"/>
    </row>
    <row r="182" spans="1:62" x14ac:dyDescent="0.35">
      <c r="A182" s="108"/>
      <c r="B182" s="126" t="s">
        <v>27</v>
      </c>
      <c r="C182" s="5" t="s">
        <v>5</v>
      </c>
      <c r="D182" s="5" t="s">
        <v>312</v>
      </c>
      <c r="E182" s="5" t="s">
        <v>319</v>
      </c>
      <c r="F182" s="5">
        <v>1030816</v>
      </c>
      <c r="G182" s="7" t="s">
        <v>61</v>
      </c>
      <c r="H182" s="139">
        <v>2500</v>
      </c>
      <c r="I182" s="139">
        <v>480</v>
      </c>
      <c r="J182" s="125">
        <v>0</v>
      </c>
      <c r="K182" s="125">
        <v>2480</v>
      </c>
      <c r="L182" s="130">
        <v>476.16</v>
      </c>
      <c r="M182" s="123">
        <v>1.0975999999999999</v>
      </c>
      <c r="N182" s="130">
        <v>3.839999999999975</v>
      </c>
      <c r="O182" s="130">
        <v>0</v>
      </c>
      <c r="P182" s="123">
        <v>0.29599999999999999</v>
      </c>
      <c r="Q182" s="5">
        <v>10840</v>
      </c>
      <c r="R182" s="5">
        <v>264</v>
      </c>
      <c r="S182" s="5">
        <v>10576</v>
      </c>
      <c r="T182" s="5">
        <v>0</v>
      </c>
      <c r="U182" s="5">
        <v>0</v>
      </c>
      <c r="V182" s="5">
        <v>0</v>
      </c>
      <c r="W182" s="5">
        <v>0</v>
      </c>
      <c r="X182" s="125">
        <v>3266.6666666666665</v>
      </c>
      <c r="Y182" s="125">
        <v>97.126530612244906</v>
      </c>
      <c r="Z182" s="125">
        <v>-10820</v>
      </c>
      <c r="AA182" s="112">
        <v>5600</v>
      </c>
      <c r="AB182" s="112">
        <v>23690.240000000002</v>
      </c>
      <c r="AC182" s="8">
        <v>5.3280000000000003</v>
      </c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  <c r="AZ182" s="66"/>
      <c r="BA182" s="66"/>
      <c r="BB182" s="66"/>
      <c r="BC182" s="66"/>
      <c r="BD182" s="66"/>
      <c r="BE182" s="66"/>
      <c r="BF182" s="66"/>
      <c r="BG182" s="66"/>
      <c r="BH182" s="66"/>
      <c r="BI182" s="188"/>
      <c r="BJ182" s="204"/>
    </row>
    <row r="183" spans="1:62" x14ac:dyDescent="0.35">
      <c r="A183" s="108"/>
      <c r="B183" s="126" t="s">
        <v>1</v>
      </c>
      <c r="C183" s="5" t="s">
        <v>24</v>
      </c>
      <c r="D183" s="5" t="s">
        <v>316</v>
      </c>
      <c r="E183" s="5" t="s">
        <v>317</v>
      </c>
      <c r="F183" s="5">
        <v>1034632</v>
      </c>
      <c r="G183" s="7" t="s">
        <v>57</v>
      </c>
      <c r="H183" s="139">
        <v>3855.4424975206243</v>
      </c>
      <c r="I183" s="139">
        <v>655.42522457850623</v>
      </c>
      <c r="J183" s="125">
        <v>0</v>
      </c>
      <c r="K183" s="125">
        <v>1960</v>
      </c>
      <c r="L183" s="130">
        <v>333.20000000000005</v>
      </c>
      <c r="M183" s="123">
        <v>0.54650017510440874</v>
      </c>
      <c r="N183" s="130">
        <v>322.22522457850619</v>
      </c>
      <c r="O183" s="130">
        <v>0</v>
      </c>
      <c r="P183" s="123">
        <v>0.56723521073806293</v>
      </c>
      <c r="Q183" s="5">
        <v>13045</v>
      </c>
      <c r="R183" s="5">
        <v>147</v>
      </c>
      <c r="S183" s="5">
        <v>12898</v>
      </c>
      <c r="T183" s="5">
        <v>0</v>
      </c>
      <c r="U183" s="5">
        <v>0</v>
      </c>
      <c r="V183" s="5">
        <v>0</v>
      </c>
      <c r="W183" s="5">
        <v>0</v>
      </c>
      <c r="X183" s="125">
        <v>3855.4424975206243</v>
      </c>
      <c r="Y183" s="125">
        <v>100.36202076644514</v>
      </c>
      <c r="Z183" s="125">
        <v>-11149.557502479376</v>
      </c>
      <c r="AA183" s="112">
        <v>40520.699999999997</v>
      </c>
      <c r="AB183" s="112">
        <v>135557.98000000001</v>
      </c>
      <c r="AC183" s="8">
        <v>3.8919008673192468</v>
      </c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/>
      <c r="AT183" s="66"/>
      <c r="AU183" s="66"/>
      <c r="AV183" s="66"/>
      <c r="AW183" s="66"/>
      <c r="AX183" s="66"/>
      <c r="AY183" s="66"/>
      <c r="AZ183" s="66"/>
      <c r="BA183" s="66"/>
      <c r="BB183" s="66"/>
      <c r="BC183" s="66"/>
      <c r="BD183" s="66"/>
      <c r="BE183" s="66"/>
      <c r="BF183" s="66"/>
      <c r="BG183" s="66"/>
      <c r="BH183" s="66"/>
      <c r="BI183" s="188"/>
      <c r="BJ183" s="204"/>
    </row>
    <row r="184" spans="1:62" ht="12.75" customHeight="1" x14ac:dyDescent="0.35">
      <c r="A184" s="108"/>
      <c r="B184" s="126" t="s">
        <v>21</v>
      </c>
      <c r="C184" s="5" t="s">
        <v>5</v>
      </c>
      <c r="D184" s="5" t="s">
        <v>308</v>
      </c>
      <c r="E184" s="5" t="s">
        <v>395</v>
      </c>
      <c r="F184" s="5">
        <v>1069727</v>
      </c>
      <c r="G184" s="7" t="s">
        <v>570</v>
      </c>
      <c r="H184" s="139">
        <v>22.748535298438401</v>
      </c>
      <c r="I184" s="139">
        <v>18.198828238750721</v>
      </c>
      <c r="J184" s="125">
        <v>0</v>
      </c>
      <c r="K184" s="125">
        <v>19</v>
      </c>
      <c r="L184" s="130">
        <v>15.200000000000001</v>
      </c>
      <c r="M184" s="123">
        <v>0.83521860861539843</v>
      </c>
      <c r="N184" s="130">
        <v>2.9988282387507201</v>
      </c>
      <c r="O184" s="130">
        <v>0</v>
      </c>
      <c r="P184" s="123">
        <v>0.13187662241295764</v>
      </c>
      <c r="Q184" s="5">
        <v>78</v>
      </c>
      <c r="R184" s="5">
        <v>0</v>
      </c>
      <c r="S184" s="5">
        <v>78</v>
      </c>
      <c r="T184" s="5">
        <v>0</v>
      </c>
      <c r="U184" s="5">
        <v>0</v>
      </c>
      <c r="V184" s="5">
        <v>0</v>
      </c>
      <c r="W184" s="5">
        <v>0</v>
      </c>
      <c r="X184" s="125">
        <v>22.748535298438401</v>
      </c>
      <c r="Y184" s="125">
        <v>102.86376548210697</v>
      </c>
      <c r="Z184" s="125">
        <v>-74.251464701561602</v>
      </c>
      <c r="AA184" s="112">
        <v>767.54</v>
      </c>
      <c r="AB184" s="112">
        <v>2631.72</v>
      </c>
      <c r="AC184" s="8">
        <v>4.2640107913522982</v>
      </c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/>
      <c r="BB184" s="66"/>
      <c r="BC184" s="66"/>
      <c r="BD184" s="66"/>
      <c r="BE184" s="66"/>
      <c r="BF184" s="66"/>
      <c r="BG184" s="66"/>
      <c r="BH184" s="66"/>
      <c r="BI184" s="189"/>
      <c r="BJ184" s="204"/>
    </row>
    <row r="185" spans="1:62" ht="12.75" customHeight="1" x14ac:dyDescent="0.35">
      <c r="A185" s="108"/>
      <c r="B185" s="126" t="s">
        <v>1</v>
      </c>
      <c r="C185" s="5" t="s">
        <v>50</v>
      </c>
      <c r="D185" s="5" t="s">
        <v>320</v>
      </c>
      <c r="E185" s="5" t="s">
        <v>402</v>
      </c>
      <c r="F185" s="142">
        <v>1060962</v>
      </c>
      <c r="G185" s="143" t="s">
        <v>727</v>
      </c>
      <c r="H185" s="139">
        <v>14198.872181533898</v>
      </c>
      <c r="I185" s="139">
        <v>2555.7969926761016</v>
      </c>
      <c r="J185" s="125">
        <v>0</v>
      </c>
      <c r="K185" s="125">
        <v>1394</v>
      </c>
      <c r="L185" s="130">
        <v>250.92</v>
      </c>
      <c r="M185" s="123">
        <v>9.824723979234376E-2</v>
      </c>
      <c r="N185" s="130">
        <v>2304.8769926761015</v>
      </c>
      <c r="O185" s="130">
        <v>0</v>
      </c>
      <c r="P185" s="123">
        <v>0.18169588859178437</v>
      </c>
      <c r="Q185" s="5">
        <v>48920</v>
      </c>
      <c r="R185" s="5">
        <v>1</v>
      </c>
      <c r="S185" s="5">
        <v>48919</v>
      </c>
      <c r="T185" s="5">
        <v>0</v>
      </c>
      <c r="U185" s="5">
        <v>0</v>
      </c>
      <c r="V185" s="5">
        <v>0</v>
      </c>
      <c r="W185" s="5">
        <v>0</v>
      </c>
      <c r="X185" s="125">
        <v>14198.872181533898</v>
      </c>
      <c r="Y185" s="125">
        <v>103.35820910541214</v>
      </c>
      <c r="Z185" s="125">
        <v>-36115.127818466106</v>
      </c>
      <c r="AA185" s="112">
        <v>96836.31</v>
      </c>
      <c r="AB185" s="112">
        <v>333627.58</v>
      </c>
      <c r="AC185" s="8">
        <v>3.5435208766394153</v>
      </c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66"/>
      <c r="AX185" s="66"/>
      <c r="AY185" s="66"/>
      <c r="AZ185" s="66"/>
      <c r="BA185" s="66"/>
      <c r="BB185" s="66"/>
      <c r="BC185" s="66"/>
      <c r="BD185" s="66"/>
      <c r="BE185" s="66"/>
      <c r="BF185" s="66"/>
      <c r="BG185" s="66"/>
      <c r="BH185" s="66"/>
      <c r="BI185" s="189"/>
      <c r="BJ185" s="204" t="s">
        <v>842</v>
      </c>
    </row>
    <row r="186" spans="1:62" ht="12.75" customHeight="1" x14ac:dyDescent="0.35">
      <c r="A186" s="108"/>
      <c r="B186" s="126" t="s">
        <v>1</v>
      </c>
      <c r="C186" s="5" t="s">
        <v>2</v>
      </c>
      <c r="D186" s="5" t="s">
        <v>310</v>
      </c>
      <c r="E186" s="5" t="s">
        <v>311</v>
      </c>
      <c r="F186" s="5">
        <v>1080400</v>
      </c>
      <c r="G186" s="7" t="s">
        <v>753</v>
      </c>
      <c r="H186" s="139">
        <v>4718</v>
      </c>
      <c r="I186" s="139">
        <v>0</v>
      </c>
      <c r="J186" s="125">
        <v>0</v>
      </c>
      <c r="K186" s="125">
        <v>1477</v>
      </c>
      <c r="L186" s="130">
        <v>0</v>
      </c>
      <c r="M186" s="123">
        <v>0.32662144976685037</v>
      </c>
      <c r="N186" s="130">
        <v>0</v>
      </c>
      <c r="O186" s="130">
        <v>0</v>
      </c>
      <c r="P186" s="123">
        <v>0.29427942794279427</v>
      </c>
      <c r="Q186" s="5">
        <v>16408</v>
      </c>
      <c r="R186" s="5">
        <v>64</v>
      </c>
      <c r="S186" s="5">
        <v>16344</v>
      </c>
      <c r="T186" s="5">
        <v>0</v>
      </c>
      <c r="U186" s="5">
        <v>0</v>
      </c>
      <c r="V186" s="5">
        <v>0</v>
      </c>
      <c r="W186" s="5">
        <v>4318</v>
      </c>
      <c r="X186" s="125">
        <v>4718</v>
      </c>
      <c r="Y186" s="125">
        <v>103.9253921153031</v>
      </c>
      <c r="Z186" s="125">
        <v>-13167</v>
      </c>
      <c r="AA186" s="112">
        <v>32507.02</v>
      </c>
      <c r="AB186" s="112">
        <v>142361.18</v>
      </c>
      <c r="AC186" s="8">
        <v>3.7908011869436202</v>
      </c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/>
      <c r="BB186" s="66"/>
      <c r="BC186" s="66"/>
      <c r="BD186" s="66"/>
      <c r="BE186" s="66"/>
      <c r="BF186" s="66"/>
      <c r="BG186" s="66"/>
      <c r="BH186" s="66"/>
      <c r="BI186" s="188"/>
      <c r="BJ186" s="204"/>
    </row>
    <row r="187" spans="1:62" ht="12.75" customHeight="1" x14ac:dyDescent="0.35">
      <c r="A187" s="108"/>
      <c r="B187" s="126" t="s">
        <v>21</v>
      </c>
      <c r="C187" s="5" t="s">
        <v>5</v>
      </c>
      <c r="D187" s="5" t="s">
        <v>308</v>
      </c>
      <c r="E187" s="5" t="s">
        <v>395</v>
      </c>
      <c r="F187" s="5">
        <v>1069938</v>
      </c>
      <c r="G187" s="7" t="s">
        <v>567</v>
      </c>
      <c r="H187" s="139">
        <v>1132.4557589531519</v>
      </c>
      <c r="I187" s="139">
        <v>215.16659420109886</v>
      </c>
      <c r="J187" s="125">
        <v>0</v>
      </c>
      <c r="K187" s="125">
        <v>1425</v>
      </c>
      <c r="L187" s="130">
        <v>270.75</v>
      </c>
      <c r="M187" s="123">
        <v>1.2583273021784778</v>
      </c>
      <c r="N187" s="130">
        <v>55.58340579890114</v>
      </c>
      <c r="O187" s="130">
        <v>6.5577195159220878</v>
      </c>
      <c r="P187" s="123">
        <v>1.2626587388269683</v>
      </c>
      <c r="Q187" s="5">
        <v>6139</v>
      </c>
      <c r="R187" s="5">
        <v>0</v>
      </c>
      <c r="S187" s="5">
        <v>6139</v>
      </c>
      <c r="T187" s="5">
        <v>0</v>
      </c>
      <c r="U187" s="5">
        <v>0</v>
      </c>
      <c r="V187" s="5">
        <v>0</v>
      </c>
      <c r="W187" s="5">
        <v>0</v>
      </c>
      <c r="X187" s="125">
        <v>1696.4285714285718</v>
      </c>
      <c r="Y187" s="125">
        <v>108.56336842105262</v>
      </c>
      <c r="Z187" s="125">
        <v>-6431.5442410468477</v>
      </c>
      <c r="AA187" s="112">
        <v>8912.43</v>
      </c>
      <c r="AB187" s="112">
        <v>48313.93</v>
      </c>
      <c r="AC187" s="8">
        <v>6.6792896236336876</v>
      </c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6"/>
      <c r="AW187" s="66"/>
      <c r="AX187" s="66"/>
      <c r="AY187" s="66"/>
      <c r="AZ187" s="66"/>
      <c r="BA187" s="66"/>
      <c r="BB187" s="66"/>
      <c r="BC187" s="66"/>
      <c r="BD187" s="66"/>
      <c r="BE187" s="66"/>
      <c r="BF187" s="66"/>
      <c r="BG187" s="66"/>
      <c r="BH187" s="66"/>
      <c r="BI187" s="188"/>
      <c r="BJ187" s="204"/>
    </row>
    <row r="188" spans="1:62" ht="12.75" customHeight="1" x14ac:dyDescent="0.35">
      <c r="A188" s="108"/>
      <c r="B188" s="126" t="s">
        <v>27</v>
      </c>
      <c r="C188" s="5" t="s">
        <v>5</v>
      </c>
      <c r="D188" s="5" t="s">
        <v>312</v>
      </c>
      <c r="E188" s="5" t="s">
        <v>319</v>
      </c>
      <c r="F188" s="184">
        <v>1079532</v>
      </c>
      <c r="G188" s="185" t="s">
        <v>847</v>
      </c>
      <c r="H188" s="186">
        <v>2700</v>
      </c>
      <c r="I188" s="139">
        <v>518.4</v>
      </c>
      <c r="J188" s="125">
        <v>0</v>
      </c>
      <c r="K188" s="125">
        <v>464</v>
      </c>
      <c r="L188" s="130">
        <v>89.088000000000008</v>
      </c>
      <c r="M188" s="123">
        <v>0.2785185185185185</v>
      </c>
      <c r="N188" s="130">
        <v>429.31199999999995</v>
      </c>
      <c r="O188" s="130">
        <v>0</v>
      </c>
      <c r="P188" s="123">
        <v>0</v>
      </c>
      <c r="Q188" s="5">
        <v>10092</v>
      </c>
      <c r="R188" s="5">
        <v>288</v>
      </c>
      <c r="S188" s="5">
        <v>9804</v>
      </c>
      <c r="T188" s="5">
        <v>0</v>
      </c>
      <c r="U188" s="5">
        <v>0</v>
      </c>
      <c r="V188" s="5">
        <v>0</v>
      </c>
      <c r="W188" s="5">
        <v>0</v>
      </c>
      <c r="X188" s="125">
        <v>2700</v>
      </c>
      <c r="Y188" s="125">
        <v>108.93333333333334</v>
      </c>
      <c r="Z188" s="125">
        <v>-7856</v>
      </c>
      <c r="AA188" s="112">
        <v>6102</v>
      </c>
      <c r="AB188" s="112">
        <v>22157.040000000001</v>
      </c>
      <c r="AC188" s="8">
        <v>3.9096296296296296</v>
      </c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/>
      <c r="BB188" s="66"/>
      <c r="BC188" s="66"/>
      <c r="BD188" s="66"/>
      <c r="BE188" s="66"/>
      <c r="BF188" s="66"/>
      <c r="BG188" s="66"/>
      <c r="BH188" s="66"/>
      <c r="BI188" s="189"/>
      <c r="BJ188" s="204"/>
    </row>
    <row r="189" spans="1:62" ht="12.75" customHeight="1" x14ac:dyDescent="0.35">
      <c r="A189" s="108"/>
      <c r="B189" s="126" t="s">
        <v>21</v>
      </c>
      <c r="C189" s="5" t="s">
        <v>5</v>
      </c>
      <c r="D189" s="5" t="s">
        <v>308</v>
      </c>
      <c r="E189" s="5" t="s">
        <v>395</v>
      </c>
      <c r="F189" s="5">
        <v>1069116</v>
      </c>
      <c r="G189" s="7" t="s">
        <v>555</v>
      </c>
      <c r="H189" s="139">
        <v>190.91889053259521</v>
      </c>
      <c r="I189" s="139">
        <v>152.73511242607617</v>
      </c>
      <c r="J189" s="125">
        <v>0</v>
      </c>
      <c r="K189" s="125">
        <v>115</v>
      </c>
      <c r="L189" s="130">
        <v>92</v>
      </c>
      <c r="M189" s="123">
        <v>0.69663090765391378</v>
      </c>
      <c r="N189" s="130">
        <v>60.735112426076171</v>
      </c>
      <c r="O189" s="130">
        <v>0</v>
      </c>
      <c r="P189" s="123">
        <v>0.87706053750289681</v>
      </c>
      <c r="Q189" s="5">
        <v>768</v>
      </c>
      <c r="R189" s="5">
        <v>18</v>
      </c>
      <c r="S189" s="5">
        <v>750</v>
      </c>
      <c r="T189" s="5">
        <v>0</v>
      </c>
      <c r="U189" s="5">
        <v>1</v>
      </c>
      <c r="V189" s="5">
        <v>0</v>
      </c>
      <c r="W189" s="5">
        <v>0</v>
      </c>
      <c r="X189" s="125">
        <v>190.91889053259521</v>
      </c>
      <c r="Y189" s="125">
        <v>117.85109340009819</v>
      </c>
      <c r="Z189" s="125">
        <v>-692.08110946740476</v>
      </c>
      <c r="AA189" s="112">
        <v>7140.37</v>
      </c>
      <c r="AB189" s="112">
        <v>28087.4</v>
      </c>
      <c r="AC189" s="8">
        <v>4.6250006876571863</v>
      </c>
      <c r="AD189" s="66"/>
      <c r="AE189" s="66">
        <v>29.223956228478066</v>
      </c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  <c r="AZ189" s="66"/>
      <c r="BA189" s="66"/>
      <c r="BB189" s="66"/>
      <c r="BC189" s="66"/>
      <c r="BD189" s="66"/>
      <c r="BE189" s="66"/>
      <c r="BF189" s="66"/>
      <c r="BG189" s="66"/>
      <c r="BH189" s="66"/>
      <c r="BI189" s="188" t="s">
        <v>1</v>
      </c>
      <c r="BJ189" s="204"/>
    </row>
    <row r="190" spans="1:62" ht="12.75" customHeight="1" x14ac:dyDescent="0.35">
      <c r="A190" s="108"/>
      <c r="B190" s="126" t="s">
        <v>1</v>
      </c>
      <c r="C190" s="5" t="s">
        <v>24</v>
      </c>
      <c r="D190" s="5" t="s">
        <v>316</v>
      </c>
      <c r="E190" s="5" t="s">
        <v>317</v>
      </c>
      <c r="F190" s="5">
        <v>1003496</v>
      </c>
      <c r="G190" s="7" t="s">
        <v>280</v>
      </c>
      <c r="H190" s="139">
        <v>4549.5693446179557</v>
      </c>
      <c r="I190" s="139">
        <v>227.47846723089779</v>
      </c>
      <c r="J190" s="125">
        <v>0</v>
      </c>
      <c r="K190" s="125">
        <v>2932</v>
      </c>
      <c r="L190" s="130">
        <v>146.6</v>
      </c>
      <c r="M190" s="123">
        <v>0.67083272477436828</v>
      </c>
      <c r="N190" s="130">
        <v>80.878467230897797</v>
      </c>
      <c r="O190" s="130">
        <v>0</v>
      </c>
      <c r="P190" s="123">
        <v>0.73425524467465408</v>
      </c>
      <c r="Q190" s="5">
        <v>18859</v>
      </c>
      <c r="R190" s="5">
        <v>120</v>
      </c>
      <c r="S190" s="5">
        <v>18739</v>
      </c>
      <c r="T190" s="5">
        <v>0</v>
      </c>
      <c r="U190" s="5">
        <v>24</v>
      </c>
      <c r="V190" s="5">
        <v>0</v>
      </c>
      <c r="W190" s="5">
        <v>0</v>
      </c>
      <c r="X190" s="125">
        <v>4549.5693446179557</v>
      </c>
      <c r="Y190" s="125">
        <v>123.56554157483832</v>
      </c>
      <c r="Z190" s="125">
        <v>-17241.430655382042</v>
      </c>
      <c r="AA190" s="112">
        <v>19654.14</v>
      </c>
      <c r="AB190" s="112">
        <v>81056.160000000003</v>
      </c>
      <c r="AC190" s="8">
        <v>4.7896841106023125</v>
      </c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/>
      <c r="AX190" s="66"/>
      <c r="AY190" s="66"/>
      <c r="AZ190" s="66"/>
      <c r="BA190" s="66"/>
      <c r="BB190" s="66"/>
      <c r="BC190" s="66"/>
      <c r="BD190" s="66"/>
      <c r="BE190" s="66"/>
      <c r="BF190" s="66"/>
      <c r="BG190" s="66"/>
      <c r="BH190" s="66"/>
      <c r="BI190" s="189"/>
      <c r="BJ190" s="204"/>
    </row>
    <row r="191" spans="1:62" ht="12.75" customHeight="1" x14ac:dyDescent="0.35">
      <c r="A191" s="108"/>
      <c r="B191" s="126" t="s">
        <v>1</v>
      </c>
      <c r="C191" s="5" t="s">
        <v>2</v>
      </c>
      <c r="D191" s="5" t="s">
        <v>310</v>
      </c>
      <c r="E191" s="5" t="s">
        <v>311</v>
      </c>
      <c r="F191" s="5">
        <v>1080399</v>
      </c>
      <c r="G191" s="7" t="s">
        <v>752</v>
      </c>
      <c r="H191" s="139">
        <v>8843.2000000000007</v>
      </c>
      <c r="I191" s="139">
        <v>0</v>
      </c>
      <c r="J191" s="125">
        <v>0</v>
      </c>
      <c r="K191" s="125">
        <v>2936</v>
      </c>
      <c r="L191" s="130">
        <v>0</v>
      </c>
      <c r="M191" s="123">
        <v>0.35507508594174053</v>
      </c>
      <c r="N191" s="130">
        <v>0</v>
      </c>
      <c r="O191" s="130">
        <v>0</v>
      </c>
      <c r="P191" s="123">
        <v>0.2406700593723495</v>
      </c>
      <c r="Q191" s="5">
        <v>39268</v>
      </c>
      <c r="R191" s="5">
        <v>204</v>
      </c>
      <c r="S191" s="5">
        <v>39064</v>
      </c>
      <c r="T191" s="5">
        <v>0</v>
      </c>
      <c r="U191" s="5">
        <v>0</v>
      </c>
      <c r="V191" s="5">
        <v>0</v>
      </c>
      <c r="W191" s="5">
        <v>1164</v>
      </c>
      <c r="X191" s="125">
        <v>8843.2000000000007</v>
      </c>
      <c r="Y191" s="125">
        <v>132.52216392256196</v>
      </c>
      <c r="Z191" s="125">
        <v>-33360.800000000003</v>
      </c>
      <c r="AA191" s="112">
        <v>19808.77</v>
      </c>
      <c r="AB191" s="112">
        <v>90110.720000000001</v>
      </c>
      <c r="AC191" s="8">
        <v>4.7724805500271401</v>
      </c>
      <c r="AD191" s="66"/>
      <c r="AE191" s="66" t="s">
        <v>574</v>
      </c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6"/>
      <c r="AW191" s="66"/>
      <c r="AX191" s="66"/>
      <c r="AY191" s="66"/>
      <c r="AZ191" s="66"/>
      <c r="BA191" s="66"/>
      <c r="BB191" s="66"/>
      <c r="BC191" s="66"/>
      <c r="BD191" s="66"/>
      <c r="BE191" s="66"/>
      <c r="BF191" s="66"/>
      <c r="BG191" s="66"/>
      <c r="BH191" s="66"/>
      <c r="BI191" s="189" t="s">
        <v>1</v>
      </c>
      <c r="BJ191" s="204" t="s">
        <v>843</v>
      </c>
    </row>
    <row r="192" spans="1:62" ht="12.75" customHeight="1" x14ac:dyDescent="0.35">
      <c r="A192" s="108"/>
      <c r="B192" s="126" t="s">
        <v>1</v>
      </c>
      <c r="C192" s="5" t="s">
        <v>24</v>
      </c>
      <c r="D192" s="5" t="s">
        <v>316</v>
      </c>
      <c r="E192" s="5" t="s">
        <v>317</v>
      </c>
      <c r="F192" s="5">
        <v>1059902</v>
      </c>
      <c r="G192" s="7" t="s">
        <v>766</v>
      </c>
      <c r="H192" s="139">
        <v>1705</v>
      </c>
      <c r="I192" s="139">
        <v>85.25</v>
      </c>
      <c r="J192" s="125">
        <v>0</v>
      </c>
      <c r="K192" s="125">
        <v>192</v>
      </c>
      <c r="L192" s="130">
        <v>9.6000000000000014</v>
      </c>
      <c r="M192" s="123">
        <v>0.1126099706744868</v>
      </c>
      <c r="N192" s="130">
        <v>75.650000000000006</v>
      </c>
      <c r="O192" s="130">
        <v>0</v>
      </c>
      <c r="P192" s="123">
        <v>0.20064308681672025</v>
      </c>
      <c r="Q192" s="5">
        <v>7656</v>
      </c>
      <c r="R192" s="5">
        <v>0</v>
      </c>
      <c r="S192" s="5">
        <v>7656</v>
      </c>
      <c r="T192" s="5">
        <v>0</v>
      </c>
      <c r="U192" s="5">
        <v>0</v>
      </c>
      <c r="V192" s="5">
        <v>0</v>
      </c>
      <c r="W192" s="5">
        <v>0</v>
      </c>
      <c r="X192" s="125">
        <v>1705</v>
      </c>
      <c r="Y192" s="125">
        <v>134.70967741935485</v>
      </c>
      <c r="Z192" s="125">
        <v>-6143</v>
      </c>
      <c r="AA192" s="112">
        <v>8525</v>
      </c>
      <c r="AB192" s="112">
        <v>38280</v>
      </c>
      <c r="AC192" s="8">
        <v>4.6029325513196486</v>
      </c>
      <c r="AD192" s="66"/>
      <c r="AE192" s="66" t="s">
        <v>574</v>
      </c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6"/>
      <c r="BB192" s="66"/>
      <c r="BC192" s="66"/>
      <c r="BD192" s="66"/>
      <c r="BE192" s="66"/>
      <c r="BF192" s="66"/>
      <c r="BG192" s="66"/>
      <c r="BH192" s="66"/>
      <c r="BI192" s="188" t="s">
        <v>1</v>
      </c>
      <c r="BJ192" s="204"/>
    </row>
    <row r="193" spans="1:62" ht="12.75" customHeight="1" x14ac:dyDescent="0.35">
      <c r="A193" s="108"/>
      <c r="B193" s="126" t="s">
        <v>15</v>
      </c>
      <c r="C193" s="5" t="s">
        <v>5</v>
      </c>
      <c r="D193" s="5" t="s">
        <v>308</v>
      </c>
      <c r="E193" s="5" t="s">
        <v>315</v>
      </c>
      <c r="F193" s="5">
        <v>1078734</v>
      </c>
      <c r="G193" s="7" t="s">
        <v>707</v>
      </c>
      <c r="H193" s="139">
        <v>537.18684474185159</v>
      </c>
      <c r="I193" s="139">
        <v>129.99921642752807</v>
      </c>
      <c r="J193" s="125">
        <v>0</v>
      </c>
      <c r="K193" s="125">
        <v>0</v>
      </c>
      <c r="L193" s="130">
        <v>0</v>
      </c>
      <c r="M193" s="123">
        <v>0</v>
      </c>
      <c r="N193" s="130">
        <v>129.99921642752807</v>
      </c>
      <c r="O193" s="130">
        <v>0</v>
      </c>
      <c r="P193" s="123">
        <v>0.59090909090909094</v>
      </c>
      <c r="Q193" s="5">
        <v>2706</v>
      </c>
      <c r="R193" s="5">
        <v>0</v>
      </c>
      <c r="S193" s="5">
        <v>2706</v>
      </c>
      <c r="T193" s="5">
        <v>0</v>
      </c>
      <c r="U193" s="5">
        <v>0</v>
      </c>
      <c r="V193" s="5">
        <v>0</v>
      </c>
      <c r="W193" s="5">
        <v>0</v>
      </c>
      <c r="X193" s="125">
        <v>537.18684474185159</v>
      </c>
      <c r="Y193" s="125">
        <v>151.12060318418918</v>
      </c>
      <c r="Z193" s="125">
        <v>-2168.8131552581485</v>
      </c>
      <c r="AA193" s="112">
        <v>2283.04</v>
      </c>
      <c r="AB193" s="112">
        <v>11500.5</v>
      </c>
      <c r="AC193" s="8">
        <v>5.0373534394729731</v>
      </c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  <c r="AZ193" s="66"/>
      <c r="BA193" s="66"/>
      <c r="BB193" s="66"/>
      <c r="BC193" s="66"/>
      <c r="BD193" s="66"/>
      <c r="BE193" s="66"/>
      <c r="BF193" s="66"/>
      <c r="BG193" s="66"/>
      <c r="BH193" s="66"/>
      <c r="BI193" s="188"/>
      <c r="BJ193" s="204"/>
    </row>
    <row r="194" spans="1:62" ht="12.75" customHeight="1" x14ac:dyDescent="0.35">
      <c r="A194" s="108"/>
      <c r="B194" s="126" t="s">
        <v>1</v>
      </c>
      <c r="C194" s="5" t="s">
        <v>2</v>
      </c>
      <c r="D194" s="5" t="s">
        <v>310</v>
      </c>
      <c r="E194" s="5" t="s">
        <v>311</v>
      </c>
      <c r="F194" s="137">
        <v>1068294</v>
      </c>
      <c r="G194" s="138" t="s">
        <v>565</v>
      </c>
      <c r="H194" s="139">
        <v>627.1032508723456</v>
      </c>
      <c r="I194" s="139">
        <v>94.065487630851834</v>
      </c>
      <c r="J194" s="125">
        <v>0</v>
      </c>
      <c r="K194" s="125">
        <v>30</v>
      </c>
      <c r="L194" s="130">
        <v>4.5</v>
      </c>
      <c r="M194" s="123">
        <v>4.783901208974415E-2</v>
      </c>
      <c r="N194" s="130">
        <v>89.565487630851834</v>
      </c>
      <c r="O194" s="130">
        <v>0</v>
      </c>
      <c r="P194" s="123">
        <v>0</v>
      </c>
      <c r="Q194" s="5">
        <v>3312</v>
      </c>
      <c r="R194" s="5">
        <v>0</v>
      </c>
      <c r="S194" s="5">
        <v>3312</v>
      </c>
      <c r="T194" s="5">
        <v>0</v>
      </c>
      <c r="U194" s="5">
        <v>0</v>
      </c>
      <c r="V194" s="5">
        <v>0</v>
      </c>
      <c r="W194" s="5">
        <v>2503</v>
      </c>
      <c r="X194" s="125">
        <v>627.1032508723456</v>
      </c>
      <c r="Y194" s="125">
        <v>158.44280804123264</v>
      </c>
      <c r="Z194" s="125">
        <v>-2714.8967491276544</v>
      </c>
      <c r="AA194" s="112">
        <v>1279.29</v>
      </c>
      <c r="AB194" s="112">
        <v>11862.6</v>
      </c>
      <c r="AC194" s="8">
        <v>5.3292659467974985</v>
      </c>
      <c r="AD194" s="66"/>
      <c r="AE194" s="66">
        <v>105.57129340524175</v>
      </c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  <c r="AZ194" s="66"/>
      <c r="BA194" s="66"/>
      <c r="BB194" s="66"/>
      <c r="BC194" s="66"/>
      <c r="BD194" s="66"/>
      <c r="BE194" s="66"/>
      <c r="BF194" s="66"/>
      <c r="BG194" s="66"/>
      <c r="BH194" s="66"/>
      <c r="BI194" s="188" t="s">
        <v>1</v>
      </c>
      <c r="BJ194" s="204" t="s">
        <v>804</v>
      </c>
    </row>
    <row r="195" spans="1:62" ht="12.75" customHeight="1" x14ac:dyDescent="0.35">
      <c r="A195" s="108"/>
      <c r="B195" s="126" t="s">
        <v>4</v>
      </c>
      <c r="C195" s="5" t="s">
        <v>5</v>
      </c>
      <c r="D195" s="5" t="s">
        <v>308</v>
      </c>
      <c r="E195" s="5" t="s">
        <v>314</v>
      </c>
      <c r="F195" s="5">
        <v>1075185</v>
      </c>
      <c r="G195" s="7" t="s">
        <v>703</v>
      </c>
      <c r="H195" s="139">
        <v>5631.2094729108485</v>
      </c>
      <c r="I195" s="139">
        <v>5405.9610939944141</v>
      </c>
      <c r="J195" s="125">
        <v>0</v>
      </c>
      <c r="K195" s="125">
        <v>1460</v>
      </c>
      <c r="L195" s="130">
        <v>1401.6</v>
      </c>
      <c r="M195" s="123">
        <v>0.29762700323304664</v>
      </c>
      <c r="N195" s="130">
        <v>4004.3610939944142</v>
      </c>
      <c r="O195" s="130">
        <v>137.71984219921379</v>
      </c>
      <c r="P195" s="123">
        <v>6.8752218181818181</v>
      </c>
      <c r="Q195" s="5">
        <v>31652</v>
      </c>
      <c r="R195" s="5">
        <v>216</v>
      </c>
      <c r="S195" s="5">
        <v>31436</v>
      </c>
      <c r="T195" s="5">
        <v>0</v>
      </c>
      <c r="U195" s="5">
        <v>0</v>
      </c>
      <c r="V195" s="5">
        <v>0</v>
      </c>
      <c r="W195" s="5">
        <v>0</v>
      </c>
      <c r="X195" s="125">
        <v>5631.2094729108485</v>
      </c>
      <c r="Y195" s="125">
        <v>167.47379129416566</v>
      </c>
      <c r="Z195" s="125">
        <v>-27480.79052708915</v>
      </c>
      <c r="AA195" s="112">
        <v>7095.32</v>
      </c>
      <c r="AB195" s="112">
        <v>39609.360000000001</v>
      </c>
      <c r="AC195" s="8">
        <v>5.8800867130385681</v>
      </c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6"/>
      <c r="BB195" s="66"/>
      <c r="BC195" s="66"/>
      <c r="BD195" s="66"/>
      <c r="BE195" s="66"/>
      <c r="BF195" s="66"/>
      <c r="BG195" s="66"/>
      <c r="BH195" s="66"/>
      <c r="BI195" s="188" t="s">
        <v>1</v>
      </c>
      <c r="BJ195" s="204"/>
    </row>
    <row r="196" spans="1:62" ht="12.75" customHeight="1" x14ac:dyDescent="0.35">
      <c r="A196" s="108"/>
      <c r="B196" s="126" t="s">
        <v>1</v>
      </c>
      <c r="C196" s="5" t="s">
        <v>24</v>
      </c>
      <c r="D196" s="5" t="s">
        <v>316</v>
      </c>
      <c r="E196" s="5" t="s">
        <v>317</v>
      </c>
      <c r="F196" s="5">
        <v>1032132</v>
      </c>
      <c r="G196" s="7" t="s">
        <v>96</v>
      </c>
      <c r="H196" s="139">
        <v>2782.7492789714947</v>
      </c>
      <c r="I196" s="139">
        <v>139.13746394857475</v>
      </c>
      <c r="J196" s="125">
        <v>0</v>
      </c>
      <c r="K196" s="125">
        <v>1279</v>
      </c>
      <c r="L196" s="130">
        <v>63.95</v>
      </c>
      <c r="M196" s="123">
        <v>0.45961740414958224</v>
      </c>
      <c r="N196" s="130">
        <v>75.187463948574745</v>
      </c>
      <c r="O196" s="130">
        <v>0</v>
      </c>
      <c r="P196" s="123">
        <v>0.71349752668676647</v>
      </c>
      <c r="Q196" s="5">
        <v>16703</v>
      </c>
      <c r="R196" s="5">
        <v>0</v>
      </c>
      <c r="S196" s="5">
        <v>16703</v>
      </c>
      <c r="T196" s="5">
        <v>0</v>
      </c>
      <c r="U196" s="5">
        <v>0</v>
      </c>
      <c r="V196" s="5">
        <v>0</v>
      </c>
      <c r="W196" s="5">
        <v>2</v>
      </c>
      <c r="X196" s="125">
        <v>2782.7492789714947</v>
      </c>
      <c r="Y196" s="125">
        <v>180.07012122385783</v>
      </c>
      <c r="Z196" s="125">
        <v>-15199.250721028506</v>
      </c>
      <c r="AA196" s="112">
        <v>12077.13</v>
      </c>
      <c r="AB196" s="112">
        <v>72499.7</v>
      </c>
      <c r="AC196" s="8">
        <v>6.4619547782781765</v>
      </c>
      <c r="AD196" s="66"/>
      <c r="AE196" s="66">
        <v>16.66190502303137</v>
      </c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  <c r="AZ196" s="66"/>
      <c r="BA196" s="66"/>
      <c r="BB196" s="66"/>
      <c r="BC196" s="66"/>
      <c r="BD196" s="66"/>
      <c r="BE196" s="66"/>
      <c r="BF196" s="66"/>
      <c r="BG196" s="66"/>
      <c r="BH196" s="66"/>
      <c r="BI196" s="188" t="s">
        <v>1</v>
      </c>
      <c r="BJ196" s="204"/>
    </row>
    <row r="197" spans="1:62" ht="12.75" customHeight="1" x14ac:dyDescent="0.35">
      <c r="A197" s="108"/>
      <c r="B197" s="126" t="s">
        <v>1</v>
      </c>
      <c r="C197" s="5" t="s">
        <v>2</v>
      </c>
      <c r="D197" s="5" t="s">
        <v>396</v>
      </c>
      <c r="E197" s="5" t="s">
        <v>397</v>
      </c>
      <c r="F197" s="5">
        <v>1067716</v>
      </c>
      <c r="G197" s="7" t="s">
        <v>639</v>
      </c>
      <c r="H197" s="139">
        <v>200</v>
      </c>
      <c r="I197" s="139">
        <v>100</v>
      </c>
      <c r="J197" s="125">
        <v>0</v>
      </c>
      <c r="K197" s="125">
        <v>155</v>
      </c>
      <c r="L197" s="130">
        <v>77.5</v>
      </c>
      <c r="M197" s="123">
        <v>0.78</v>
      </c>
      <c r="N197" s="130">
        <v>22.5</v>
      </c>
      <c r="O197" s="130">
        <v>0</v>
      </c>
      <c r="P197" s="123">
        <v>0.25333333333333335</v>
      </c>
      <c r="Q197" s="5">
        <v>1759</v>
      </c>
      <c r="R197" s="5">
        <v>1</v>
      </c>
      <c r="S197" s="5">
        <v>1758</v>
      </c>
      <c r="T197" s="5">
        <v>0</v>
      </c>
      <c r="U197" s="5">
        <v>0</v>
      </c>
      <c r="V197" s="5">
        <v>0</v>
      </c>
      <c r="W197" s="5">
        <v>0</v>
      </c>
      <c r="X197" s="125">
        <v>200</v>
      </c>
      <c r="Y197" s="125">
        <v>263.7</v>
      </c>
      <c r="Z197" s="125">
        <v>-1714</v>
      </c>
      <c r="AA197" s="112">
        <v>3030</v>
      </c>
      <c r="AB197" s="112">
        <v>26633.7</v>
      </c>
      <c r="AC197" s="8">
        <v>9.57</v>
      </c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6"/>
      <c r="BB197" s="66"/>
      <c r="BC197" s="66"/>
      <c r="BD197" s="66"/>
      <c r="BE197" s="66"/>
      <c r="BF197" s="66"/>
      <c r="BG197" s="66"/>
      <c r="BH197" s="66"/>
      <c r="BI197" s="189"/>
      <c r="BJ197" s="204"/>
    </row>
    <row r="198" spans="1:62" ht="12.75" customHeight="1" x14ac:dyDescent="0.35">
      <c r="A198" s="108"/>
      <c r="B198" s="126" t="s">
        <v>1</v>
      </c>
      <c r="C198" s="5" t="s">
        <v>24</v>
      </c>
      <c r="D198" s="5" t="s">
        <v>316</v>
      </c>
      <c r="E198" s="5" t="s">
        <v>317</v>
      </c>
      <c r="F198" s="5">
        <v>1064331</v>
      </c>
      <c r="G198" s="7" t="s">
        <v>596</v>
      </c>
      <c r="H198" s="139">
        <v>98.994101193753608</v>
      </c>
      <c r="I198" s="139">
        <v>8.4144986014690577</v>
      </c>
      <c r="J198" s="125">
        <v>0</v>
      </c>
      <c r="K198" s="125">
        <v>279</v>
      </c>
      <c r="L198" s="130">
        <v>23.715000000000003</v>
      </c>
      <c r="M198" s="123">
        <v>2.8183497464554437</v>
      </c>
      <c r="N198" s="130">
        <v>15.300501398530946</v>
      </c>
      <c r="O198" s="130">
        <v>122.43332499646108</v>
      </c>
      <c r="P198" s="123">
        <v>5.3444250078238662</v>
      </c>
      <c r="Q198" s="5">
        <v>3356</v>
      </c>
      <c r="R198" s="5">
        <v>0</v>
      </c>
      <c r="S198" s="5">
        <v>3356</v>
      </c>
      <c r="T198" s="5">
        <v>0</v>
      </c>
      <c r="U198" s="5">
        <v>0</v>
      </c>
      <c r="V198" s="5">
        <v>0</v>
      </c>
      <c r="W198" s="5">
        <v>0</v>
      </c>
      <c r="X198" s="125">
        <v>332.14285714285717</v>
      </c>
      <c r="Y198" s="125">
        <v>303.12258064516129</v>
      </c>
      <c r="Z198" s="125">
        <v>-3536.0058988062465</v>
      </c>
      <c r="AA198" s="112">
        <v>651.38</v>
      </c>
      <c r="AB198" s="112">
        <v>22082.48</v>
      </c>
      <c r="AC198" s="8">
        <v>36.719359599876476</v>
      </c>
      <c r="AD198" s="66"/>
      <c r="AE198" s="66">
        <v>0</v>
      </c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  <c r="AZ198" s="66"/>
      <c r="BA198" s="66"/>
      <c r="BB198" s="66"/>
      <c r="BC198" s="66"/>
      <c r="BD198" s="66"/>
      <c r="BE198" s="66"/>
      <c r="BF198" s="66"/>
      <c r="BG198" s="66"/>
      <c r="BH198" s="66"/>
      <c r="BI198" s="188" t="s">
        <v>1</v>
      </c>
      <c r="BJ198" s="204"/>
    </row>
    <row r="199" spans="1:62" ht="12.75" customHeight="1" x14ac:dyDescent="0.35">
      <c r="A199" s="108"/>
      <c r="B199" s="126" t="s">
        <v>1</v>
      </c>
      <c r="C199" s="5" t="s">
        <v>2</v>
      </c>
      <c r="D199" s="5" t="s">
        <v>396</v>
      </c>
      <c r="E199" s="5" t="s">
        <v>397</v>
      </c>
      <c r="F199" s="5">
        <v>1067719</v>
      </c>
      <c r="G199" s="7" t="s">
        <v>699</v>
      </c>
      <c r="H199" s="139">
        <v>100</v>
      </c>
      <c r="I199" s="139">
        <v>100</v>
      </c>
      <c r="J199" s="125">
        <v>0</v>
      </c>
      <c r="K199" s="125">
        <v>144</v>
      </c>
      <c r="L199" s="130">
        <v>144</v>
      </c>
      <c r="M199" s="123">
        <v>1.45</v>
      </c>
      <c r="N199" s="130">
        <v>44</v>
      </c>
      <c r="O199" s="130">
        <v>0</v>
      </c>
      <c r="P199" s="123">
        <v>0.47</v>
      </c>
      <c r="Q199" s="5">
        <v>1881</v>
      </c>
      <c r="R199" s="5">
        <v>1</v>
      </c>
      <c r="S199" s="5">
        <v>1880</v>
      </c>
      <c r="T199" s="5">
        <v>0</v>
      </c>
      <c r="U199" s="5">
        <v>0</v>
      </c>
      <c r="V199" s="5">
        <v>0</v>
      </c>
      <c r="W199" s="5">
        <v>0</v>
      </c>
      <c r="X199" s="125">
        <v>172.61904761904762</v>
      </c>
      <c r="Y199" s="125">
        <v>326.73103448275862</v>
      </c>
      <c r="Z199" s="125">
        <v>-1925</v>
      </c>
      <c r="AA199" s="112">
        <v>3584</v>
      </c>
      <c r="AB199" s="112">
        <v>67379.199999999997</v>
      </c>
      <c r="AC199" s="8">
        <v>20.25</v>
      </c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X199" s="66"/>
      <c r="AY199" s="66"/>
      <c r="AZ199" s="66"/>
      <c r="BA199" s="66"/>
      <c r="BB199" s="66"/>
      <c r="BC199" s="66"/>
      <c r="BD199" s="66"/>
      <c r="BE199" s="66"/>
      <c r="BF199" s="66"/>
      <c r="BG199" s="66"/>
      <c r="BH199" s="66"/>
      <c r="BI199" s="189" t="s">
        <v>1</v>
      </c>
      <c r="BJ199" s="204"/>
    </row>
    <row r="200" spans="1:62" ht="12.75" customHeight="1" x14ac:dyDescent="0.35">
      <c r="A200" s="108"/>
      <c r="B200" s="126" t="s">
        <v>1</v>
      </c>
      <c r="C200" s="5" t="s">
        <v>2</v>
      </c>
      <c r="D200" s="5" t="s">
        <v>396</v>
      </c>
      <c r="E200" s="5" t="s">
        <v>397</v>
      </c>
      <c r="F200" s="5">
        <v>1071748</v>
      </c>
      <c r="G200" s="7" t="s">
        <v>640</v>
      </c>
      <c r="H200" s="139">
        <v>250</v>
      </c>
      <c r="I200" s="139">
        <v>125</v>
      </c>
      <c r="J200" s="125">
        <v>0</v>
      </c>
      <c r="K200" s="125">
        <v>40</v>
      </c>
      <c r="L200" s="130">
        <v>20</v>
      </c>
      <c r="M200" s="123">
        <v>0.16</v>
      </c>
      <c r="N200" s="130">
        <v>105</v>
      </c>
      <c r="O200" s="130">
        <v>0</v>
      </c>
      <c r="P200" s="123">
        <v>0</v>
      </c>
      <c r="Q200" s="5">
        <v>3611</v>
      </c>
      <c r="R200" s="5">
        <v>0</v>
      </c>
      <c r="S200" s="5">
        <v>3611</v>
      </c>
      <c r="T200" s="5">
        <v>0</v>
      </c>
      <c r="U200" s="5">
        <v>0</v>
      </c>
      <c r="V200" s="5">
        <v>0</v>
      </c>
      <c r="W200" s="5">
        <v>0</v>
      </c>
      <c r="X200" s="125">
        <v>250</v>
      </c>
      <c r="Y200" s="125">
        <v>433.32000000000005</v>
      </c>
      <c r="Z200" s="125">
        <v>-3401</v>
      </c>
      <c r="AA200" s="112">
        <v>4622.5</v>
      </c>
      <c r="AB200" s="112">
        <v>66767.39</v>
      </c>
      <c r="AC200" s="8">
        <v>14.603999999999999</v>
      </c>
      <c r="AD200" s="66"/>
      <c r="AE200" s="66">
        <v>31.022079772079774</v>
      </c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  <c r="BD200" s="66"/>
      <c r="BE200" s="66"/>
      <c r="BF200" s="66"/>
      <c r="BG200" s="66"/>
      <c r="BH200" s="66"/>
      <c r="BI200" s="188" t="s">
        <v>1</v>
      </c>
      <c r="BJ200" s="204"/>
    </row>
    <row r="201" spans="1:62" ht="12.75" customHeight="1" x14ac:dyDescent="0.35">
      <c r="A201" s="108"/>
      <c r="B201" s="126" t="s">
        <v>4</v>
      </c>
      <c r="C201" s="5" t="s">
        <v>5</v>
      </c>
      <c r="D201" s="5" t="s">
        <v>308</v>
      </c>
      <c r="E201" s="5" t="s">
        <v>314</v>
      </c>
      <c r="F201" s="161">
        <v>1083252</v>
      </c>
      <c r="G201" s="162" t="s">
        <v>776</v>
      </c>
      <c r="H201" s="139">
        <v>48.000210000000003</v>
      </c>
      <c r="I201" s="139">
        <v>4.6080201600000006</v>
      </c>
      <c r="J201" s="125">
        <v>0</v>
      </c>
      <c r="K201" s="125">
        <v>1240</v>
      </c>
      <c r="L201" s="130">
        <v>119.04</v>
      </c>
      <c r="M201" s="123">
        <v>31.833194063109307</v>
      </c>
      <c r="N201" s="130">
        <v>114.43197984000001</v>
      </c>
      <c r="O201" s="130">
        <v>0</v>
      </c>
      <c r="P201" s="123">
        <v>0.10561813186813186</v>
      </c>
      <c r="Q201" s="5">
        <v>61080</v>
      </c>
      <c r="R201" s="5">
        <v>288</v>
      </c>
      <c r="S201" s="5">
        <v>60792</v>
      </c>
      <c r="T201" s="5">
        <v>0</v>
      </c>
      <c r="U201" s="5">
        <v>0</v>
      </c>
      <c r="V201" s="5">
        <v>0</v>
      </c>
      <c r="W201" s="5">
        <v>0</v>
      </c>
      <c r="X201" s="125">
        <v>1819.047619047619</v>
      </c>
      <c r="Y201" s="125">
        <v>1002.5905759162305</v>
      </c>
      <c r="Z201" s="125">
        <v>-62271.999790000002</v>
      </c>
      <c r="AA201" s="112">
        <v>105.6</v>
      </c>
      <c r="AB201" s="112">
        <v>133742.39999999999</v>
      </c>
      <c r="AC201" s="8">
        <v>1298.3276531498507</v>
      </c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66"/>
      <c r="AU201" s="66"/>
      <c r="AV201" s="66"/>
      <c r="AW201" s="66"/>
      <c r="AX201" s="66"/>
      <c r="AY201" s="66"/>
      <c r="AZ201" s="66"/>
      <c r="BA201" s="66"/>
      <c r="BB201" s="66"/>
      <c r="BC201" s="66"/>
      <c r="BD201" s="66"/>
      <c r="BE201" s="66"/>
      <c r="BF201" s="66"/>
      <c r="BG201" s="66"/>
      <c r="BH201" s="66"/>
      <c r="BI201" s="188" t="s">
        <v>1</v>
      </c>
      <c r="BJ201" s="204"/>
    </row>
    <row r="202" spans="1:62" ht="12.75" customHeight="1" x14ac:dyDescent="0.35">
      <c r="A202" s="108"/>
      <c r="B202" s="126" t="s">
        <v>15</v>
      </c>
      <c r="C202" s="5" t="s">
        <v>5</v>
      </c>
      <c r="D202" s="5" t="s">
        <v>308</v>
      </c>
      <c r="E202" s="5" t="s">
        <v>315</v>
      </c>
      <c r="F202" s="128">
        <v>1074229</v>
      </c>
      <c r="G202" s="129" t="s">
        <v>760</v>
      </c>
      <c r="H202" s="139">
        <v>0</v>
      </c>
      <c r="I202" s="139">
        <v>0</v>
      </c>
      <c r="J202" s="125">
        <v>0</v>
      </c>
      <c r="K202" s="125">
        <v>0</v>
      </c>
      <c r="L202" s="130">
        <v>0</v>
      </c>
      <c r="M202" s="123">
        <v>0</v>
      </c>
      <c r="N202" s="130">
        <v>0</v>
      </c>
      <c r="O202" s="130">
        <v>0</v>
      </c>
      <c r="P202" s="123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1062</v>
      </c>
      <c r="X202" s="125">
        <v>0</v>
      </c>
      <c r="Y202" s="125" t="s">
        <v>574</v>
      </c>
      <c r="Z202" s="125"/>
      <c r="AA202" s="112">
        <v>0</v>
      </c>
      <c r="AB202" s="112">
        <v>7529.58</v>
      </c>
      <c r="AC202" s="8"/>
      <c r="AD202" s="66"/>
      <c r="AE202" s="66">
        <v>12.431794871794875</v>
      </c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6"/>
      <c r="AW202" s="66"/>
      <c r="AX202" s="66"/>
      <c r="AY202" s="66"/>
      <c r="AZ202" s="66"/>
      <c r="BA202" s="66"/>
      <c r="BB202" s="66"/>
      <c r="BC202" s="66"/>
      <c r="BD202" s="66"/>
      <c r="BE202" s="66"/>
      <c r="BF202" s="66"/>
      <c r="BG202" s="66"/>
      <c r="BH202" s="66"/>
      <c r="BI202" s="188" t="s">
        <v>1</v>
      </c>
      <c r="BJ202" s="204" t="s">
        <v>844</v>
      </c>
    </row>
    <row r="203" spans="1:62" ht="12.75" customHeight="1" x14ac:dyDescent="0.35">
      <c r="A203" s="108"/>
      <c r="B203" s="126" t="s">
        <v>1</v>
      </c>
      <c r="C203" s="5" t="s">
        <v>50</v>
      </c>
      <c r="D203" s="5" t="s">
        <v>316</v>
      </c>
      <c r="E203" s="5" t="s">
        <v>408</v>
      </c>
      <c r="F203" s="128">
        <v>1060289</v>
      </c>
      <c r="G203" s="129" t="s">
        <v>259</v>
      </c>
      <c r="H203" s="139">
        <v>0</v>
      </c>
      <c r="I203" s="139">
        <v>0</v>
      </c>
      <c r="J203" s="125">
        <v>0</v>
      </c>
      <c r="K203" s="125">
        <v>0</v>
      </c>
      <c r="L203" s="130">
        <v>0</v>
      </c>
      <c r="M203" s="123">
        <v>0</v>
      </c>
      <c r="N203" s="130">
        <v>0</v>
      </c>
      <c r="O203" s="130">
        <v>0</v>
      </c>
      <c r="P203" s="123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125">
        <v>0</v>
      </c>
      <c r="Y203" s="125" t="s">
        <v>574</v>
      </c>
      <c r="Z203" s="125"/>
      <c r="AA203" s="112">
        <v>0</v>
      </c>
      <c r="AB203" s="112">
        <v>0</v>
      </c>
      <c r="AC203" s="8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6"/>
      <c r="AW203" s="66"/>
      <c r="AX203" s="66"/>
      <c r="AY203" s="66"/>
      <c r="AZ203" s="66"/>
      <c r="BA203" s="66"/>
      <c r="BB203" s="66"/>
      <c r="BC203" s="66"/>
      <c r="BD203" s="66"/>
      <c r="BE203" s="66"/>
      <c r="BF203" s="66"/>
      <c r="BG203" s="66"/>
      <c r="BH203" s="66"/>
      <c r="BI203" s="188"/>
      <c r="BJ203" s="204"/>
    </row>
    <row r="204" spans="1:62" ht="12.75" customHeight="1" x14ac:dyDescent="0.35">
      <c r="A204" s="108"/>
      <c r="B204" s="126" t="s">
        <v>31</v>
      </c>
      <c r="C204" s="5" t="s">
        <v>5</v>
      </c>
      <c r="D204" s="5" t="s">
        <v>306</v>
      </c>
      <c r="E204" s="5" t="s">
        <v>307</v>
      </c>
      <c r="F204" s="5">
        <v>1071167</v>
      </c>
      <c r="G204" s="7" t="s">
        <v>599</v>
      </c>
      <c r="H204" s="139">
        <v>0</v>
      </c>
      <c r="I204" s="139">
        <v>0</v>
      </c>
      <c r="J204" s="125">
        <v>0</v>
      </c>
      <c r="K204" s="125">
        <v>-18</v>
      </c>
      <c r="L204" s="130">
        <v>-7.2</v>
      </c>
      <c r="M204" s="123">
        <v>0</v>
      </c>
      <c r="N204" s="130">
        <v>7.2</v>
      </c>
      <c r="O204" s="130">
        <v>0</v>
      </c>
      <c r="P204" s="123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125">
        <v>0</v>
      </c>
      <c r="Y204" s="125" t="s">
        <v>574</v>
      </c>
      <c r="Z204" s="125"/>
      <c r="AA204" s="112">
        <v>0</v>
      </c>
      <c r="AB204" s="112">
        <v>0</v>
      </c>
      <c r="AC204" s="8"/>
      <c r="AD204" s="66"/>
      <c r="AE204" s="66">
        <v>33.010210690745616</v>
      </c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66"/>
      <c r="AU204" s="66"/>
      <c r="AV204" s="66"/>
      <c r="AW204" s="66"/>
      <c r="AX204" s="66"/>
      <c r="AY204" s="66"/>
      <c r="AZ204" s="66"/>
      <c r="BA204" s="66"/>
      <c r="BB204" s="66"/>
      <c r="BC204" s="66"/>
      <c r="BD204" s="66"/>
      <c r="BE204" s="66"/>
      <c r="BF204" s="66"/>
      <c r="BG204" s="66"/>
      <c r="BH204" s="66"/>
      <c r="BI204" s="188" t="s">
        <v>1</v>
      </c>
      <c r="BJ204" s="204" t="s">
        <v>845</v>
      </c>
    </row>
    <row r="205" spans="1:62" ht="12.75" customHeight="1" x14ac:dyDescent="0.35">
      <c r="A205" s="108"/>
      <c r="B205" s="126" t="s">
        <v>31</v>
      </c>
      <c r="C205" s="5" t="s">
        <v>5</v>
      </c>
      <c r="D205" s="5" t="s">
        <v>306</v>
      </c>
      <c r="E205" s="5" t="s">
        <v>307</v>
      </c>
      <c r="F205" s="5">
        <v>1056628</v>
      </c>
      <c r="G205" s="7" t="s">
        <v>222</v>
      </c>
      <c r="H205" s="139">
        <v>0</v>
      </c>
      <c r="I205" s="139">
        <v>0</v>
      </c>
      <c r="J205" s="125">
        <v>0</v>
      </c>
      <c r="K205" s="125">
        <v>3</v>
      </c>
      <c r="L205" s="130">
        <v>1.5</v>
      </c>
      <c r="M205" s="123">
        <v>0</v>
      </c>
      <c r="N205" s="130">
        <v>1.5</v>
      </c>
      <c r="O205" s="130">
        <v>0</v>
      </c>
      <c r="P205" s="123">
        <v>0</v>
      </c>
      <c r="Q205" s="5">
        <v>0</v>
      </c>
      <c r="R205" s="5">
        <v>0</v>
      </c>
      <c r="S205" s="5">
        <v>0</v>
      </c>
      <c r="T205" s="5">
        <v>0</v>
      </c>
      <c r="U205" s="5">
        <v>4</v>
      </c>
      <c r="V205" s="5">
        <v>0</v>
      </c>
      <c r="W205" s="5">
        <v>0</v>
      </c>
      <c r="X205" s="125">
        <v>0</v>
      </c>
      <c r="Y205" s="125" t="s">
        <v>574</v>
      </c>
      <c r="Z205" s="125"/>
      <c r="AA205" s="112">
        <v>0</v>
      </c>
      <c r="AB205" s="112">
        <v>46.72</v>
      </c>
      <c r="AC205" s="8"/>
      <c r="AD205" s="66"/>
      <c r="AE205" s="66">
        <v>45.093708609271523</v>
      </c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66"/>
      <c r="AU205" s="66"/>
      <c r="AV205" s="66"/>
      <c r="AW205" s="66"/>
      <c r="AX205" s="66"/>
      <c r="AY205" s="66"/>
      <c r="AZ205" s="66"/>
      <c r="BA205" s="66"/>
      <c r="BB205" s="66"/>
      <c r="BC205" s="66"/>
      <c r="BD205" s="66"/>
      <c r="BE205" s="66"/>
      <c r="BF205" s="66"/>
      <c r="BG205" s="66"/>
      <c r="BH205" s="66"/>
      <c r="BI205" s="188" t="s">
        <v>1</v>
      </c>
      <c r="BJ205" s="204" t="s">
        <v>845</v>
      </c>
    </row>
    <row r="206" spans="1:62" ht="12.75" customHeight="1" x14ac:dyDescent="0.35">
      <c r="A206" s="108"/>
      <c r="B206" s="126" t="s">
        <v>21</v>
      </c>
      <c r="C206" s="5" t="s">
        <v>2</v>
      </c>
      <c r="D206" s="5" t="s">
        <v>308</v>
      </c>
      <c r="E206" s="5" t="s">
        <v>395</v>
      </c>
      <c r="F206" s="150">
        <v>1070484</v>
      </c>
      <c r="G206" s="151" t="s">
        <v>615</v>
      </c>
      <c r="H206" s="139">
        <v>0</v>
      </c>
      <c r="I206" s="139">
        <v>0</v>
      </c>
      <c r="J206" s="125">
        <v>0</v>
      </c>
      <c r="K206" s="125">
        <v>32</v>
      </c>
      <c r="L206" s="130">
        <v>3.024</v>
      </c>
      <c r="M206" s="123">
        <v>0</v>
      </c>
      <c r="N206" s="130">
        <v>3.024</v>
      </c>
      <c r="O206" s="130">
        <v>0</v>
      </c>
      <c r="P206" s="123">
        <v>0.96666666666666667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125">
        <v>0</v>
      </c>
      <c r="Y206" s="125" t="s">
        <v>574</v>
      </c>
      <c r="Z206" s="125"/>
      <c r="AA206" s="112">
        <v>0</v>
      </c>
      <c r="AB206" s="112">
        <v>0</v>
      </c>
      <c r="AC206" s="8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  <c r="AV206" s="66"/>
      <c r="AW206" s="66"/>
      <c r="AX206" s="66"/>
      <c r="AY206" s="66"/>
      <c r="AZ206" s="66"/>
      <c r="BA206" s="66"/>
      <c r="BB206" s="66"/>
      <c r="BC206" s="66"/>
      <c r="BD206" s="66"/>
      <c r="BE206" s="66"/>
      <c r="BF206" s="66"/>
      <c r="BG206" s="66"/>
      <c r="BH206" s="66"/>
      <c r="BI206" s="189" t="s">
        <v>1</v>
      </c>
      <c r="BJ206" s="204"/>
    </row>
    <row r="207" spans="1:62" ht="12.75" customHeight="1" x14ac:dyDescent="0.35">
      <c r="A207" s="108"/>
      <c r="B207" s="126" t="s">
        <v>9</v>
      </c>
      <c r="C207" s="5" t="s">
        <v>5</v>
      </c>
      <c r="D207" s="5" t="s">
        <v>308</v>
      </c>
      <c r="E207" s="5" t="s">
        <v>797</v>
      </c>
      <c r="F207" s="5">
        <v>1079783</v>
      </c>
      <c r="G207" s="169" t="s">
        <v>798</v>
      </c>
      <c r="H207" s="139">
        <v>0</v>
      </c>
      <c r="I207" s="139">
        <v>0</v>
      </c>
      <c r="J207" s="125">
        <v>0</v>
      </c>
      <c r="K207" s="125">
        <v>2016</v>
      </c>
      <c r="L207" s="130">
        <v>1008</v>
      </c>
      <c r="M207" s="123">
        <v>0</v>
      </c>
      <c r="N207" s="130">
        <v>1008</v>
      </c>
      <c r="O207" s="130">
        <v>0</v>
      </c>
      <c r="P207" s="123">
        <v>0.42990654205607476</v>
      </c>
      <c r="Q207" s="5">
        <v>1191</v>
      </c>
      <c r="R207" s="5">
        <v>0</v>
      </c>
      <c r="S207" s="5">
        <v>1191</v>
      </c>
      <c r="T207" s="5">
        <v>0</v>
      </c>
      <c r="U207" s="5">
        <v>0</v>
      </c>
      <c r="V207" s="5">
        <v>0</v>
      </c>
      <c r="W207" s="5">
        <v>1</v>
      </c>
      <c r="X207" s="125">
        <v>0</v>
      </c>
      <c r="Y207" s="125" t="s">
        <v>574</v>
      </c>
      <c r="Z207" s="125"/>
      <c r="AA207" s="112">
        <v>0</v>
      </c>
      <c r="AB207" s="112">
        <v>25103.52</v>
      </c>
      <c r="AC207" s="8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  <c r="AV207" s="66"/>
      <c r="AW207" s="66"/>
      <c r="AX207" s="66"/>
      <c r="AY207" s="66"/>
      <c r="AZ207" s="66"/>
      <c r="BA207" s="66"/>
      <c r="BB207" s="66"/>
      <c r="BC207" s="66"/>
      <c r="BD207" s="66"/>
      <c r="BE207" s="66"/>
      <c r="BF207" s="66"/>
      <c r="BG207" s="66"/>
      <c r="BH207" s="66"/>
      <c r="BI207" s="189"/>
      <c r="BJ207" s="204"/>
    </row>
    <row r="208" spans="1:62" ht="12.75" customHeight="1" x14ac:dyDescent="0.35">
      <c r="A208" s="108"/>
      <c r="B208" s="126" t="s">
        <v>21</v>
      </c>
      <c r="C208" s="5" t="s">
        <v>5</v>
      </c>
      <c r="D208" s="5" t="s">
        <v>308</v>
      </c>
      <c r="E208" s="5" t="s">
        <v>372</v>
      </c>
      <c r="F208" s="137">
        <v>1059111</v>
      </c>
      <c r="G208" s="138" t="s">
        <v>525</v>
      </c>
      <c r="H208" s="139">
        <v>0</v>
      </c>
      <c r="I208" s="139">
        <v>0</v>
      </c>
      <c r="J208" s="125">
        <v>0</v>
      </c>
      <c r="K208" s="125">
        <v>495</v>
      </c>
      <c r="L208" s="130">
        <v>213.84</v>
      </c>
      <c r="M208" s="123">
        <v>0</v>
      </c>
      <c r="N208" s="130">
        <v>213.84</v>
      </c>
      <c r="O208" s="130">
        <v>0</v>
      </c>
      <c r="P208" s="123">
        <v>0.64786585365853655</v>
      </c>
      <c r="Q208" s="5">
        <v>537</v>
      </c>
      <c r="R208" s="5">
        <v>21</v>
      </c>
      <c r="S208" s="5">
        <v>516</v>
      </c>
      <c r="T208" s="5">
        <v>0</v>
      </c>
      <c r="U208" s="5">
        <v>0</v>
      </c>
      <c r="V208" s="5">
        <v>0</v>
      </c>
      <c r="W208" s="5">
        <v>0</v>
      </c>
      <c r="X208" s="125">
        <v>0</v>
      </c>
      <c r="Y208" s="125" t="s">
        <v>574</v>
      </c>
      <c r="Z208" s="125"/>
      <c r="AA208" s="112">
        <v>0</v>
      </c>
      <c r="AB208" s="112">
        <v>3679.08</v>
      </c>
      <c r="AC208" s="8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6"/>
      <c r="AW208" s="66"/>
      <c r="AX208" s="66"/>
      <c r="AY208" s="66"/>
      <c r="AZ208" s="66"/>
      <c r="BA208" s="66"/>
      <c r="BB208" s="66"/>
      <c r="BC208" s="66"/>
      <c r="BD208" s="66"/>
      <c r="BE208" s="66"/>
      <c r="BF208" s="66"/>
      <c r="BG208" s="66"/>
      <c r="BH208" s="66"/>
      <c r="BI208" s="188" t="s">
        <v>1</v>
      </c>
      <c r="BJ208" s="204"/>
    </row>
    <row r="209" spans="1:62" ht="12.75" customHeight="1" x14ac:dyDescent="0.35">
      <c r="A209" s="108"/>
      <c r="B209" s="126" t="s">
        <v>9</v>
      </c>
      <c r="C209" s="5" t="s">
        <v>5</v>
      </c>
      <c r="D209" s="5" t="s">
        <v>308</v>
      </c>
      <c r="E209" s="5" t="s">
        <v>797</v>
      </c>
      <c r="F209" s="5">
        <v>1079784</v>
      </c>
      <c r="G209" s="169" t="s">
        <v>801</v>
      </c>
      <c r="H209" s="139">
        <v>0</v>
      </c>
      <c r="I209" s="139">
        <v>0</v>
      </c>
      <c r="J209" s="125">
        <v>0</v>
      </c>
      <c r="K209" s="125">
        <v>2394</v>
      </c>
      <c r="L209" s="130">
        <v>1197</v>
      </c>
      <c r="M209" s="123">
        <v>0</v>
      </c>
      <c r="N209" s="130">
        <v>1197</v>
      </c>
      <c r="O209" s="130">
        <v>0</v>
      </c>
      <c r="P209" s="123">
        <v>2.0499999999999998</v>
      </c>
      <c r="Q209" s="5">
        <v>1799</v>
      </c>
      <c r="R209" s="5">
        <v>0</v>
      </c>
      <c r="S209" s="5">
        <v>1799</v>
      </c>
      <c r="T209" s="5">
        <v>0</v>
      </c>
      <c r="U209" s="5">
        <v>0</v>
      </c>
      <c r="V209" s="5">
        <v>0</v>
      </c>
      <c r="W209" s="5">
        <v>0</v>
      </c>
      <c r="X209" s="125">
        <v>0</v>
      </c>
      <c r="Y209" s="125" t="s">
        <v>574</v>
      </c>
      <c r="Z209" s="125"/>
      <c r="AA209" s="112">
        <v>0</v>
      </c>
      <c r="AB209" s="112">
        <v>42582.33</v>
      </c>
      <c r="AC209" s="8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66"/>
      <c r="AU209" s="66"/>
      <c r="AV209" s="66"/>
      <c r="AW209" s="66"/>
      <c r="AX209" s="66"/>
      <c r="AY209" s="66"/>
      <c r="AZ209" s="66"/>
      <c r="BA209" s="66"/>
      <c r="BB209" s="66"/>
      <c r="BC209" s="66"/>
      <c r="BD209" s="66"/>
      <c r="BE209" s="66"/>
      <c r="BF209" s="66"/>
      <c r="BG209" s="66"/>
      <c r="BH209" s="66"/>
      <c r="BI209" s="189"/>
      <c r="BJ209" s="204"/>
    </row>
    <row r="210" spans="1:62" ht="12.75" customHeight="1" x14ac:dyDescent="0.35">
      <c r="A210" s="108"/>
      <c r="B210" s="126" t="s">
        <v>9</v>
      </c>
      <c r="C210" s="5" t="s">
        <v>5</v>
      </c>
      <c r="D210" s="5" t="s">
        <v>308</v>
      </c>
      <c r="E210" s="5" t="s">
        <v>797</v>
      </c>
      <c r="F210" s="5">
        <v>1079785</v>
      </c>
      <c r="G210" s="169" t="s">
        <v>800</v>
      </c>
      <c r="H210" s="139">
        <v>0</v>
      </c>
      <c r="I210" s="139">
        <v>0</v>
      </c>
      <c r="J210" s="125">
        <v>0</v>
      </c>
      <c r="K210" s="125">
        <v>2550</v>
      </c>
      <c r="L210" s="130">
        <v>1275</v>
      </c>
      <c r="M210" s="123">
        <v>0</v>
      </c>
      <c r="N210" s="130">
        <v>1275</v>
      </c>
      <c r="O210" s="130">
        <v>0</v>
      </c>
      <c r="P210" s="123">
        <v>4.9000000000000004</v>
      </c>
      <c r="Q210" s="5">
        <v>1600</v>
      </c>
      <c r="R210" s="5">
        <v>0</v>
      </c>
      <c r="S210" s="5">
        <v>1600</v>
      </c>
      <c r="T210" s="5">
        <v>0</v>
      </c>
      <c r="U210" s="5">
        <v>0</v>
      </c>
      <c r="V210" s="5">
        <v>0</v>
      </c>
      <c r="W210" s="5">
        <v>0</v>
      </c>
      <c r="X210" s="125">
        <v>0</v>
      </c>
      <c r="Y210" s="125" t="s">
        <v>574</v>
      </c>
      <c r="Z210" s="125"/>
      <c r="AA210" s="112">
        <v>0</v>
      </c>
      <c r="AB210" s="112">
        <v>36000</v>
      </c>
      <c r="AC210" s="8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  <c r="AV210" s="66"/>
      <c r="AW210" s="66"/>
      <c r="AX210" s="66"/>
      <c r="AY210" s="66"/>
      <c r="AZ210" s="66"/>
      <c r="BA210" s="66"/>
      <c r="BB210" s="66"/>
      <c r="BC210" s="66"/>
      <c r="BD210" s="66"/>
      <c r="BE210" s="66"/>
      <c r="BF210" s="66"/>
      <c r="BG210" s="66"/>
      <c r="BH210" s="66"/>
      <c r="BI210" s="189"/>
      <c r="BJ210" s="204"/>
    </row>
    <row r="211" spans="1:62" ht="12.75" customHeight="1" x14ac:dyDescent="0.35">
      <c r="A211" s="108"/>
      <c r="B211" s="126" t="s">
        <v>9</v>
      </c>
      <c r="C211" s="5" t="s">
        <v>5</v>
      </c>
      <c r="D211" s="5" t="s">
        <v>308</v>
      </c>
      <c r="E211" s="5" t="s">
        <v>797</v>
      </c>
      <c r="F211" s="5">
        <v>1079786</v>
      </c>
      <c r="G211" s="169" t="s">
        <v>799</v>
      </c>
      <c r="H211" s="139">
        <v>0</v>
      </c>
      <c r="I211" s="139">
        <v>0</v>
      </c>
      <c r="J211" s="125">
        <v>0</v>
      </c>
      <c r="K211" s="125">
        <v>3865</v>
      </c>
      <c r="L211" s="130">
        <v>1932.5</v>
      </c>
      <c r="M211" s="123">
        <v>0</v>
      </c>
      <c r="N211" s="130">
        <v>1932.5</v>
      </c>
      <c r="O211" s="130">
        <v>0</v>
      </c>
      <c r="P211" s="123">
        <v>2.5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125">
        <v>0</v>
      </c>
      <c r="Y211" s="125" t="s">
        <v>574</v>
      </c>
      <c r="Z211" s="125"/>
      <c r="AA211" s="112">
        <v>0</v>
      </c>
      <c r="AB211" s="112">
        <v>0</v>
      </c>
      <c r="AC211" s="8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  <c r="AZ211" s="66"/>
      <c r="BA211" s="66"/>
      <c r="BB211" s="66"/>
      <c r="BC211" s="66"/>
      <c r="BD211" s="66"/>
      <c r="BE211" s="66"/>
      <c r="BF211" s="66"/>
      <c r="BG211" s="66"/>
      <c r="BH211" s="66"/>
      <c r="BI211" s="189"/>
      <c r="BJ211" s="204"/>
    </row>
    <row r="212" spans="1:62" ht="12.75" customHeight="1" x14ac:dyDescent="0.35">
      <c r="A212" s="108"/>
      <c r="B212" s="126" t="s">
        <v>31</v>
      </c>
      <c r="C212" s="5" t="s">
        <v>5</v>
      </c>
      <c r="D212" s="5" t="s">
        <v>306</v>
      </c>
      <c r="E212" s="5" t="s">
        <v>307</v>
      </c>
      <c r="F212" s="148">
        <v>1074078</v>
      </c>
      <c r="G212" s="149" t="s">
        <v>680</v>
      </c>
      <c r="H212" s="139">
        <v>0</v>
      </c>
      <c r="I212" s="139">
        <v>0</v>
      </c>
      <c r="J212" s="125">
        <v>0</v>
      </c>
      <c r="K212" s="125">
        <v>0</v>
      </c>
      <c r="L212" s="130">
        <v>0</v>
      </c>
      <c r="M212" s="123">
        <v>0</v>
      </c>
      <c r="N212" s="130">
        <v>0</v>
      </c>
      <c r="O212" s="130">
        <v>0</v>
      </c>
      <c r="P212" s="123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125">
        <v>0</v>
      </c>
      <c r="Y212" s="125" t="s">
        <v>574</v>
      </c>
      <c r="Z212" s="125"/>
      <c r="AA212" s="112">
        <v>0</v>
      </c>
      <c r="AB212" s="112">
        <v>0</v>
      </c>
      <c r="AC212" s="8"/>
      <c r="AD212" s="66"/>
      <c r="AE212" s="66" t="s">
        <v>574</v>
      </c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6"/>
      <c r="BB212" s="66"/>
      <c r="BC212" s="66"/>
      <c r="BD212" s="66"/>
      <c r="BE212" s="66"/>
      <c r="BF212" s="66"/>
      <c r="BG212" s="66"/>
      <c r="BH212" s="66"/>
      <c r="BI212" s="189" t="s">
        <v>1</v>
      </c>
      <c r="BJ212" s="204"/>
    </row>
    <row r="213" spans="1:62" ht="12.75" customHeight="1" x14ac:dyDescent="0.35">
      <c r="A213" s="108"/>
      <c r="B213" s="126" t="s">
        <v>1</v>
      </c>
      <c r="C213" s="5" t="s">
        <v>11</v>
      </c>
      <c r="D213" s="5" t="s">
        <v>396</v>
      </c>
      <c r="E213" s="5" t="s">
        <v>307</v>
      </c>
      <c r="F213" s="148">
        <v>1057511</v>
      </c>
      <c r="G213" s="149" t="s">
        <v>246</v>
      </c>
      <c r="H213" s="139">
        <v>0</v>
      </c>
      <c r="I213" s="139">
        <v>0</v>
      </c>
      <c r="J213" s="125">
        <v>0</v>
      </c>
      <c r="K213" s="125">
        <v>0</v>
      </c>
      <c r="L213" s="130">
        <v>0</v>
      </c>
      <c r="M213" s="123">
        <v>0</v>
      </c>
      <c r="N213" s="130">
        <v>0</v>
      </c>
      <c r="O213" s="130">
        <v>0</v>
      </c>
      <c r="P213" s="123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125">
        <v>0</v>
      </c>
      <c r="Y213" s="125" t="s">
        <v>574</v>
      </c>
      <c r="Z213" s="125"/>
      <c r="AA213" s="112">
        <v>0</v>
      </c>
      <c r="AB213" s="112">
        <v>0</v>
      </c>
      <c r="AC213" s="8"/>
      <c r="AD213" s="66"/>
      <c r="AE213" s="66" t="s">
        <v>574</v>
      </c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X213" s="66"/>
      <c r="AY213" s="66"/>
      <c r="AZ213" s="66"/>
      <c r="BA213" s="66"/>
      <c r="BB213" s="66"/>
      <c r="BC213" s="66"/>
      <c r="BD213" s="66"/>
      <c r="BE213" s="66"/>
      <c r="BF213" s="66"/>
      <c r="BG213" s="66"/>
      <c r="BH213" s="66"/>
      <c r="BI213" s="189" t="s">
        <v>1</v>
      </c>
      <c r="BJ213" s="204"/>
    </row>
    <row r="214" spans="1:62" ht="12.75" customHeight="1" x14ac:dyDescent="0.35">
      <c r="A214" s="108"/>
      <c r="B214" s="126" t="s">
        <v>1</v>
      </c>
      <c r="C214" s="5" t="s">
        <v>5</v>
      </c>
      <c r="D214" s="5" t="s">
        <v>396</v>
      </c>
      <c r="E214" s="5" t="s">
        <v>307</v>
      </c>
      <c r="F214" s="152">
        <v>1067888</v>
      </c>
      <c r="G214" s="153" t="s">
        <v>541</v>
      </c>
      <c r="H214" s="139">
        <v>0</v>
      </c>
      <c r="I214" s="139">
        <v>0</v>
      </c>
      <c r="J214" s="125">
        <v>0</v>
      </c>
      <c r="K214" s="125">
        <v>0</v>
      </c>
      <c r="L214" s="130">
        <v>0</v>
      </c>
      <c r="M214" s="123">
        <v>0</v>
      </c>
      <c r="N214" s="130">
        <v>0</v>
      </c>
      <c r="O214" s="130">
        <v>0</v>
      </c>
      <c r="P214" s="123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125">
        <v>0</v>
      </c>
      <c r="Y214" s="125" t="s">
        <v>574</v>
      </c>
      <c r="Z214" s="125"/>
      <c r="AA214" s="112">
        <v>0</v>
      </c>
      <c r="AB214" s="112">
        <v>0</v>
      </c>
      <c r="AC214" s="8"/>
      <c r="AD214" s="66"/>
      <c r="AE214" s="66">
        <v>64.281292984869324</v>
      </c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6"/>
      <c r="AW214" s="66"/>
      <c r="AX214" s="66"/>
      <c r="AY214" s="66"/>
      <c r="AZ214" s="66"/>
      <c r="BA214" s="66"/>
      <c r="BB214" s="66"/>
      <c r="BC214" s="66"/>
      <c r="BD214" s="66"/>
      <c r="BE214" s="66"/>
      <c r="BF214" s="66"/>
      <c r="BG214" s="66"/>
      <c r="BH214" s="66"/>
      <c r="BI214" s="188" t="s">
        <v>1</v>
      </c>
      <c r="BJ214" s="204"/>
    </row>
    <row r="215" spans="1:62" ht="12.75" customHeight="1" x14ac:dyDescent="0.35">
      <c r="A215" s="108"/>
      <c r="B215" s="126" t="s">
        <v>1</v>
      </c>
      <c r="C215" s="5" t="s">
        <v>5</v>
      </c>
      <c r="D215" s="5" t="s">
        <v>396</v>
      </c>
      <c r="E215" s="5" t="s">
        <v>307</v>
      </c>
      <c r="F215" s="128">
        <v>2014940</v>
      </c>
      <c r="G215" s="129" t="s">
        <v>176</v>
      </c>
      <c r="H215" s="139">
        <v>0</v>
      </c>
      <c r="I215" s="139">
        <v>0</v>
      </c>
      <c r="J215" s="125">
        <v>0</v>
      </c>
      <c r="K215" s="125">
        <v>0</v>
      </c>
      <c r="L215" s="130">
        <v>0</v>
      </c>
      <c r="M215" s="123">
        <v>0</v>
      </c>
      <c r="N215" s="130">
        <v>0</v>
      </c>
      <c r="O215" s="130">
        <v>0</v>
      </c>
      <c r="P215" s="123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125">
        <v>0</v>
      </c>
      <c r="Y215" s="125" t="s">
        <v>574</v>
      </c>
      <c r="Z215" s="125"/>
      <c r="AA215" s="112">
        <v>0</v>
      </c>
      <c r="AB215" s="112">
        <v>0</v>
      </c>
      <c r="AC215" s="8"/>
      <c r="AD215" s="66"/>
      <c r="AE215" s="66" t="s">
        <v>574</v>
      </c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66"/>
      <c r="AU215" s="66"/>
      <c r="AV215" s="66"/>
      <c r="AW215" s="66"/>
      <c r="AX215" s="66"/>
      <c r="AY215" s="66"/>
      <c r="AZ215" s="66"/>
      <c r="BA215" s="66"/>
      <c r="BB215" s="66"/>
      <c r="BC215" s="66"/>
      <c r="BD215" s="66"/>
      <c r="BE215" s="66"/>
      <c r="BF215" s="66"/>
      <c r="BG215" s="66"/>
      <c r="BH215" s="66"/>
      <c r="BI215" s="189" t="s">
        <v>1</v>
      </c>
      <c r="BJ215" s="204"/>
    </row>
    <row r="216" spans="1:62" ht="12.75" customHeight="1" x14ac:dyDescent="0.35">
      <c r="A216" s="108"/>
      <c r="B216" s="126" t="s">
        <v>1</v>
      </c>
      <c r="C216" s="5" t="s">
        <v>5</v>
      </c>
      <c r="D216" s="5" t="s">
        <v>396</v>
      </c>
      <c r="E216" s="5" t="s">
        <v>307</v>
      </c>
      <c r="F216" s="128">
        <v>2014937</v>
      </c>
      <c r="G216" s="129" t="s">
        <v>175</v>
      </c>
      <c r="H216" s="139">
        <v>0</v>
      </c>
      <c r="I216" s="139">
        <v>0</v>
      </c>
      <c r="J216" s="125">
        <v>0</v>
      </c>
      <c r="K216" s="125">
        <v>0</v>
      </c>
      <c r="L216" s="130">
        <v>0</v>
      </c>
      <c r="M216" s="123">
        <v>0</v>
      </c>
      <c r="N216" s="130">
        <v>0</v>
      </c>
      <c r="O216" s="130">
        <v>0</v>
      </c>
      <c r="P216" s="123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125">
        <v>0</v>
      </c>
      <c r="Y216" s="125" t="s">
        <v>574</v>
      </c>
      <c r="Z216" s="125"/>
      <c r="AA216" s="112">
        <v>0</v>
      </c>
      <c r="AB216" s="112">
        <v>0</v>
      </c>
      <c r="AC216" s="8"/>
      <c r="AD216" s="66"/>
      <c r="AE216" s="66" t="s">
        <v>574</v>
      </c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6"/>
      <c r="AW216" s="66"/>
      <c r="AX216" s="66"/>
      <c r="AY216" s="66"/>
      <c r="AZ216" s="66"/>
      <c r="BA216" s="66"/>
      <c r="BB216" s="66"/>
      <c r="BC216" s="66"/>
      <c r="BD216" s="66"/>
      <c r="BE216" s="66"/>
      <c r="BF216" s="66"/>
      <c r="BG216" s="66"/>
      <c r="BH216" s="66"/>
      <c r="BI216" s="189" t="s">
        <v>1</v>
      </c>
      <c r="BJ216" s="204"/>
    </row>
    <row r="217" spans="1:62" ht="12.75" customHeight="1" x14ac:dyDescent="0.35">
      <c r="A217" s="108"/>
      <c r="B217" s="126" t="s">
        <v>1</v>
      </c>
      <c r="C217" s="5" t="s">
        <v>2</v>
      </c>
      <c r="D217" s="5" t="s">
        <v>310</v>
      </c>
      <c r="E217" s="5" t="s">
        <v>311</v>
      </c>
      <c r="F217" s="128">
        <v>1034575</v>
      </c>
      <c r="G217" s="129" t="s">
        <v>99</v>
      </c>
      <c r="H217" s="139">
        <v>0</v>
      </c>
      <c r="I217" s="139">
        <v>0</v>
      </c>
      <c r="J217" s="125">
        <v>0</v>
      </c>
      <c r="K217" s="125">
        <v>0</v>
      </c>
      <c r="L217" s="130">
        <v>0</v>
      </c>
      <c r="M217" s="123">
        <v>0</v>
      </c>
      <c r="N217" s="130">
        <v>0</v>
      </c>
      <c r="O217" s="130">
        <v>0</v>
      </c>
      <c r="P217" s="123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125">
        <v>0</v>
      </c>
      <c r="Y217" s="125" t="s">
        <v>574</v>
      </c>
      <c r="Z217" s="125"/>
      <c r="AA217" s="112">
        <v>0</v>
      </c>
      <c r="AB217" s="112">
        <v>0</v>
      </c>
      <c r="AC217" s="8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6"/>
      <c r="AW217" s="66"/>
      <c r="AX217" s="66"/>
      <c r="AY217" s="66"/>
      <c r="AZ217" s="66"/>
      <c r="BA217" s="66"/>
      <c r="BB217" s="66"/>
      <c r="BC217" s="66"/>
      <c r="BD217" s="66"/>
      <c r="BE217" s="66"/>
      <c r="BF217" s="66"/>
      <c r="BG217" s="66"/>
      <c r="BH217" s="66"/>
      <c r="BI217" s="189"/>
      <c r="BJ217" s="204"/>
    </row>
    <row r="218" spans="1:62" ht="12.75" customHeight="1" x14ac:dyDescent="0.35">
      <c r="A218" s="108"/>
      <c r="B218" s="126" t="s">
        <v>1</v>
      </c>
      <c r="C218" s="5" t="s">
        <v>2</v>
      </c>
      <c r="D218" s="5" t="s">
        <v>310</v>
      </c>
      <c r="E218" s="5" t="s">
        <v>311</v>
      </c>
      <c r="F218" s="128">
        <v>1032787</v>
      </c>
      <c r="G218" s="129" t="s">
        <v>53</v>
      </c>
      <c r="H218" s="139">
        <v>0</v>
      </c>
      <c r="I218" s="139">
        <v>0</v>
      </c>
      <c r="J218" s="125">
        <v>0</v>
      </c>
      <c r="K218" s="125">
        <v>0</v>
      </c>
      <c r="L218" s="130">
        <v>0</v>
      </c>
      <c r="M218" s="123">
        <v>0</v>
      </c>
      <c r="N218" s="130">
        <v>0</v>
      </c>
      <c r="O218" s="130">
        <v>0</v>
      </c>
      <c r="P218" s="123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125">
        <v>0</v>
      </c>
      <c r="Y218" s="125" t="s">
        <v>574</v>
      </c>
      <c r="Z218" s="125"/>
      <c r="AA218" s="112">
        <v>0</v>
      </c>
      <c r="AB218" s="112">
        <v>0</v>
      </c>
      <c r="AC218" s="8"/>
      <c r="AD218" s="66"/>
      <c r="AE218" s="66" t="s">
        <v>574</v>
      </c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6"/>
      <c r="AW218" s="66"/>
      <c r="AX218" s="66"/>
      <c r="AY218" s="66"/>
      <c r="AZ218" s="66"/>
      <c r="BA218" s="66"/>
      <c r="BB218" s="66"/>
      <c r="BC218" s="66"/>
      <c r="BD218" s="66"/>
      <c r="BE218" s="66"/>
      <c r="BF218" s="66"/>
      <c r="BG218" s="66"/>
      <c r="BH218" s="66"/>
      <c r="BI218" s="189" t="s">
        <v>1</v>
      </c>
      <c r="BJ218" s="204"/>
    </row>
    <row r="219" spans="1:62" ht="12.75" customHeight="1" x14ac:dyDescent="0.35">
      <c r="A219" s="108"/>
      <c r="B219" s="126" t="s">
        <v>1</v>
      </c>
      <c r="C219" s="5" t="s">
        <v>2</v>
      </c>
      <c r="D219" s="5" t="s">
        <v>310</v>
      </c>
      <c r="E219" s="5" t="s">
        <v>311</v>
      </c>
      <c r="F219" s="137">
        <v>1042466</v>
      </c>
      <c r="G219" s="138" t="s">
        <v>114</v>
      </c>
      <c r="H219" s="139">
        <v>0</v>
      </c>
      <c r="I219" s="139">
        <v>0</v>
      </c>
      <c r="J219" s="125">
        <v>0</v>
      </c>
      <c r="K219" s="125">
        <v>9</v>
      </c>
      <c r="L219" s="130">
        <v>3.6</v>
      </c>
      <c r="M219" s="123">
        <v>0</v>
      </c>
      <c r="N219" s="130">
        <v>3.6</v>
      </c>
      <c r="O219" s="130">
        <v>0</v>
      </c>
      <c r="P219" s="123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20</v>
      </c>
      <c r="X219" s="125">
        <v>0</v>
      </c>
      <c r="Y219" s="125" t="s">
        <v>574</v>
      </c>
      <c r="Z219" s="125"/>
      <c r="AA219" s="112">
        <v>0</v>
      </c>
      <c r="AB219" s="112">
        <v>300.39999999999998</v>
      </c>
      <c r="AC219" s="8"/>
      <c r="AD219" s="66"/>
      <c r="AE219" s="66">
        <v>6.2969006244473675</v>
      </c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6"/>
      <c r="BB219" s="66"/>
      <c r="BC219" s="66"/>
      <c r="BD219" s="66"/>
      <c r="BE219" s="66"/>
      <c r="BF219" s="66"/>
      <c r="BG219" s="66"/>
      <c r="BH219" s="66"/>
      <c r="BI219" s="188" t="s">
        <v>1</v>
      </c>
      <c r="BJ219" s="204"/>
    </row>
    <row r="220" spans="1:62" ht="12.75" customHeight="1" x14ac:dyDescent="0.35">
      <c r="A220" s="108"/>
      <c r="B220" s="126" t="s">
        <v>1</v>
      </c>
      <c r="C220" s="5" t="s">
        <v>2</v>
      </c>
      <c r="D220" s="5" t="s">
        <v>310</v>
      </c>
      <c r="E220" s="5" t="s">
        <v>311</v>
      </c>
      <c r="F220" s="5">
        <v>1057891</v>
      </c>
      <c r="G220" s="7" t="s">
        <v>250</v>
      </c>
      <c r="H220" s="139">
        <v>0</v>
      </c>
      <c r="I220" s="139">
        <v>0</v>
      </c>
      <c r="J220" s="125">
        <v>0</v>
      </c>
      <c r="K220" s="125">
        <v>0</v>
      </c>
      <c r="L220" s="130">
        <v>0</v>
      </c>
      <c r="M220" s="123">
        <v>0</v>
      </c>
      <c r="N220" s="130">
        <v>0</v>
      </c>
      <c r="O220" s="130">
        <v>0</v>
      </c>
      <c r="P220" s="123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125">
        <v>0</v>
      </c>
      <c r="Y220" s="125" t="s">
        <v>574</v>
      </c>
      <c r="Z220" s="125"/>
      <c r="AA220" s="112">
        <v>0</v>
      </c>
      <c r="AB220" s="112">
        <v>0</v>
      </c>
      <c r="AC220" s="8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6"/>
      <c r="AW220" s="66"/>
      <c r="AX220" s="66"/>
      <c r="AY220" s="66"/>
      <c r="AZ220" s="66"/>
      <c r="BA220" s="66"/>
      <c r="BB220" s="66"/>
      <c r="BC220" s="66"/>
      <c r="BD220" s="66"/>
      <c r="BE220" s="66"/>
      <c r="BF220" s="66"/>
      <c r="BG220" s="66"/>
      <c r="BH220" s="66"/>
      <c r="BI220" s="189" t="s">
        <v>1</v>
      </c>
      <c r="BJ220" s="204"/>
    </row>
    <row r="221" spans="1:62" ht="12.75" customHeight="1" x14ac:dyDescent="0.35">
      <c r="A221" s="108"/>
      <c r="B221" s="126" t="s">
        <v>1</v>
      </c>
      <c r="C221" s="5" t="s">
        <v>2</v>
      </c>
      <c r="D221" s="5" t="s">
        <v>310</v>
      </c>
      <c r="E221" s="5" t="s">
        <v>311</v>
      </c>
      <c r="F221" s="128">
        <v>1059918</v>
      </c>
      <c r="G221" s="129" t="s">
        <v>347</v>
      </c>
      <c r="H221" s="139">
        <v>0</v>
      </c>
      <c r="I221" s="139">
        <v>0</v>
      </c>
      <c r="J221" s="125">
        <v>0</v>
      </c>
      <c r="K221" s="125">
        <v>0</v>
      </c>
      <c r="L221" s="130">
        <v>0</v>
      </c>
      <c r="M221" s="123">
        <v>0</v>
      </c>
      <c r="N221" s="130">
        <v>0</v>
      </c>
      <c r="O221" s="130">
        <v>0</v>
      </c>
      <c r="P221" s="123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125">
        <v>0</v>
      </c>
      <c r="Y221" s="125" t="s">
        <v>574</v>
      </c>
      <c r="Z221" s="125"/>
      <c r="AA221" s="112">
        <v>0</v>
      </c>
      <c r="AB221" s="112">
        <v>0</v>
      </c>
      <c r="AC221" s="8"/>
      <c r="AD221" s="66"/>
      <c r="AE221" s="66" t="s">
        <v>574</v>
      </c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6"/>
      <c r="AW221" s="66"/>
      <c r="AX221" s="66"/>
      <c r="AY221" s="66"/>
      <c r="AZ221" s="66"/>
      <c r="BA221" s="66"/>
      <c r="BB221" s="66"/>
      <c r="BC221" s="66"/>
      <c r="BD221" s="66"/>
      <c r="BE221" s="66"/>
      <c r="BF221" s="66"/>
      <c r="BG221" s="66"/>
      <c r="BH221" s="66"/>
      <c r="BI221" s="189" t="s">
        <v>1</v>
      </c>
      <c r="BJ221" s="204"/>
    </row>
    <row r="222" spans="1:62" ht="12.75" customHeight="1" x14ac:dyDescent="0.35">
      <c r="A222" s="108"/>
      <c r="B222" s="126" t="s">
        <v>1</v>
      </c>
      <c r="C222" s="5" t="s">
        <v>2</v>
      </c>
      <c r="D222" s="5" t="s">
        <v>310</v>
      </c>
      <c r="E222" s="5" t="s">
        <v>311</v>
      </c>
      <c r="F222" s="128">
        <v>1051338</v>
      </c>
      <c r="G222" s="129" t="s">
        <v>218</v>
      </c>
      <c r="H222" s="139">
        <v>0</v>
      </c>
      <c r="I222" s="139">
        <v>0</v>
      </c>
      <c r="J222" s="125">
        <v>0</v>
      </c>
      <c r="K222" s="125">
        <v>0</v>
      </c>
      <c r="L222" s="130">
        <v>0</v>
      </c>
      <c r="M222" s="123">
        <v>0</v>
      </c>
      <c r="N222" s="130">
        <v>0</v>
      </c>
      <c r="O222" s="130">
        <v>0</v>
      </c>
      <c r="P222" s="123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125">
        <v>0</v>
      </c>
      <c r="Y222" s="125" t="s">
        <v>574</v>
      </c>
      <c r="Z222" s="125"/>
      <c r="AA222" s="112">
        <v>0</v>
      </c>
      <c r="AB222" s="112">
        <v>0</v>
      </c>
      <c r="AC222" s="8"/>
      <c r="AD222" s="66"/>
      <c r="AE222" s="66" t="s">
        <v>574</v>
      </c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6"/>
      <c r="BB222" s="66"/>
      <c r="BC222" s="66"/>
      <c r="BD222" s="66"/>
      <c r="BE222" s="66"/>
      <c r="BF222" s="66"/>
      <c r="BG222" s="66"/>
      <c r="BH222" s="66"/>
      <c r="BI222" s="189" t="s">
        <v>1</v>
      </c>
      <c r="BJ222" s="204"/>
    </row>
    <row r="223" spans="1:62" ht="12.75" customHeight="1" x14ac:dyDescent="0.35">
      <c r="A223" s="108"/>
      <c r="B223" s="126" t="s">
        <v>1</v>
      </c>
      <c r="C223" s="5" t="s">
        <v>2</v>
      </c>
      <c r="D223" s="5" t="s">
        <v>310</v>
      </c>
      <c r="E223" s="5" t="s">
        <v>311</v>
      </c>
      <c r="F223" s="128">
        <v>1037104</v>
      </c>
      <c r="G223" s="129" t="s">
        <v>55</v>
      </c>
      <c r="H223" s="139">
        <v>0</v>
      </c>
      <c r="I223" s="139">
        <v>0</v>
      </c>
      <c r="J223" s="125">
        <v>0</v>
      </c>
      <c r="K223" s="125">
        <v>0</v>
      </c>
      <c r="L223" s="130">
        <v>0</v>
      </c>
      <c r="M223" s="123">
        <v>0</v>
      </c>
      <c r="N223" s="130">
        <v>0</v>
      </c>
      <c r="O223" s="130">
        <v>0</v>
      </c>
      <c r="P223" s="123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125">
        <v>0</v>
      </c>
      <c r="Y223" s="125" t="s">
        <v>574</v>
      </c>
      <c r="Z223" s="125"/>
      <c r="AA223" s="112">
        <v>0</v>
      </c>
      <c r="AB223" s="112">
        <v>0</v>
      </c>
      <c r="AC223" s="8"/>
      <c r="AD223" s="66"/>
      <c r="AE223" s="66" t="s">
        <v>574</v>
      </c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X223" s="66"/>
      <c r="AY223" s="66"/>
      <c r="AZ223" s="66"/>
      <c r="BA223" s="66"/>
      <c r="BB223" s="66"/>
      <c r="BC223" s="66"/>
      <c r="BD223" s="66"/>
      <c r="BE223" s="66"/>
      <c r="BF223" s="66"/>
      <c r="BG223" s="66"/>
      <c r="BH223" s="66"/>
      <c r="BI223" s="189" t="s">
        <v>1</v>
      </c>
      <c r="BJ223" s="204"/>
    </row>
    <row r="224" spans="1:62" ht="12.75" customHeight="1" x14ac:dyDescent="0.35">
      <c r="A224" s="108"/>
      <c r="B224" s="126" t="s">
        <v>1</v>
      </c>
      <c r="C224" s="5" t="s">
        <v>2</v>
      </c>
      <c r="D224" s="5" t="s">
        <v>310</v>
      </c>
      <c r="E224" s="5" t="s">
        <v>311</v>
      </c>
      <c r="F224" s="128">
        <v>1049606</v>
      </c>
      <c r="G224" s="129" t="s">
        <v>125</v>
      </c>
      <c r="H224" s="139">
        <v>0</v>
      </c>
      <c r="I224" s="139">
        <v>0</v>
      </c>
      <c r="J224" s="125">
        <v>0</v>
      </c>
      <c r="K224" s="125">
        <v>0</v>
      </c>
      <c r="L224" s="130">
        <v>0</v>
      </c>
      <c r="M224" s="123">
        <v>0</v>
      </c>
      <c r="N224" s="130">
        <v>0</v>
      </c>
      <c r="O224" s="130">
        <v>0</v>
      </c>
      <c r="P224" s="123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125">
        <v>0</v>
      </c>
      <c r="Y224" s="125" t="s">
        <v>574</v>
      </c>
      <c r="Z224" s="125"/>
      <c r="AA224" s="112">
        <v>0</v>
      </c>
      <c r="AB224" s="112">
        <v>0</v>
      </c>
      <c r="AC224" s="8"/>
      <c r="AD224" s="66"/>
      <c r="AE224" s="66" t="s">
        <v>574</v>
      </c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/>
      <c r="BD224" s="66"/>
      <c r="BE224" s="66"/>
      <c r="BF224" s="66"/>
      <c r="BG224" s="66"/>
      <c r="BH224" s="66"/>
      <c r="BI224" s="189" t="s">
        <v>1</v>
      </c>
      <c r="BJ224" s="204"/>
    </row>
    <row r="225" spans="1:62" ht="12.75" customHeight="1" x14ac:dyDescent="0.35">
      <c r="A225" s="108"/>
      <c r="B225" s="126" t="s">
        <v>1</v>
      </c>
      <c r="C225" s="5" t="s">
        <v>2</v>
      </c>
      <c r="D225" s="5" t="s">
        <v>310</v>
      </c>
      <c r="E225" s="5" t="s">
        <v>311</v>
      </c>
      <c r="F225" s="128">
        <v>1042467</v>
      </c>
      <c r="G225" s="129" t="s">
        <v>92</v>
      </c>
      <c r="H225" s="139">
        <v>0</v>
      </c>
      <c r="I225" s="139">
        <v>0</v>
      </c>
      <c r="J225" s="125">
        <v>0</v>
      </c>
      <c r="K225" s="125">
        <v>0</v>
      </c>
      <c r="L225" s="130">
        <v>0</v>
      </c>
      <c r="M225" s="123">
        <v>0</v>
      </c>
      <c r="N225" s="130">
        <v>0</v>
      </c>
      <c r="O225" s="130">
        <v>0</v>
      </c>
      <c r="P225" s="123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125">
        <v>0</v>
      </c>
      <c r="Y225" s="125" t="s">
        <v>574</v>
      </c>
      <c r="Z225" s="125"/>
      <c r="AA225" s="112">
        <v>0</v>
      </c>
      <c r="AB225" s="112">
        <v>0</v>
      </c>
      <c r="AC225" s="8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  <c r="AV225" s="66"/>
      <c r="AW225" s="66"/>
      <c r="AX225" s="66"/>
      <c r="AY225" s="66"/>
      <c r="AZ225" s="66"/>
      <c r="BA225" s="66"/>
      <c r="BB225" s="66"/>
      <c r="BC225" s="66"/>
      <c r="BD225" s="66"/>
      <c r="BE225" s="66"/>
      <c r="BF225" s="66"/>
      <c r="BG225" s="66"/>
      <c r="BH225" s="66"/>
      <c r="BI225" s="188" t="s">
        <v>1</v>
      </c>
      <c r="BJ225" s="204"/>
    </row>
    <row r="226" spans="1:62" ht="12.75" customHeight="1" x14ac:dyDescent="0.35">
      <c r="A226" s="108"/>
      <c r="B226" s="126" t="s">
        <v>1</v>
      </c>
      <c r="C226" s="5" t="s">
        <v>2</v>
      </c>
      <c r="D226" s="5" t="s">
        <v>310</v>
      </c>
      <c r="E226" s="5" t="s">
        <v>311</v>
      </c>
      <c r="F226" s="137">
        <v>1042079</v>
      </c>
      <c r="G226" s="138" t="s">
        <v>295</v>
      </c>
      <c r="H226" s="139">
        <v>0</v>
      </c>
      <c r="I226" s="139">
        <v>0</v>
      </c>
      <c r="J226" s="125">
        <v>0</v>
      </c>
      <c r="K226" s="125">
        <v>-29</v>
      </c>
      <c r="L226" s="130">
        <v>-13.92</v>
      </c>
      <c r="M226" s="123">
        <v>0</v>
      </c>
      <c r="N226" s="130">
        <v>13.92</v>
      </c>
      <c r="O226" s="130">
        <v>0</v>
      </c>
      <c r="P226" s="123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40</v>
      </c>
      <c r="X226" s="125">
        <v>0</v>
      </c>
      <c r="Y226" s="125" t="s">
        <v>574</v>
      </c>
      <c r="Z226" s="125"/>
      <c r="AA226" s="112">
        <v>0</v>
      </c>
      <c r="AB226" s="112">
        <v>494.4</v>
      </c>
      <c r="AC226" s="8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  <c r="BD226" s="66"/>
      <c r="BE226" s="66"/>
      <c r="BF226" s="66"/>
      <c r="BG226" s="66"/>
      <c r="BH226" s="66"/>
      <c r="BI226" s="189"/>
      <c r="BJ226" s="204"/>
    </row>
    <row r="227" spans="1:62" ht="12.75" customHeight="1" x14ac:dyDescent="0.35">
      <c r="A227" s="108"/>
      <c r="B227" s="126" t="s">
        <v>1</v>
      </c>
      <c r="C227" s="5" t="s">
        <v>2</v>
      </c>
      <c r="D227" s="5" t="s">
        <v>310</v>
      </c>
      <c r="E227" s="5" t="s">
        <v>311</v>
      </c>
      <c r="F227" s="137">
        <v>1051339</v>
      </c>
      <c r="G227" s="138" t="s">
        <v>215</v>
      </c>
      <c r="H227" s="139">
        <v>0</v>
      </c>
      <c r="I227" s="139">
        <v>0</v>
      </c>
      <c r="J227" s="125">
        <v>0</v>
      </c>
      <c r="K227" s="125">
        <v>-2</v>
      </c>
      <c r="L227" s="130">
        <v>-0.32</v>
      </c>
      <c r="M227" s="123">
        <v>0</v>
      </c>
      <c r="N227" s="130">
        <v>0.32</v>
      </c>
      <c r="O227" s="130">
        <v>0</v>
      </c>
      <c r="P227" s="123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125">
        <v>0</v>
      </c>
      <c r="Y227" s="125" t="s">
        <v>574</v>
      </c>
      <c r="Z227" s="125"/>
      <c r="AA227" s="112">
        <v>0</v>
      </c>
      <c r="AB227" s="112">
        <v>0</v>
      </c>
      <c r="AC227" s="8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6"/>
      <c r="BB227" s="66"/>
      <c r="BC227" s="66"/>
      <c r="BD227" s="66"/>
      <c r="BE227" s="66"/>
      <c r="BF227" s="66"/>
      <c r="BG227" s="66"/>
      <c r="BH227" s="66"/>
      <c r="BI227" s="188"/>
      <c r="BJ227" s="204"/>
    </row>
    <row r="228" spans="1:62" ht="12.75" customHeight="1" x14ac:dyDescent="0.35">
      <c r="A228" s="108"/>
      <c r="B228" s="126" t="s">
        <v>1</v>
      </c>
      <c r="C228" s="5" t="s">
        <v>2</v>
      </c>
      <c r="D228" s="5" t="s">
        <v>310</v>
      </c>
      <c r="E228" s="5" t="s">
        <v>311</v>
      </c>
      <c r="F228" s="5">
        <v>1042076</v>
      </c>
      <c r="G228" s="7" t="s">
        <v>294</v>
      </c>
      <c r="H228" s="139">
        <v>0</v>
      </c>
      <c r="I228" s="139">
        <v>0</v>
      </c>
      <c r="J228" s="125">
        <v>0</v>
      </c>
      <c r="K228" s="125">
        <v>0</v>
      </c>
      <c r="L228" s="130">
        <v>0</v>
      </c>
      <c r="M228" s="123">
        <v>0</v>
      </c>
      <c r="N228" s="130">
        <v>0</v>
      </c>
      <c r="O228" s="130">
        <v>0</v>
      </c>
      <c r="P228" s="123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125">
        <v>0</v>
      </c>
      <c r="Y228" s="125" t="s">
        <v>574</v>
      </c>
      <c r="Z228" s="125"/>
      <c r="AA228" s="112">
        <v>0</v>
      </c>
      <c r="AB228" s="112">
        <v>0</v>
      </c>
      <c r="AC228" s="8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/>
      <c r="BB228" s="66"/>
      <c r="BC228" s="66"/>
      <c r="BD228" s="66"/>
      <c r="BE228" s="66"/>
      <c r="BF228" s="66"/>
      <c r="BG228" s="66"/>
      <c r="BH228" s="66"/>
      <c r="BI228" s="188"/>
      <c r="BJ228" s="204"/>
    </row>
    <row r="229" spans="1:62" ht="12.75" customHeight="1" x14ac:dyDescent="0.35">
      <c r="A229" s="108"/>
      <c r="B229" s="126" t="s">
        <v>1</v>
      </c>
      <c r="C229" s="5" t="s">
        <v>2</v>
      </c>
      <c r="D229" s="5" t="s">
        <v>310</v>
      </c>
      <c r="E229" s="5" t="s">
        <v>311</v>
      </c>
      <c r="F229" s="128">
        <v>1042077</v>
      </c>
      <c r="G229" s="129" t="s">
        <v>510</v>
      </c>
      <c r="H229" s="139">
        <v>0</v>
      </c>
      <c r="I229" s="139">
        <v>0</v>
      </c>
      <c r="J229" s="125">
        <v>0</v>
      </c>
      <c r="K229" s="125">
        <v>0</v>
      </c>
      <c r="L229" s="130">
        <v>0</v>
      </c>
      <c r="M229" s="123">
        <v>0</v>
      </c>
      <c r="N229" s="130">
        <v>0</v>
      </c>
      <c r="O229" s="130">
        <v>0</v>
      </c>
      <c r="P229" s="123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125">
        <v>0</v>
      </c>
      <c r="Y229" s="125" t="s">
        <v>574</v>
      </c>
      <c r="Z229" s="125"/>
      <c r="AA229" s="112">
        <v>0</v>
      </c>
      <c r="AB229" s="112">
        <v>0</v>
      </c>
      <c r="AC229" s="8"/>
      <c r="AD229" s="66"/>
      <c r="AE229" s="66" t="s">
        <v>574</v>
      </c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6"/>
      <c r="AW229" s="66"/>
      <c r="AX229" s="66"/>
      <c r="AY229" s="66"/>
      <c r="AZ229" s="66"/>
      <c r="BA229" s="66"/>
      <c r="BB229" s="66"/>
      <c r="BC229" s="66"/>
      <c r="BD229" s="66"/>
      <c r="BE229" s="66"/>
      <c r="BF229" s="66"/>
      <c r="BG229" s="66"/>
      <c r="BH229" s="66"/>
      <c r="BI229" s="189" t="s">
        <v>1</v>
      </c>
      <c r="BJ229" s="204"/>
    </row>
    <row r="230" spans="1:62" ht="12.75" customHeight="1" x14ac:dyDescent="0.35">
      <c r="A230" s="108"/>
      <c r="B230" s="126" t="s">
        <v>1</v>
      </c>
      <c r="C230" s="5" t="s">
        <v>2</v>
      </c>
      <c r="D230" s="5" t="s">
        <v>310</v>
      </c>
      <c r="E230" s="5" t="s">
        <v>311</v>
      </c>
      <c r="F230" s="128">
        <v>1042080</v>
      </c>
      <c r="G230" s="129" t="s">
        <v>296</v>
      </c>
      <c r="H230" s="139">
        <v>0</v>
      </c>
      <c r="I230" s="139">
        <v>0</v>
      </c>
      <c r="J230" s="125">
        <v>0</v>
      </c>
      <c r="K230" s="125">
        <v>0</v>
      </c>
      <c r="L230" s="130">
        <v>0</v>
      </c>
      <c r="M230" s="123">
        <v>0</v>
      </c>
      <c r="N230" s="130">
        <v>0</v>
      </c>
      <c r="O230" s="130">
        <v>0</v>
      </c>
      <c r="P230" s="123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125">
        <v>0</v>
      </c>
      <c r="Y230" s="125" t="s">
        <v>574</v>
      </c>
      <c r="Z230" s="125"/>
      <c r="AA230" s="112">
        <v>0</v>
      </c>
      <c r="AB230" s="112">
        <v>0</v>
      </c>
      <c r="AC230" s="8"/>
      <c r="AD230" s="66"/>
      <c r="AE230" s="66" t="s">
        <v>574</v>
      </c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  <c r="AZ230" s="66"/>
      <c r="BA230" s="66"/>
      <c r="BB230" s="66"/>
      <c r="BC230" s="66"/>
      <c r="BD230" s="66"/>
      <c r="BE230" s="66"/>
      <c r="BF230" s="66"/>
      <c r="BG230" s="66"/>
      <c r="BH230" s="66"/>
      <c r="BI230" s="189" t="s">
        <v>1</v>
      </c>
      <c r="BJ230" s="204"/>
    </row>
    <row r="231" spans="1:62" ht="12.75" customHeight="1" x14ac:dyDescent="0.35">
      <c r="A231" s="108"/>
      <c r="B231" s="126" t="s">
        <v>1</v>
      </c>
      <c r="C231" s="5" t="s">
        <v>2</v>
      </c>
      <c r="D231" s="5" t="s">
        <v>310</v>
      </c>
      <c r="E231" s="5" t="s">
        <v>311</v>
      </c>
      <c r="F231" s="128">
        <v>1042081</v>
      </c>
      <c r="G231" s="129" t="s">
        <v>297</v>
      </c>
      <c r="H231" s="139">
        <v>0</v>
      </c>
      <c r="I231" s="139">
        <v>0</v>
      </c>
      <c r="J231" s="125">
        <v>0</v>
      </c>
      <c r="K231" s="125">
        <v>0</v>
      </c>
      <c r="L231" s="130">
        <v>0</v>
      </c>
      <c r="M231" s="123">
        <v>0</v>
      </c>
      <c r="N231" s="130">
        <v>0</v>
      </c>
      <c r="O231" s="130">
        <v>0</v>
      </c>
      <c r="P231" s="123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125">
        <v>0</v>
      </c>
      <c r="Y231" s="125" t="s">
        <v>574</v>
      </c>
      <c r="Z231" s="125"/>
      <c r="AA231" s="112">
        <v>0</v>
      </c>
      <c r="AB231" s="112">
        <v>0</v>
      </c>
      <c r="AC231" s="8"/>
      <c r="AD231" s="66"/>
      <c r="AE231" s="66">
        <v>26.157817326077367</v>
      </c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6"/>
      <c r="AW231" s="66"/>
      <c r="AX231" s="66"/>
      <c r="AY231" s="66"/>
      <c r="AZ231" s="66"/>
      <c r="BA231" s="66"/>
      <c r="BB231" s="66"/>
      <c r="BC231" s="66"/>
      <c r="BD231" s="66"/>
      <c r="BE231" s="66"/>
      <c r="BF231" s="66"/>
      <c r="BG231" s="66"/>
      <c r="BH231" s="66"/>
      <c r="BI231" s="188" t="s">
        <v>1</v>
      </c>
      <c r="BJ231" s="204"/>
    </row>
    <row r="232" spans="1:62" ht="12.75" customHeight="1" x14ac:dyDescent="0.35">
      <c r="A232" s="108"/>
      <c r="B232" s="126" t="s">
        <v>1</v>
      </c>
      <c r="C232" s="5" t="s">
        <v>2</v>
      </c>
      <c r="D232" s="5" t="s">
        <v>310</v>
      </c>
      <c r="E232" s="5" t="s">
        <v>311</v>
      </c>
      <c r="F232" s="128">
        <v>1041921</v>
      </c>
      <c r="G232" s="129" t="s">
        <v>110</v>
      </c>
      <c r="H232" s="139">
        <v>0</v>
      </c>
      <c r="I232" s="139">
        <v>0</v>
      </c>
      <c r="J232" s="125">
        <v>0</v>
      </c>
      <c r="K232" s="125">
        <v>-6</v>
      </c>
      <c r="L232" s="130">
        <v>-1.08</v>
      </c>
      <c r="M232" s="123">
        <v>0</v>
      </c>
      <c r="N232" s="130">
        <v>1.08</v>
      </c>
      <c r="O232" s="130">
        <v>0</v>
      </c>
      <c r="P232" s="123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32</v>
      </c>
      <c r="X232" s="125">
        <v>0</v>
      </c>
      <c r="Y232" s="125" t="s">
        <v>574</v>
      </c>
      <c r="Z232" s="125"/>
      <c r="AA232" s="112">
        <v>0</v>
      </c>
      <c r="AB232" s="112">
        <v>78.08</v>
      </c>
      <c r="AC232" s="8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  <c r="AZ232" s="66"/>
      <c r="BA232" s="66"/>
      <c r="BB232" s="66"/>
      <c r="BC232" s="66"/>
      <c r="BD232" s="66"/>
      <c r="BE232" s="66"/>
      <c r="BF232" s="66"/>
      <c r="BG232" s="66"/>
      <c r="BH232" s="66"/>
      <c r="BI232" s="188" t="s">
        <v>1</v>
      </c>
      <c r="BJ232" s="204"/>
    </row>
    <row r="233" spans="1:62" ht="12.75" customHeight="1" x14ac:dyDescent="0.35">
      <c r="A233" s="108"/>
      <c r="B233" s="126" t="s">
        <v>1</v>
      </c>
      <c r="C233" s="5" t="s">
        <v>2</v>
      </c>
      <c r="D233" s="5" t="s">
        <v>310</v>
      </c>
      <c r="E233" s="5" t="s">
        <v>311</v>
      </c>
      <c r="F233" s="128">
        <v>1048121</v>
      </c>
      <c r="G233" s="129" t="s">
        <v>135</v>
      </c>
      <c r="H233" s="139">
        <v>0</v>
      </c>
      <c r="I233" s="139">
        <v>0</v>
      </c>
      <c r="J233" s="125">
        <v>0</v>
      </c>
      <c r="K233" s="125">
        <v>-18</v>
      </c>
      <c r="L233" s="130">
        <v>-2.6999999999999997</v>
      </c>
      <c r="M233" s="123">
        <v>0</v>
      </c>
      <c r="N233" s="130">
        <v>2.6999999999999997</v>
      </c>
      <c r="O233" s="130">
        <v>0</v>
      </c>
      <c r="P233" s="123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125">
        <v>0</v>
      </c>
      <c r="Y233" s="125" t="s">
        <v>574</v>
      </c>
      <c r="Z233" s="125"/>
      <c r="AA233" s="112">
        <v>0</v>
      </c>
      <c r="AB233" s="112">
        <v>0</v>
      </c>
      <c r="AC233" s="8"/>
      <c r="AD233" s="66"/>
      <c r="AE233" s="66">
        <v>58.967959527824618</v>
      </c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6"/>
      <c r="AW233" s="66"/>
      <c r="AX233" s="66"/>
      <c r="AY233" s="66"/>
      <c r="AZ233" s="66"/>
      <c r="BA233" s="66"/>
      <c r="BB233" s="66"/>
      <c r="BC233" s="66"/>
      <c r="BD233" s="66"/>
      <c r="BE233" s="66"/>
      <c r="BF233" s="66"/>
      <c r="BG233" s="66"/>
      <c r="BH233" s="66"/>
      <c r="BI233" s="189" t="s">
        <v>1</v>
      </c>
      <c r="BJ233" s="204"/>
    </row>
    <row r="234" spans="1:62" ht="12.75" customHeight="1" x14ac:dyDescent="0.35">
      <c r="A234" s="108"/>
      <c r="B234" s="126" t="s">
        <v>1</v>
      </c>
      <c r="C234" s="5" t="s">
        <v>2</v>
      </c>
      <c r="D234" s="5" t="s">
        <v>310</v>
      </c>
      <c r="E234" s="5" t="s">
        <v>311</v>
      </c>
      <c r="F234" s="128">
        <v>1059078</v>
      </c>
      <c r="G234" s="129" t="s">
        <v>411</v>
      </c>
      <c r="H234" s="139">
        <v>0</v>
      </c>
      <c r="I234" s="139">
        <v>0</v>
      </c>
      <c r="J234" s="125">
        <v>0</v>
      </c>
      <c r="K234" s="125">
        <v>-17</v>
      </c>
      <c r="L234" s="130">
        <v>-2.5499999999999998</v>
      </c>
      <c r="M234" s="123">
        <v>0</v>
      </c>
      <c r="N234" s="130">
        <v>2.5499999999999998</v>
      </c>
      <c r="O234" s="130">
        <v>0</v>
      </c>
      <c r="P234" s="123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125">
        <v>0</v>
      </c>
      <c r="Y234" s="125" t="s">
        <v>574</v>
      </c>
      <c r="Z234" s="125"/>
      <c r="AA234" s="112">
        <v>0</v>
      </c>
      <c r="AB234" s="112">
        <v>0</v>
      </c>
      <c r="AC234" s="8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  <c r="AZ234" s="66"/>
      <c r="BA234" s="66"/>
      <c r="BB234" s="66"/>
      <c r="BC234" s="66"/>
      <c r="BD234" s="66"/>
      <c r="BE234" s="66"/>
      <c r="BF234" s="66"/>
      <c r="BG234" s="66"/>
      <c r="BH234" s="66"/>
      <c r="BI234" s="189" t="s">
        <v>1</v>
      </c>
      <c r="BJ234" s="204"/>
    </row>
    <row r="235" spans="1:62" ht="12.75" customHeight="1" x14ac:dyDescent="0.35">
      <c r="A235" s="108"/>
      <c r="B235" s="126" t="s">
        <v>1</v>
      </c>
      <c r="C235" s="5" t="s">
        <v>2</v>
      </c>
      <c r="D235" s="5" t="s">
        <v>310</v>
      </c>
      <c r="E235" s="5" t="s">
        <v>311</v>
      </c>
      <c r="F235" s="5">
        <v>1049607</v>
      </c>
      <c r="G235" s="7" t="s">
        <v>136</v>
      </c>
      <c r="H235" s="139">
        <v>0</v>
      </c>
      <c r="I235" s="139">
        <v>0</v>
      </c>
      <c r="J235" s="125">
        <v>0</v>
      </c>
      <c r="K235" s="125">
        <v>0</v>
      </c>
      <c r="L235" s="130">
        <v>0</v>
      </c>
      <c r="M235" s="123">
        <v>0</v>
      </c>
      <c r="N235" s="130">
        <v>0</v>
      </c>
      <c r="O235" s="130">
        <v>0</v>
      </c>
      <c r="P235" s="123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125">
        <v>0</v>
      </c>
      <c r="Y235" s="125" t="s">
        <v>574</v>
      </c>
      <c r="Z235" s="125"/>
      <c r="AA235" s="112">
        <v>0</v>
      </c>
      <c r="AB235" s="112">
        <v>0</v>
      </c>
      <c r="AC235" s="8"/>
      <c r="AD235" s="66"/>
      <c r="AE235" s="66">
        <v>28.21</v>
      </c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6"/>
      <c r="AW235" s="66"/>
      <c r="AX235" s="66"/>
      <c r="AY235" s="66"/>
      <c r="AZ235" s="66"/>
      <c r="BA235" s="66"/>
      <c r="BB235" s="66"/>
      <c r="BC235" s="66"/>
      <c r="BD235" s="66"/>
      <c r="BE235" s="66"/>
      <c r="BF235" s="66"/>
      <c r="BG235" s="66"/>
      <c r="BH235" s="66"/>
      <c r="BI235" s="188" t="s">
        <v>1</v>
      </c>
      <c r="BJ235" s="204"/>
    </row>
    <row r="236" spans="1:62" ht="12.75" customHeight="1" x14ac:dyDescent="0.35">
      <c r="A236" s="108"/>
      <c r="B236" s="126" t="s">
        <v>1</v>
      </c>
      <c r="C236" s="5" t="s">
        <v>50</v>
      </c>
      <c r="D236" s="5" t="s">
        <v>310</v>
      </c>
      <c r="E236" s="5" t="s">
        <v>403</v>
      </c>
      <c r="F236" s="128">
        <v>1061341</v>
      </c>
      <c r="G236" s="129" t="s">
        <v>440</v>
      </c>
      <c r="H236" s="139">
        <v>0</v>
      </c>
      <c r="I236" s="139">
        <v>0</v>
      </c>
      <c r="J236" s="125">
        <v>0</v>
      </c>
      <c r="K236" s="125">
        <v>0</v>
      </c>
      <c r="L236" s="130">
        <v>0</v>
      </c>
      <c r="M236" s="123">
        <v>0</v>
      </c>
      <c r="N236" s="130">
        <v>0</v>
      </c>
      <c r="O236" s="130">
        <v>0</v>
      </c>
      <c r="P236" s="123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125">
        <v>0</v>
      </c>
      <c r="Y236" s="125" t="s">
        <v>574</v>
      </c>
      <c r="Z236" s="125"/>
      <c r="AA236" s="112">
        <v>0</v>
      </c>
      <c r="AB236" s="112">
        <v>0</v>
      </c>
      <c r="AC236" s="8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  <c r="AV236" s="66"/>
      <c r="AW236" s="66"/>
      <c r="AX236" s="66"/>
      <c r="AY236" s="66"/>
      <c r="AZ236" s="66"/>
      <c r="BA236" s="66"/>
      <c r="BB236" s="66"/>
      <c r="BC236" s="66"/>
      <c r="BD236" s="66"/>
      <c r="BE236" s="66"/>
      <c r="BF236" s="66"/>
      <c r="BG236" s="66"/>
      <c r="BH236" s="66"/>
      <c r="BI236" s="189"/>
      <c r="BJ236" s="204"/>
    </row>
    <row r="237" spans="1:62" ht="12.75" customHeight="1" x14ac:dyDescent="0.35">
      <c r="A237" s="108"/>
      <c r="B237" s="126" t="s">
        <v>1</v>
      </c>
      <c r="C237" s="5" t="s">
        <v>50</v>
      </c>
      <c r="D237" s="5" t="s">
        <v>310</v>
      </c>
      <c r="E237" s="5" t="s">
        <v>403</v>
      </c>
      <c r="F237" s="128">
        <v>1061338</v>
      </c>
      <c r="G237" s="129" t="s">
        <v>438</v>
      </c>
      <c r="H237" s="139">
        <v>0</v>
      </c>
      <c r="I237" s="139">
        <v>0</v>
      </c>
      <c r="J237" s="125">
        <v>0</v>
      </c>
      <c r="K237" s="125">
        <v>0</v>
      </c>
      <c r="L237" s="130">
        <v>0</v>
      </c>
      <c r="M237" s="123">
        <v>0</v>
      </c>
      <c r="N237" s="130">
        <v>0</v>
      </c>
      <c r="O237" s="130">
        <v>0</v>
      </c>
      <c r="P237" s="123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125">
        <v>0</v>
      </c>
      <c r="Y237" s="125" t="s">
        <v>574</v>
      </c>
      <c r="Z237" s="125"/>
      <c r="AA237" s="112">
        <v>0</v>
      </c>
      <c r="AB237" s="112">
        <v>0</v>
      </c>
      <c r="AC237" s="8"/>
      <c r="AD237" s="67"/>
      <c r="AE237" s="67" t="s">
        <v>574</v>
      </c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6"/>
      <c r="AR237" s="66"/>
      <c r="AS237" s="67"/>
      <c r="AT237" s="67"/>
      <c r="AU237" s="67"/>
      <c r="AV237" s="67"/>
      <c r="AW237" s="67"/>
      <c r="AX237" s="67"/>
      <c r="AY237" s="67"/>
      <c r="AZ237" s="67"/>
      <c r="BA237" s="67"/>
      <c r="BB237" s="67"/>
      <c r="BC237" s="67"/>
      <c r="BD237" s="67"/>
      <c r="BE237" s="66"/>
      <c r="BF237" s="66"/>
      <c r="BG237" s="66"/>
      <c r="BH237" s="67"/>
      <c r="BI237" s="188" t="s">
        <v>1</v>
      </c>
      <c r="BJ237" s="204"/>
    </row>
    <row r="238" spans="1:62" ht="12.75" customHeight="1" x14ac:dyDescent="0.35">
      <c r="A238" s="108"/>
      <c r="B238" s="126" t="s">
        <v>1</v>
      </c>
      <c r="C238" s="5" t="s">
        <v>50</v>
      </c>
      <c r="D238" s="5" t="s">
        <v>310</v>
      </c>
      <c r="E238" s="5" t="s">
        <v>403</v>
      </c>
      <c r="F238" s="152">
        <v>1061343</v>
      </c>
      <c r="G238" s="153" t="s">
        <v>441</v>
      </c>
      <c r="H238" s="139">
        <v>0</v>
      </c>
      <c r="I238" s="139">
        <v>0</v>
      </c>
      <c r="J238" s="125">
        <v>0</v>
      </c>
      <c r="K238" s="125">
        <v>0</v>
      </c>
      <c r="L238" s="130">
        <v>0</v>
      </c>
      <c r="M238" s="123">
        <v>0</v>
      </c>
      <c r="N238" s="130">
        <v>0</v>
      </c>
      <c r="O238" s="130">
        <v>0</v>
      </c>
      <c r="P238" s="123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125">
        <v>0</v>
      </c>
      <c r="Y238" s="125" t="s">
        <v>574</v>
      </c>
      <c r="Z238" s="125"/>
      <c r="AA238" s="112">
        <v>0</v>
      </c>
      <c r="AB238" s="112">
        <v>0</v>
      </c>
      <c r="AC238" s="8"/>
      <c r="AD238" s="67"/>
      <c r="AE238" s="67" t="s">
        <v>574</v>
      </c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6"/>
      <c r="AR238" s="66"/>
      <c r="AS238" s="67"/>
      <c r="AT238" s="67"/>
      <c r="AU238" s="67"/>
      <c r="AV238" s="67"/>
      <c r="AW238" s="67"/>
      <c r="AX238" s="67"/>
      <c r="AY238" s="67"/>
      <c r="AZ238" s="67"/>
      <c r="BA238" s="67"/>
      <c r="BB238" s="67"/>
      <c r="BC238" s="67"/>
      <c r="BD238" s="67"/>
      <c r="BE238" s="66"/>
      <c r="BF238" s="66"/>
      <c r="BG238" s="66"/>
      <c r="BH238" s="67"/>
      <c r="BI238" s="188" t="s">
        <v>1</v>
      </c>
      <c r="BJ238" s="204"/>
    </row>
    <row r="239" spans="1:62" ht="12.75" customHeight="1" x14ac:dyDescent="0.35">
      <c r="A239" s="108"/>
      <c r="B239" s="126" t="s">
        <v>1</v>
      </c>
      <c r="C239" s="5" t="s">
        <v>50</v>
      </c>
      <c r="D239" s="5" t="s">
        <v>310</v>
      </c>
      <c r="E239" s="5" t="s">
        <v>403</v>
      </c>
      <c r="F239" s="128">
        <v>1061340</v>
      </c>
      <c r="G239" s="129" t="s">
        <v>439</v>
      </c>
      <c r="H239" s="139">
        <v>0</v>
      </c>
      <c r="I239" s="139">
        <v>0</v>
      </c>
      <c r="J239" s="125">
        <v>0</v>
      </c>
      <c r="K239" s="125">
        <v>0</v>
      </c>
      <c r="L239" s="130">
        <v>0</v>
      </c>
      <c r="M239" s="123">
        <v>0</v>
      </c>
      <c r="N239" s="130">
        <v>0</v>
      </c>
      <c r="O239" s="130">
        <v>0</v>
      </c>
      <c r="P239" s="123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125">
        <v>0</v>
      </c>
      <c r="Y239" s="125" t="s">
        <v>574</v>
      </c>
      <c r="Z239" s="125"/>
      <c r="AA239" s="112">
        <v>0</v>
      </c>
      <c r="AB239" s="112">
        <v>0</v>
      </c>
      <c r="AC239" s="8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6"/>
      <c r="AR239" s="66"/>
      <c r="AS239" s="67"/>
      <c r="AT239" s="67"/>
      <c r="AU239" s="67"/>
      <c r="AV239" s="67"/>
      <c r="AW239" s="67"/>
      <c r="AX239" s="67"/>
      <c r="AY239" s="67"/>
      <c r="AZ239" s="67"/>
      <c r="BA239" s="67"/>
      <c r="BB239" s="67"/>
      <c r="BC239" s="67"/>
      <c r="BD239" s="67"/>
      <c r="BE239" s="66"/>
      <c r="BF239" s="66"/>
      <c r="BG239" s="66"/>
      <c r="BH239" s="67"/>
      <c r="BI239" s="188" t="s">
        <v>1</v>
      </c>
      <c r="BJ239" s="204"/>
    </row>
    <row r="240" spans="1:62" ht="12.75" customHeight="1" x14ac:dyDescent="0.35">
      <c r="A240" s="108"/>
      <c r="B240" s="126" t="s">
        <v>148</v>
      </c>
      <c r="C240" s="5" t="s">
        <v>5</v>
      </c>
      <c r="D240" s="5" t="s">
        <v>318</v>
      </c>
      <c r="E240" s="5" t="s">
        <v>319</v>
      </c>
      <c r="F240" s="128">
        <v>1054528</v>
      </c>
      <c r="G240" s="129" t="s">
        <v>202</v>
      </c>
      <c r="H240" s="139">
        <v>0</v>
      </c>
      <c r="I240" s="139">
        <v>0</v>
      </c>
      <c r="J240" s="125">
        <v>0</v>
      </c>
      <c r="K240" s="125">
        <v>0</v>
      </c>
      <c r="L240" s="130">
        <v>0</v>
      </c>
      <c r="M240" s="123">
        <v>0</v>
      </c>
      <c r="N240" s="130">
        <v>0</v>
      </c>
      <c r="O240" s="130">
        <v>0</v>
      </c>
      <c r="P240" s="123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125">
        <v>0</v>
      </c>
      <c r="Y240" s="125" t="s">
        <v>574</v>
      </c>
      <c r="Z240" s="125"/>
      <c r="AA240" s="112">
        <v>0</v>
      </c>
      <c r="AB240" s="112">
        <v>0</v>
      </c>
      <c r="AC240" s="8"/>
      <c r="AD240" s="66"/>
      <c r="AE240" s="66" t="s">
        <v>574</v>
      </c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  <c r="AZ240" s="66"/>
      <c r="BA240" s="66"/>
      <c r="BB240" s="66"/>
      <c r="BC240" s="66"/>
      <c r="BD240" s="66"/>
      <c r="BE240" s="66"/>
      <c r="BF240" s="66"/>
      <c r="BG240" s="66"/>
      <c r="BH240" s="66"/>
      <c r="BI240" s="189" t="s">
        <v>1</v>
      </c>
      <c r="BJ240" s="204"/>
    </row>
    <row r="241" spans="1:62" ht="12.75" customHeight="1" x14ac:dyDescent="0.35">
      <c r="A241" s="108"/>
      <c r="B241" s="126" t="s">
        <v>148</v>
      </c>
      <c r="C241" s="5" t="s">
        <v>5</v>
      </c>
      <c r="D241" s="5" t="s">
        <v>318</v>
      </c>
      <c r="E241" s="5" t="s">
        <v>319</v>
      </c>
      <c r="F241" s="132">
        <v>1065707</v>
      </c>
      <c r="G241" s="133" t="s">
        <v>528</v>
      </c>
      <c r="H241" s="139">
        <v>0</v>
      </c>
      <c r="I241" s="139">
        <v>0</v>
      </c>
      <c r="J241" s="125">
        <v>0</v>
      </c>
      <c r="K241" s="125">
        <v>0</v>
      </c>
      <c r="L241" s="130">
        <v>0</v>
      </c>
      <c r="M241" s="123">
        <v>0</v>
      </c>
      <c r="N241" s="130">
        <v>0</v>
      </c>
      <c r="O241" s="130">
        <v>0</v>
      </c>
      <c r="P241" s="123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125">
        <v>0</v>
      </c>
      <c r="Y241" s="125" t="s">
        <v>574</v>
      </c>
      <c r="Z241" s="125"/>
      <c r="AA241" s="112">
        <v>0</v>
      </c>
      <c r="AB241" s="112">
        <v>0</v>
      </c>
      <c r="AC241" s="8"/>
      <c r="AD241" s="66"/>
      <c r="AE241" s="66" t="s">
        <v>574</v>
      </c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6"/>
      <c r="AW241" s="66"/>
      <c r="AX241" s="66"/>
      <c r="AY241" s="66"/>
      <c r="AZ241" s="66"/>
      <c r="BA241" s="66"/>
      <c r="BB241" s="66"/>
      <c r="BC241" s="66"/>
      <c r="BD241" s="66"/>
      <c r="BE241" s="66"/>
      <c r="BF241" s="66"/>
      <c r="BG241" s="66"/>
      <c r="BH241" s="66"/>
      <c r="BI241" s="189" t="s">
        <v>1</v>
      </c>
      <c r="BJ241" s="204"/>
    </row>
    <row r="242" spans="1:62" ht="12.75" customHeight="1" x14ac:dyDescent="0.35">
      <c r="A242" s="108"/>
      <c r="B242" s="126" t="s">
        <v>148</v>
      </c>
      <c r="C242" s="5" t="s">
        <v>5</v>
      </c>
      <c r="D242" s="5" t="s">
        <v>318</v>
      </c>
      <c r="E242" s="5" t="s">
        <v>319</v>
      </c>
      <c r="F242" s="99">
        <v>1069658</v>
      </c>
      <c r="G242" s="133" t="s">
        <v>659</v>
      </c>
      <c r="H242" s="139">
        <v>0</v>
      </c>
      <c r="I242" s="139">
        <v>0</v>
      </c>
      <c r="J242" s="125">
        <v>0</v>
      </c>
      <c r="K242" s="125">
        <v>0</v>
      </c>
      <c r="L242" s="130">
        <v>0</v>
      </c>
      <c r="M242" s="123">
        <v>0</v>
      </c>
      <c r="N242" s="130">
        <v>0</v>
      </c>
      <c r="O242" s="130">
        <v>0</v>
      </c>
      <c r="P242" s="123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125">
        <v>0</v>
      </c>
      <c r="Y242" s="125" t="s">
        <v>574</v>
      </c>
      <c r="Z242" s="125"/>
      <c r="AA242" s="112">
        <v>0</v>
      </c>
      <c r="AB242" s="112">
        <v>0</v>
      </c>
      <c r="AC242" s="8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6"/>
      <c r="AR242" s="66"/>
      <c r="AS242" s="67"/>
      <c r="AT242" s="67"/>
      <c r="AU242" s="67"/>
      <c r="AV242" s="67"/>
      <c r="AW242" s="67"/>
      <c r="AX242" s="67"/>
      <c r="AY242" s="67"/>
      <c r="AZ242" s="67"/>
      <c r="BA242" s="67"/>
      <c r="BB242" s="67"/>
      <c r="BC242" s="67"/>
      <c r="BD242" s="67"/>
      <c r="BE242" s="66"/>
      <c r="BF242" s="66"/>
      <c r="BG242" s="66"/>
      <c r="BH242" s="67"/>
      <c r="BI242" s="188" t="s">
        <v>1</v>
      </c>
      <c r="BJ242" s="204"/>
    </row>
    <row r="243" spans="1:62" ht="12.75" customHeight="1" x14ac:dyDescent="0.35">
      <c r="A243" s="108"/>
      <c r="B243" s="126" t="s">
        <v>148</v>
      </c>
      <c r="C243" s="5" t="s">
        <v>5</v>
      </c>
      <c r="D243" s="5" t="s">
        <v>318</v>
      </c>
      <c r="E243" s="5" t="s">
        <v>319</v>
      </c>
      <c r="F243" s="128">
        <v>1010485</v>
      </c>
      <c r="G243" s="129" t="s">
        <v>147</v>
      </c>
      <c r="H243" s="139">
        <v>0</v>
      </c>
      <c r="I243" s="139">
        <v>0</v>
      </c>
      <c r="J243" s="125">
        <v>0</v>
      </c>
      <c r="K243" s="125">
        <v>0</v>
      </c>
      <c r="L243" s="130">
        <v>0</v>
      </c>
      <c r="M243" s="123">
        <v>0</v>
      </c>
      <c r="N243" s="130">
        <v>0</v>
      </c>
      <c r="O243" s="130">
        <v>0</v>
      </c>
      <c r="P243" s="123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125">
        <v>0</v>
      </c>
      <c r="Y243" s="125" t="s">
        <v>574</v>
      </c>
      <c r="Z243" s="125"/>
      <c r="AA243" s="112">
        <v>0</v>
      </c>
      <c r="AB243" s="112">
        <v>0</v>
      </c>
      <c r="AC243" s="8"/>
      <c r="AD243" s="66"/>
      <c r="AE243" s="66" t="s">
        <v>574</v>
      </c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  <c r="AZ243" s="66"/>
      <c r="BA243" s="66"/>
      <c r="BB243" s="66"/>
      <c r="BC243" s="66"/>
      <c r="BD243" s="66"/>
      <c r="BE243" s="66"/>
      <c r="BF243" s="66"/>
      <c r="BG243" s="66"/>
      <c r="BH243" s="66"/>
      <c r="BI243" s="189" t="s">
        <v>1</v>
      </c>
      <c r="BJ243" s="204"/>
    </row>
    <row r="244" spans="1:62" ht="12.75" customHeight="1" x14ac:dyDescent="0.35">
      <c r="A244" s="108"/>
      <c r="B244" s="126" t="s">
        <v>148</v>
      </c>
      <c r="C244" s="5" t="s">
        <v>5</v>
      </c>
      <c r="D244" s="5" t="s">
        <v>318</v>
      </c>
      <c r="E244" s="5" t="s">
        <v>319</v>
      </c>
      <c r="F244" s="128">
        <v>1010130</v>
      </c>
      <c r="G244" s="129" t="s">
        <v>179</v>
      </c>
      <c r="H244" s="139">
        <v>0</v>
      </c>
      <c r="I244" s="139">
        <v>0</v>
      </c>
      <c r="J244" s="125">
        <v>0</v>
      </c>
      <c r="K244" s="125">
        <v>0</v>
      </c>
      <c r="L244" s="130">
        <v>0</v>
      </c>
      <c r="M244" s="123">
        <v>0</v>
      </c>
      <c r="N244" s="130">
        <v>0</v>
      </c>
      <c r="O244" s="130">
        <v>0</v>
      </c>
      <c r="P244" s="123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125">
        <v>0</v>
      </c>
      <c r="Y244" s="125" t="s">
        <v>574</v>
      </c>
      <c r="Z244" s="125"/>
      <c r="AA244" s="112">
        <v>0</v>
      </c>
      <c r="AB244" s="112">
        <v>0</v>
      </c>
      <c r="AC244" s="8"/>
      <c r="AD244" s="67"/>
      <c r="AE244" s="67" t="s">
        <v>574</v>
      </c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6"/>
      <c r="AR244" s="66"/>
      <c r="AS244" s="67"/>
      <c r="AT244" s="67"/>
      <c r="AU244" s="67"/>
      <c r="AV244" s="67"/>
      <c r="AW244" s="67"/>
      <c r="AX244" s="67"/>
      <c r="AY244" s="67"/>
      <c r="AZ244" s="67"/>
      <c r="BA244" s="67"/>
      <c r="BB244" s="67"/>
      <c r="BC244" s="67"/>
      <c r="BD244" s="67"/>
      <c r="BE244" s="66"/>
      <c r="BF244" s="66"/>
      <c r="BG244" s="66"/>
      <c r="BH244" s="67"/>
      <c r="BI244" s="189" t="s">
        <v>1</v>
      </c>
      <c r="BJ244" s="204"/>
    </row>
    <row r="245" spans="1:62" ht="12.75" customHeight="1" x14ac:dyDescent="0.35">
      <c r="A245" s="108"/>
      <c r="B245" s="126" t="s">
        <v>148</v>
      </c>
      <c r="C245" s="5" t="s">
        <v>5</v>
      </c>
      <c r="D245" s="5" t="s">
        <v>318</v>
      </c>
      <c r="E245" s="5" t="s">
        <v>307</v>
      </c>
      <c r="F245" s="128">
        <v>1058894</v>
      </c>
      <c r="G245" s="129" t="s">
        <v>252</v>
      </c>
      <c r="H245" s="139">
        <v>0</v>
      </c>
      <c r="I245" s="139">
        <v>0</v>
      </c>
      <c r="J245" s="125">
        <v>0</v>
      </c>
      <c r="K245" s="125">
        <v>0</v>
      </c>
      <c r="L245" s="130">
        <v>0</v>
      </c>
      <c r="M245" s="123">
        <v>0</v>
      </c>
      <c r="N245" s="130">
        <v>0</v>
      </c>
      <c r="O245" s="130">
        <v>0</v>
      </c>
      <c r="P245" s="123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125">
        <v>0</v>
      </c>
      <c r="Y245" s="125" t="s">
        <v>574</v>
      </c>
      <c r="Z245" s="125"/>
      <c r="AA245" s="112">
        <v>0</v>
      </c>
      <c r="AB245" s="112">
        <v>0</v>
      </c>
      <c r="AC245" s="8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6"/>
      <c r="AR245" s="66"/>
      <c r="AS245" s="67"/>
      <c r="AT245" s="67"/>
      <c r="AU245" s="67"/>
      <c r="AV245" s="67"/>
      <c r="AW245" s="67"/>
      <c r="AX245" s="67"/>
      <c r="AY245" s="67"/>
      <c r="AZ245" s="67"/>
      <c r="BA245" s="67"/>
      <c r="BB245" s="67"/>
      <c r="BC245" s="67"/>
      <c r="BD245" s="67"/>
      <c r="BE245" s="66"/>
      <c r="BF245" s="66"/>
      <c r="BG245" s="66"/>
      <c r="BH245" s="67"/>
      <c r="BI245" s="189" t="s">
        <v>1</v>
      </c>
      <c r="BJ245" s="204"/>
    </row>
    <row r="246" spans="1:62" ht="12.75" customHeight="1" x14ac:dyDescent="0.35">
      <c r="A246" s="108"/>
      <c r="B246" s="126" t="s">
        <v>148</v>
      </c>
      <c r="C246" s="5" t="s">
        <v>5</v>
      </c>
      <c r="D246" s="5" t="s">
        <v>318</v>
      </c>
      <c r="E246" s="5" t="s">
        <v>307</v>
      </c>
      <c r="F246" s="132">
        <v>1072790</v>
      </c>
      <c r="G246" s="133" t="s">
        <v>617</v>
      </c>
      <c r="H246" s="139">
        <v>0</v>
      </c>
      <c r="I246" s="139">
        <v>0</v>
      </c>
      <c r="J246" s="125">
        <v>0</v>
      </c>
      <c r="K246" s="125">
        <v>0</v>
      </c>
      <c r="L246" s="130">
        <v>0</v>
      </c>
      <c r="M246" s="123">
        <v>0</v>
      </c>
      <c r="N246" s="130">
        <v>0</v>
      </c>
      <c r="O246" s="130">
        <v>0</v>
      </c>
      <c r="P246" s="123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125">
        <v>0</v>
      </c>
      <c r="Y246" s="125" t="s">
        <v>574</v>
      </c>
      <c r="Z246" s="125"/>
      <c r="AA246" s="112">
        <v>0</v>
      </c>
      <c r="AB246" s="112">
        <v>0</v>
      </c>
      <c r="AC246" s="8"/>
      <c r="AD246" s="67"/>
      <c r="AE246" s="67">
        <v>9.4777635624128784</v>
      </c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6"/>
      <c r="AR246" s="66"/>
      <c r="AS246" s="67"/>
      <c r="AT246" s="67"/>
      <c r="AU246" s="67"/>
      <c r="AV246" s="67"/>
      <c r="AW246" s="67"/>
      <c r="AX246" s="67"/>
      <c r="AY246" s="67"/>
      <c r="AZ246" s="67"/>
      <c r="BA246" s="67"/>
      <c r="BB246" s="67"/>
      <c r="BC246" s="67"/>
      <c r="BD246" s="67"/>
      <c r="BE246" s="66"/>
      <c r="BF246" s="66"/>
      <c r="BG246" s="66"/>
      <c r="BH246" s="67"/>
      <c r="BI246" s="188" t="s">
        <v>1</v>
      </c>
      <c r="BJ246" s="204"/>
    </row>
    <row r="247" spans="1:62" ht="12.75" customHeight="1" x14ac:dyDescent="0.35">
      <c r="A247" s="108"/>
      <c r="B247" s="126" t="s">
        <v>148</v>
      </c>
      <c r="C247" s="5" t="s">
        <v>5</v>
      </c>
      <c r="D247" s="5" t="s">
        <v>318</v>
      </c>
      <c r="E247" s="5" t="s">
        <v>307</v>
      </c>
      <c r="F247" s="161">
        <v>1058429</v>
      </c>
      <c r="G247" s="162" t="s">
        <v>254</v>
      </c>
      <c r="H247" s="139">
        <v>0</v>
      </c>
      <c r="I247" s="139">
        <v>0</v>
      </c>
      <c r="J247" s="125">
        <v>0</v>
      </c>
      <c r="K247" s="125">
        <v>0</v>
      </c>
      <c r="L247" s="130">
        <v>0</v>
      </c>
      <c r="M247" s="123">
        <v>0</v>
      </c>
      <c r="N247" s="130">
        <v>0</v>
      </c>
      <c r="O247" s="130">
        <v>0</v>
      </c>
      <c r="P247" s="123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125">
        <v>0</v>
      </c>
      <c r="Y247" s="125" t="s">
        <v>574</v>
      </c>
      <c r="Z247" s="125"/>
      <c r="AA247" s="112">
        <v>0</v>
      </c>
      <c r="AB247" s="112">
        <v>0</v>
      </c>
      <c r="AC247" s="8"/>
      <c r="AD247" s="66"/>
      <c r="AE247" s="66">
        <v>9.6050294151574587</v>
      </c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66"/>
      <c r="AU247" s="66"/>
      <c r="AV247" s="66"/>
      <c r="AW247" s="66"/>
      <c r="AX247" s="66"/>
      <c r="AY247" s="66"/>
      <c r="AZ247" s="66"/>
      <c r="BA247" s="66"/>
      <c r="BB247" s="66"/>
      <c r="BC247" s="66"/>
      <c r="BD247" s="66"/>
      <c r="BE247" s="66"/>
      <c r="BF247" s="66"/>
      <c r="BG247" s="66"/>
      <c r="BH247" s="66"/>
      <c r="BI247" s="189" t="s">
        <v>1</v>
      </c>
      <c r="BJ247" s="204"/>
    </row>
    <row r="248" spans="1:62" ht="12.75" customHeight="1" x14ac:dyDescent="0.35">
      <c r="A248" s="108"/>
      <c r="B248" s="126" t="s">
        <v>148</v>
      </c>
      <c r="C248" s="5" t="s">
        <v>5</v>
      </c>
      <c r="D248" s="5" t="s">
        <v>318</v>
      </c>
      <c r="E248" s="5" t="s">
        <v>307</v>
      </c>
      <c r="F248" s="128">
        <v>1058428</v>
      </c>
      <c r="G248" s="129" t="s">
        <v>354</v>
      </c>
      <c r="H248" s="139">
        <v>0</v>
      </c>
      <c r="I248" s="139">
        <v>0</v>
      </c>
      <c r="J248" s="125">
        <v>0</v>
      </c>
      <c r="K248" s="125">
        <v>0</v>
      </c>
      <c r="L248" s="130">
        <v>0</v>
      </c>
      <c r="M248" s="123">
        <v>0</v>
      </c>
      <c r="N248" s="130">
        <v>0</v>
      </c>
      <c r="O248" s="130">
        <v>0</v>
      </c>
      <c r="P248" s="123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125">
        <v>0</v>
      </c>
      <c r="Y248" s="125" t="s">
        <v>574</v>
      </c>
      <c r="Z248" s="125"/>
      <c r="AA248" s="112">
        <v>0</v>
      </c>
      <c r="AB248" s="112">
        <v>0</v>
      </c>
      <c r="AC248" s="8"/>
      <c r="AD248" s="66"/>
      <c r="AE248" s="66" t="s">
        <v>574</v>
      </c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66"/>
      <c r="AU248" s="66"/>
      <c r="AV248" s="66"/>
      <c r="AW248" s="66"/>
      <c r="AX248" s="66"/>
      <c r="AY248" s="66"/>
      <c r="AZ248" s="66"/>
      <c r="BA248" s="66"/>
      <c r="BB248" s="66"/>
      <c r="BC248" s="66"/>
      <c r="BD248" s="66"/>
      <c r="BE248" s="66"/>
      <c r="BF248" s="66"/>
      <c r="BG248" s="66"/>
      <c r="BH248" s="66"/>
      <c r="BI248" s="189" t="s">
        <v>1</v>
      </c>
      <c r="BJ248" s="204"/>
    </row>
    <row r="249" spans="1:62" ht="12.75" customHeight="1" x14ac:dyDescent="0.35">
      <c r="A249" s="108"/>
      <c r="B249" s="126" t="s">
        <v>148</v>
      </c>
      <c r="C249" s="5" t="s">
        <v>5</v>
      </c>
      <c r="D249" s="5" t="s">
        <v>318</v>
      </c>
      <c r="E249" s="5" t="s">
        <v>307</v>
      </c>
      <c r="F249" s="161">
        <v>1058427</v>
      </c>
      <c r="G249" s="162" t="s">
        <v>348</v>
      </c>
      <c r="H249" s="139">
        <v>0</v>
      </c>
      <c r="I249" s="139">
        <v>0</v>
      </c>
      <c r="J249" s="125">
        <v>0</v>
      </c>
      <c r="K249" s="125">
        <v>0</v>
      </c>
      <c r="L249" s="130">
        <v>0</v>
      </c>
      <c r="M249" s="123">
        <v>0</v>
      </c>
      <c r="N249" s="130">
        <v>0</v>
      </c>
      <c r="O249" s="130">
        <v>0</v>
      </c>
      <c r="P249" s="123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125">
        <v>0</v>
      </c>
      <c r="Y249" s="125" t="s">
        <v>574</v>
      </c>
      <c r="Z249" s="125"/>
      <c r="AA249" s="112">
        <v>0</v>
      </c>
      <c r="AB249" s="112">
        <v>0</v>
      </c>
      <c r="AC249" s="8"/>
      <c r="AD249" s="67"/>
      <c r="AE249" s="67" t="s">
        <v>574</v>
      </c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6"/>
      <c r="AR249" s="66"/>
      <c r="AS249" s="67"/>
      <c r="AT249" s="67"/>
      <c r="AU249" s="67"/>
      <c r="AV249" s="67"/>
      <c r="AW249" s="67"/>
      <c r="AX249" s="67"/>
      <c r="AY249" s="67"/>
      <c r="AZ249" s="67"/>
      <c r="BA249" s="67"/>
      <c r="BB249" s="67"/>
      <c r="BC249" s="67"/>
      <c r="BD249" s="67"/>
      <c r="BE249" s="66"/>
      <c r="BF249" s="66"/>
      <c r="BG249" s="66"/>
      <c r="BH249" s="67"/>
      <c r="BI249" s="188" t="s">
        <v>1</v>
      </c>
      <c r="BJ249" s="204"/>
    </row>
    <row r="250" spans="1:62" ht="12.75" customHeight="1" x14ac:dyDescent="0.35">
      <c r="A250" s="108"/>
      <c r="B250" s="126" t="s">
        <v>148</v>
      </c>
      <c r="C250" s="5" t="s">
        <v>5</v>
      </c>
      <c r="D250" s="5" t="s">
        <v>318</v>
      </c>
      <c r="E250" s="5" t="s">
        <v>307</v>
      </c>
      <c r="F250" s="132">
        <v>1072751</v>
      </c>
      <c r="G250" s="133" t="s">
        <v>759</v>
      </c>
      <c r="H250" s="139">
        <v>0</v>
      </c>
      <c r="I250" s="139">
        <v>0</v>
      </c>
      <c r="J250" s="125">
        <v>0</v>
      </c>
      <c r="K250" s="125">
        <v>0</v>
      </c>
      <c r="L250" s="130">
        <v>0</v>
      </c>
      <c r="M250" s="123">
        <v>0</v>
      </c>
      <c r="N250" s="130">
        <v>0</v>
      </c>
      <c r="O250" s="130">
        <v>0</v>
      </c>
      <c r="P250" s="123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125">
        <v>0</v>
      </c>
      <c r="Y250" s="125" t="s">
        <v>574</v>
      </c>
      <c r="Z250" s="125"/>
      <c r="AA250" s="112">
        <v>0</v>
      </c>
      <c r="AB250" s="112">
        <v>0</v>
      </c>
      <c r="AC250" s="8"/>
      <c r="AD250" s="66"/>
      <c r="AE250" s="66">
        <v>32.839033816425115</v>
      </c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X250" s="66"/>
      <c r="AY250" s="66"/>
      <c r="AZ250" s="66"/>
      <c r="BA250" s="66"/>
      <c r="BB250" s="66"/>
      <c r="BC250" s="66"/>
      <c r="BD250" s="66"/>
      <c r="BE250" s="66"/>
      <c r="BF250" s="66"/>
      <c r="BG250" s="66"/>
      <c r="BH250" s="66"/>
      <c r="BI250" s="188" t="s">
        <v>1</v>
      </c>
      <c r="BJ250" s="204"/>
    </row>
    <row r="251" spans="1:62" ht="12.75" customHeight="1" x14ac:dyDescent="0.35">
      <c r="A251" s="108"/>
      <c r="B251" s="126">
        <v>0</v>
      </c>
      <c r="C251" s="5" t="s">
        <v>5</v>
      </c>
      <c r="D251" s="5" t="s">
        <v>318</v>
      </c>
      <c r="E251" s="5" t="s">
        <v>307</v>
      </c>
      <c r="F251" s="132">
        <v>1072788</v>
      </c>
      <c r="G251" s="133" t="s">
        <v>540</v>
      </c>
      <c r="H251" s="139">
        <v>0</v>
      </c>
      <c r="I251" s="139">
        <v>0</v>
      </c>
      <c r="J251" s="125">
        <v>0</v>
      </c>
      <c r="K251" s="125">
        <v>0</v>
      </c>
      <c r="L251" s="130">
        <v>0</v>
      </c>
      <c r="M251" s="123">
        <v>0</v>
      </c>
      <c r="N251" s="130">
        <v>0</v>
      </c>
      <c r="O251" s="130">
        <v>0</v>
      </c>
      <c r="P251" s="123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125">
        <v>0</v>
      </c>
      <c r="Y251" s="125" t="s">
        <v>574</v>
      </c>
      <c r="Z251" s="125"/>
      <c r="AA251" s="112">
        <v>0</v>
      </c>
      <c r="AB251" s="112">
        <v>0</v>
      </c>
      <c r="AC251" s="8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6"/>
      <c r="AW251" s="66"/>
      <c r="AX251" s="66"/>
      <c r="AY251" s="66"/>
      <c r="AZ251" s="66"/>
      <c r="BA251" s="66"/>
      <c r="BB251" s="66"/>
      <c r="BC251" s="66"/>
      <c r="BD251" s="66"/>
      <c r="BE251" s="66"/>
      <c r="BF251" s="66"/>
      <c r="BG251" s="66"/>
      <c r="BH251" s="66"/>
      <c r="BI251" s="188"/>
      <c r="BJ251" s="204"/>
    </row>
    <row r="252" spans="1:62" ht="12.75" customHeight="1" x14ac:dyDescent="0.35">
      <c r="A252" s="108"/>
      <c r="B252" s="126" t="s">
        <v>148</v>
      </c>
      <c r="C252" s="5" t="s">
        <v>5</v>
      </c>
      <c r="D252" s="5" t="s">
        <v>318</v>
      </c>
      <c r="E252" s="5" t="s">
        <v>307</v>
      </c>
      <c r="F252" s="132">
        <v>1065129</v>
      </c>
      <c r="G252" s="133" t="s">
        <v>540</v>
      </c>
      <c r="H252" s="139">
        <v>0</v>
      </c>
      <c r="I252" s="139">
        <v>0</v>
      </c>
      <c r="J252" s="125">
        <v>0</v>
      </c>
      <c r="K252" s="125">
        <v>0</v>
      </c>
      <c r="L252" s="130">
        <v>0</v>
      </c>
      <c r="M252" s="123">
        <v>0</v>
      </c>
      <c r="N252" s="130">
        <v>0</v>
      </c>
      <c r="O252" s="130">
        <v>0</v>
      </c>
      <c r="P252" s="123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125">
        <v>0</v>
      </c>
      <c r="Y252" s="125" t="s">
        <v>574</v>
      </c>
      <c r="Z252" s="125"/>
      <c r="AA252" s="112">
        <v>0</v>
      </c>
      <c r="AB252" s="112">
        <v>0</v>
      </c>
      <c r="AC252" s="8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  <c r="AZ252" s="66"/>
      <c r="BA252" s="66"/>
      <c r="BB252" s="66"/>
      <c r="BC252" s="66"/>
      <c r="BD252" s="66"/>
      <c r="BE252" s="66"/>
      <c r="BF252" s="66"/>
      <c r="BG252" s="66"/>
      <c r="BH252" s="66"/>
      <c r="BI252" s="188"/>
      <c r="BJ252" s="204"/>
    </row>
    <row r="253" spans="1:62" ht="12.75" customHeight="1" x14ac:dyDescent="0.35">
      <c r="A253" s="108"/>
      <c r="B253" s="126" t="s">
        <v>148</v>
      </c>
      <c r="C253" s="5" t="s">
        <v>5</v>
      </c>
      <c r="D253" s="5" t="s">
        <v>318</v>
      </c>
      <c r="E253" s="5" t="s">
        <v>307</v>
      </c>
      <c r="F253" s="132">
        <v>1060034</v>
      </c>
      <c r="G253" s="133" t="s">
        <v>350</v>
      </c>
      <c r="H253" s="139">
        <v>0</v>
      </c>
      <c r="I253" s="139">
        <v>0</v>
      </c>
      <c r="J253" s="125">
        <v>0</v>
      </c>
      <c r="K253" s="125">
        <v>0</v>
      </c>
      <c r="L253" s="130">
        <v>0</v>
      </c>
      <c r="M253" s="123">
        <v>0</v>
      </c>
      <c r="N253" s="130">
        <v>0</v>
      </c>
      <c r="O253" s="130">
        <v>0</v>
      </c>
      <c r="P253" s="123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125">
        <v>0</v>
      </c>
      <c r="Y253" s="125" t="s">
        <v>574</v>
      </c>
      <c r="Z253" s="125"/>
      <c r="AA253" s="112">
        <v>0</v>
      </c>
      <c r="AB253" s="112">
        <v>0</v>
      </c>
      <c r="AC253" s="8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66"/>
      <c r="AU253" s="66"/>
      <c r="AV253" s="66"/>
      <c r="AW253" s="66"/>
      <c r="AX253" s="66"/>
      <c r="AY253" s="66"/>
      <c r="AZ253" s="66"/>
      <c r="BA253" s="66"/>
      <c r="BB253" s="66"/>
      <c r="BC253" s="66"/>
      <c r="BD253" s="66"/>
      <c r="BE253" s="66"/>
      <c r="BF253" s="66"/>
      <c r="BG253" s="66"/>
      <c r="BH253" s="66"/>
      <c r="BI253" s="188" t="s">
        <v>1</v>
      </c>
      <c r="BJ253" s="204"/>
    </row>
    <row r="254" spans="1:62" ht="12.75" customHeight="1" x14ac:dyDescent="0.35">
      <c r="A254" s="108"/>
      <c r="B254" s="126" t="s">
        <v>148</v>
      </c>
      <c r="C254" s="5" t="s">
        <v>5</v>
      </c>
      <c r="D254" s="5" t="s">
        <v>318</v>
      </c>
      <c r="E254" s="5" t="s">
        <v>307</v>
      </c>
      <c r="F254" s="132">
        <v>1079366</v>
      </c>
      <c r="G254" s="133" t="s">
        <v>719</v>
      </c>
      <c r="H254" s="139">
        <v>0</v>
      </c>
      <c r="I254" s="139">
        <v>0</v>
      </c>
      <c r="J254" s="125">
        <v>0</v>
      </c>
      <c r="K254" s="125">
        <v>0</v>
      </c>
      <c r="L254" s="130">
        <v>0</v>
      </c>
      <c r="M254" s="123">
        <v>0</v>
      </c>
      <c r="N254" s="130">
        <v>0</v>
      </c>
      <c r="O254" s="130">
        <v>0</v>
      </c>
      <c r="P254" s="123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125">
        <v>0</v>
      </c>
      <c r="Y254" s="125" t="s">
        <v>574</v>
      </c>
      <c r="Z254" s="125"/>
      <c r="AA254" s="112">
        <v>0</v>
      </c>
      <c r="AB254" s="112">
        <v>0</v>
      </c>
      <c r="AC254" s="8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6"/>
      <c r="AR254" s="66"/>
      <c r="AS254" s="67"/>
      <c r="AT254" s="67"/>
      <c r="AU254" s="67"/>
      <c r="AV254" s="67"/>
      <c r="AW254" s="67"/>
      <c r="AX254" s="67"/>
      <c r="AY254" s="67"/>
      <c r="AZ254" s="67"/>
      <c r="BA254" s="67"/>
      <c r="BB254" s="67"/>
      <c r="BC254" s="67"/>
      <c r="BD254" s="67"/>
      <c r="BE254" s="66"/>
      <c r="BF254" s="66"/>
      <c r="BG254" s="66"/>
      <c r="BH254" s="67"/>
      <c r="BI254" s="188" t="s">
        <v>1</v>
      </c>
      <c r="BJ254" s="204"/>
    </row>
    <row r="255" spans="1:62" ht="12.75" customHeight="1" x14ac:dyDescent="0.35">
      <c r="A255" s="108"/>
      <c r="B255" s="126" t="s">
        <v>148</v>
      </c>
      <c r="C255" s="5" t="s">
        <v>5</v>
      </c>
      <c r="D255" s="5" t="s">
        <v>318</v>
      </c>
      <c r="E255" s="5" t="s">
        <v>307</v>
      </c>
      <c r="F255" s="132">
        <v>1079365</v>
      </c>
      <c r="G255" s="133" t="s">
        <v>718</v>
      </c>
      <c r="H255" s="139">
        <v>0</v>
      </c>
      <c r="I255" s="139">
        <v>0</v>
      </c>
      <c r="J255" s="125">
        <v>0</v>
      </c>
      <c r="K255" s="125">
        <v>0</v>
      </c>
      <c r="L255" s="130">
        <v>0</v>
      </c>
      <c r="M255" s="123">
        <v>0</v>
      </c>
      <c r="N255" s="130">
        <v>0</v>
      </c>
      <c r="O255" s="130">
        <v>0</v>
      </c>
      <c r="P255" s="123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125">
        <v>0</v>
      </c>
      <c r="Y255" s="125" t="s">
        <v>574</v>
      </c>
      <c r="Z255" s="125"/>
      <c r="AA255" s="112">
        <v>0</v>
      </c>
      <c r="AB255" s="112">
        <v>0</v>
      </c>
      <c r="AC255" s="8"/>
      <c r="AD255" s="67"/>
      <c r="AE255" s="67">
        <v>32.727317554240635</v>
      </c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6"/>
      <c r="AR255" s="66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  <c r="BC255" s="67"/>
      <c r="BD255" s="67"/>
      <c r="BE255" s="66"/>
      <c r="BF255" s="66"/>
      <c r="BG255" s="66"/>
      <c r="BH255" s="67"/>
      <c r="BI255" s="188" t="s">
        <v>1</v>
      </c>
      <c r="BJ255" s="204"/>
    </row>
    <row r="256" spans="1:62" ht="12.75" customHeight="1" x14ac:dyDescent="0.35">
      <c r="A256" s="108"/>
      <c r="B256" s="126" t="s">
        <v>148</v>
      </c>
      <c r="C256" s="5" t="s">
        <v>5</v>
      </c>
      <c r="D256" s="5" t="s">
        <v>318</v>
      </c>
      <c r="E256" s="5" t="s">
        <v>307</v>
      </c>
      <c r="F256" s="132">
        <v>1079367</v>
      </c>
      <c r="G256" s="133" t="s">
        <v>722</v>
      </c>
      <c r="H256" s="139">
        <v>0</v>
      </c>
      <c r="I256" s="139">
        <v>0</v>
      </c>
      <c r="J256" s="125">
        <v>0</v>
      </c>
      <c r="K256" s="125">
        <v>0</v>
      </c>
      <c r="L256" s="130">
        <v>0</v>
      </c>
      <c r="M256" s="123">
        <v>0</v>
      </c>
      <c r="N256" s="130">
        <v>0</v>
      </c>
      <c r="O256" s="130">
        <v>0</v>
      </c>
      <c r="P256" s="123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125">
        <v>0</v>
      </c>
      <c r="Y256" s="125" t="s">
        <v>574</v>
      </c>
      <c r="Z256" s="125"/>
      <c r="AA256" s="112">
        <v>0</v>
      </c>
      <c r="AB256" s="112">
        <v>0</v>
      </c>
      <c r="AC256" s="8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6"/>
      <c r="AR256" s="66"/>
      <c r="AS256" s="67"/>
      <c r="AT256" s="67"/>
      <c r="AU256" s="67"/>
      <c r="AV256" s="67"/>
      <c r="AW256" s="67"/>
      <c r="AX256" s="67"/>
      <c r="AY256" s="67"/>
      <c r="AZ256" s="67"/>
      <c r="BA256" s="67"/>
      <c r="BB256" s="67"/>
      <c r="BC256" s="67"/>
      <c r="BD256" s="67"/>
      <c r="BE256" s="66"/>
      <c r="BF256" s="66"/>
      <c r="BG256" s="66"/>
      <c r="BH256" s="67"/>
      <c r="BI256" s="188" t="s">
        <v>1</v>
      </c>
      <c r="BJ256" s="204"/>
    </row>
    <row r="257" spans="1:62" ht="12.75" customHeight="1" x14ac:dyDescent="0.35">
      <c r="A257" s="108"/>
      <c r="B257" s="126" t="s">
        <v>148</v>
      </c>
      <c r="C257" s="5" t="s">
        <v>5</v>
      </c>
      <c r="D257" s="5" t="s">
        <v>318</v>
      </c>
      <c r="E257" s="5" t="s">
        <v>307</v>
      </c>
      <c r="F257" s="132">
        <v>1072430</v>
      </c>
      <c r="G257" s="133" t="s">
        <v>618</v>
      </c>
      <c r="H257" s="139">
        <v>0</v>
      </c>
      <c r="I257" s="139">
        <v>0</v>
      </c>
      <c r="J257" s="125">
        <v>0</v>
      </c>
      <c r="K257" s="125">
        <v>-108</v>
      </c>
      <c r="L257" s="130">
        <v>-91.8</v>
      </c>
      <c r="M257" s="123">
        <v>0</v>
      </c>
      <c r="N257" s="130">
        <v>91.8</v>
      </c>
      <c r="O257" s="130">
        <v>0</v>
      </c>
      <c r="P257" s="123">
        <v>0</v>
      </c>
      <c r="Q257" s="5">
        <v>60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125">
        <v>0</v>
      </c>
      <c r="Y257" s="125" t="s">
        <v>574</v>
      </c>
      <c r="Z257" s="125"/>
      <c r="AA257" s="112">
        <v>0</v>
      </c>
      <c r="AB257" s="112">
        <v>0</v>
      </c>
      <c r="AC257" s="8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6"/>
      <c r="AR257" s="66"/>
      <c r="AS257" s="67"/>
      <c r="AT257" s="67"/>
      <c r="AU257" s="67"/>
      <c r="AV257" s="67"/>
      <c r="AW257" s="67"/>
      <c r="AX257" s="67"/>
      <c r="AY257" s="67"/>
      <c r="AZ257" s="67"/>
      <c r="BA257" s="67"/>
      <c r="BB257" s="67"/>
      <c r="BC257" s="67"/>
      <c r="BD257" s="67"/>
      <c r="BE257" s="66"/>
      <c r="BF257" s="66"/>
      <c r="BG257" s="66"/>
      <c r="BH257" s="67"/>
      <c r="BI257" s="189"/>
      <c r="BJ257" s="204"/>
    </row>
    <row r="258" spans="1:62" ht="12.75" customHeight="1" x14ac:dyDescent="0.35">
      <c r="A258" s="108"/>
      <c r="B258" s="126" t="s">
        <v>148</v>
      </c>
      <c r="C258" s="5" t="s">
        <v>5</v>
      </c>
      <c r="D258" s="5" t="s">
        <v>318</v>
      </c>
      <c r="E258" s="5" t="s">
        <v>307</v>
      </c>
      <c r="F258" s="132">
        <v>1072429</v>
      </c>
      <c r="G258" s="133" t="s">
        <v>607</v>
      </c>
      <c r="H258" s="139">
        <v>0</v>
      </c>
      <c r="I258" s="139">
        <v>0</v>
      </c>
      <c r="J258" s="125">
        <v>0</v>
      </c>
      <c r="K258" s="125">
        <v>0</v>
      </c>
      <c r="L258" s="130">
        <v>0</v>
      </c>
      <c r="M258" s="123">
        <v>0</v>
      </c>
      <c r="N258" s="130">
        <v>0</v>
      </c>
      <c r="O258" s="130">
        <v>0</v>
      </c>
      <c r="P258" s="123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125">
        <v>0</v>
      </c>
      <c r="Y258" s="125" t="s">
        <v>574</v>
      </c>
      <c r="Z258" s="125"/>
      <c r="AA258" s="112">
        <v>0</v>
      </c>
      <c r="AB258" s="112">
        <v>0</v>
      </c>
      <c r="AC258" s="8"/>
      <c r="AD258" s="116"/>
      <c r="AE258" s="116">
        <v>14.083862448727313</v>
      </c>
      <c r="AF258" s="116"/>
      <c r="AG258" s="116"/>
      <c r="AH258" s="116"/>
      <c r="AI258" s="116"/>
      <c r="AJ258" s="116"/>
      <c r="AK258" s="116"/>
      <c r="AL258" s="116"/>
      <c r="AM258" s="116"/>
      <c r="AN258" s="116"/>
      <c r="AO258" s="116"/>
      <c r="AP258" s="116"/>
      <c r="AQ258" s="66"/>
      <c r="AR258" s="66"/>
      <c r="AS258" s="116"/>
      <c r="AT258" s="116"/>
      <c r="AU258" s="116"/>
      <c r="AV258" s="116"/>
      <c r="AW258" s="116"/>
      <c r="AX258" s="116"/>
      <c r="AY258" s="116"/>
      <c r="AZ258" s="116"/>
      <c r="BA258" s="116"/>
      <c r="BB258" s="116"/>
      <c r="BC258" s="116"/>
      <c r="BD258" s="116"/>
      <c r="BE258" s="66"/>
      <c r="BF258" s="66"/>
      <c r="BG258" s="66"/>
      <c r="BH258" s="116"/>
      <c r="BI258" s="188" t="s">
        <v>1</v>
      </c>
      <c r="BJ258" s="204"/>
    </row>
    <row r="259" spans="1:62" ht="12.75" customHeight="1" x14ac:dyDescent="0.35">
      <c r="A259" s="108"/>
      <c r="B259" s="126" t="s">
        <v>148</v>
      </c>
      <c r="C259" s="5" t="s">
        <v>5</v>
      </c>
      <c r="D259" s="127" t="s">
        <v>318</v>
      </c>
      <c r="E259" s="127" t="s">
        <v>307</v>
      </c>
      <c r="F259" s="132">
        <v>1066815</v>
      </c>
      <c r="G259" s="133" t="s">
        <v>545</v>
      </c>
      <c r="H259" s="139">
        <v>0</v>
      </c>
      <c r="I259" s="139">
        <v>0</v>
      </c>
      <c r="J259" s="125">
        <v>0</v>
      </c>
      <c r="K259" s="125">
        <v>0</v>
      </c>
      <c r="L259" s="130">
        <v>0</v>
      </c>
      <c r="M259" s="123">
        <v>0</v>
      </c>
      <c r="N259" s="130">
        <v>0</v>
      </c>
      <c r="O259" s="130">
        <v>0</v>
      </c>
      <c r="P259" s="123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125">
        <v>0</v>
      </c>
      <c r="Y259" s="131" t="s">
        <v>574</v>
      </c>
      <c r="Z259" s="125"/>
      <c r="AA259" s="112">
        <v>0</v>
      </c>
      <c r="AB259" s="112">
        <v>0</v>
      </c>
      <c r="AC259" s="8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67"/>
      <c r="BF259" s="67"/>
      <c r="BG259" s="67"/>
      <c r="BH259" s="67"/>
      <c r="BI259" s="188"/>
      <c r="BJ259" s="204"/>
    </row>
    <row r="260" spans="1:62" ht="12.75" customHeight="1" x14ac:dyDescent="0.35">
      <c r="A260" s="108"/>
      <c r="B260" s="126" t="s">
        <v>148</v>
      </c>
      <c r="C260" s="5" t="s">
        <v>5</v>
      </c>
      <c r="D260" s="127" t="s">
        <v>318</v>
      </c>
      <c r="E260" s="127" t="s">
        <v>307</v>
      </c>
      <c r="F260" s="161">
        <v>1067789</v>
      </c>
      <c r="G260" s="162" t="s">
        <v>526</v>
      </c>
      <c r="H260" s="139">
        <v>0</v>
      </c>
      <c r="I260" s="139">
        <v>0</v>
      </c>
      <c r="J260" s="125">
        <v>0</v>
      </c>
      <c r="K260" s="125">
        <v>0</v>
      </c>
      <c r="L260" s="130">
        <v>0</v>
      </c>
      <c r="M260" s="123">
        <v>0</v>
      </c>
      <c r="N260" s="130">
        <v>0</v>
      </c>
      <c r="O260" s="130">
        <v>0</v>
      </c>
      <c r="P260" s="123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125">
        <v>0</v>
      </c>
      <c r="Y260" s="125" t="s">
        <v>574</v>
      </c>
      <c r="Z260" s="125"/>
      <c r="AA260" s="112">
        <v>0</v>
      </c>
      <c r="AB260" s="112">
        <v>0</v>
      </c>
      <c r="AC260" s="8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189" t="s">
        <v>1</v>
      </c>
      <c r="BJ260" s="204"/>
    </row>
    <row r="261" spans="1:62" ht="12.75" customHeight="1" x14ac:dyDescent="0.35">
      <c r="A261" s="108"/>
      <c r="B261" s="126" t="s">
        <v>148</v>
      </c>
      <c r="C261" s="5" t="s">
        <v>5</v>
      </c>
      <c r="D261" s="127" t="s">
        <v>318</v>
      </c>
      <c r="E261" s="127" t="s">
        <v>307</v>
      </c>
      <c r="F261" s="132">
        <v>1072128</v>
      </c>
      <c r="G261" s="133" t="s">
        <v>738</v>
      </c>
      <c r="H261" s="139">
        <v>0</v>
      </c>
      <c r="I261" s="139">
        <v>0</v>
      </c>
      <c r="J261" s="125">
        <v>0</v>
      </c>
      <c r="K261" s="125">
        <v>0</v>
      </c>
      <c r="L261" s="130">
        <v>0</v>
      </c>
      <c r="M261" s="123">
        <v>0</v>
      </c>
      <c r="N261" s="130">
        <v>0</v>
      </c>
      <c r="O261" s="130">
        <v>0</v>
      </c>
      <c r="P261" s="123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125">
        <v>0</v>
      </c>
      <c r="Y261" s="131" t="s">
        <v>574</v>
      </c>
      <c r="Z261" s="125"/>
      <c r="AA261" s="112">
        <v>0</v>
      </c>
      <c r="AB261" s="112">
        <v>0</v>
      </c>
      <c r="AC261" s="8"/>
      <c r="AD261" s="67"/>
      <c r="AE261" s="67">
        <v>36.487577639751557</v>
      </c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7"/>
      <c r="AT261" s="67"/>
      <c r="AU261" s="67"/>
      <c r="AV261" s="67"/>
      <c r="AW261" s="67"/>
      <c r="AX261" s="67"/>
      <c r="AY261" s="67"/>
      <c r="AZ261" s="67"/>
      <c r="BA261" s="67"/>
      <c r="BB261" s="67"/>
      <c r="BC261" s="67"/>
      <c r="BD261" s="67"/>
      <c r="BE261" s="67"/>
      <c r="BF261" s="67"/>
      <c r="BG261" s="67"/>
      <c r="BH261" s="67"/>
      <c r="BI261" s="188" t="s">
        <v>1</v>
      </c>
      <c r="BJ261" s="204"/>
    </row>
    <row r="262" spans="1:62" ht="12.75" customHeight="1" x14ac:dyDescent="0.35">
      <c r="A262" s="108"/>
      <c r="B262" s="126" t="s">
        <v>148</v>
      </c>
      <c r="C262" s="5" t="s">
        <v>5</v>
      </c>
      <c r="D262" s="127" t="s">
        <v>318</v>
      </c>
      <c r="E262" s="127" t="s">
        <v>307</v>
      </c>
      <c r="F262" s="128">
        <v>1065857</v>
      </c>
      <c r="G262" s="129" t="s">
        <v>514</v>
      </c>
      <c r="H262" s="139">
        <v>0</v>
      </c>
      <c r="I262" s="139">
        <v>0</v>
      </c>
      <c r="J262" s="125">
        <v>0</v>
      </c>
      <c r="K262" s="125">
        <v>0</v>
      </c>
      <c r="L262" s="130">
        <v>0</v>
      </c>
      <c r="M262" s="123">
        <v>0</v>
      </c>
      <c r="N262" s="130">
        <v>0</v>
      </c>
      <c r="O262" s="130">
        <v>0</v>
      </c>
      <c r="P262" s="123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125">
        <v>0</v>
      </c>
      <c r="Y262" s="131" t="s">
        <v>574</v>
      </c>
      <c r="Z262" s="125"/>
      <c r="AA262" s="112">
        <v>0</v>
      </c>
      <c r="AB262" s="112">
        <v>0</v>
      </c>
      <c r="AC262" s="8"/>
      <c r="AD262" s="67"/>
      <c r="AE262" s="67">
        <v>7.8971472187768352</v>
      </c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7"/>
      <c r="AT262" s="67"/>
      <c r="AU262" s="67"/>
      <c r="AV262" s="67"/>
      <c r="AW262" s="67"/>
      <c r="AX262" s="67"/>
      <c r="AY262" s="67"/>
      <c r="AZ262" s="67"/>
      <c r="BA262" s="67"/>
      <c r="BB262" s="67"/>
      <c r="BC262" s="67"/>
      <c r="BD262" s="67"/>
      <c r="BE262" s="67"/>
      <c r="BF262" s="67"/>
      <c r="BG262" s="67"/>
      <c r="BH262" s="67"/>
      <c r="BI262" s="188" t="s">
        <v>1</v>
      </c>
      <c r="BJ262" s="204"/>
    </row>
    <row r="263" spans="1:62" ht="12.75" customHeight="1" x14ac:dyDescent="0.35">
      <c r="A263" s="108"/>
      <c r="B263" s="126" t="s">
        <v>148</v>
      </c>
      <c r="C263" s="5" t="s">
        <v>5</v>
      </c>
      <c r="D263" s="127" t="s">
        <v>318</v>
      </c>
      <c r="E263" s="127" t="s">
        <v>307</v>
      </c>
      <c r="F263" s="128">
        <v>1065856</v>
      </c>
      <c r="G263" s="129" t="s">
        <v>508</v>
      </c>
      <c r="H263" s="139">
        <v>0</v>
      </c>
      <c r="I263" s="139">
        <v>0</v>
      </c>
      <c r="J263" s="125">
        <v>0</v>
      </c>
      <c r="K263" s="125">
        <v>0</v>
      </c>
      <c r="L263" s="130">
        <v>0</v>
      </c>
      <c r="M263" s="123">
        <v>0</v>
      </c>
      <c r="N263" s="130">
        <v>0</v>
      </c>
      <c r="O263" s="130">
        <v>0</v>
      </c>
      <c r="P263" s="123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125">
        <v>0</v>
      </c>
      <c r="Y263" s="131" t="s">
        <v>574</v>
      </c>
      <c r="Z263" s="125"/>
      <c r="AA263" s="112">
        <v>0</v>
      </c>
      <c r="AB263" s="112">
        <v>0</v>
      </c>
      <c r="AC263" s="8"/>
      <c r="AD263" s="67"/>
      <c r="AE263" s="67">
        <v>9.1331444759206786</v>
      </c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  <c r="AS263" s="67"/>
      <c r="AT263" s="67"/>
      <c r="AU263" s="67"/>
      <c r="AV263" s="67"/>
      <c r="AW263" s="67"/>
      <c r="AX263" s="67"/>
      <c r="AY263" s="67"/>
      <c r="AZ263" s="67"/>
      <c r="BA263" s="67"/>
      <c r="BB263" s="67"/>
      <c r="BC263" s="67"/>
      <c r="BD263" s="67"/>
      <c r="BE263" s="67"/>
      <c r="BF263" s="67"/>
      <c r="BG263" s="67"/>
      <c r="BH263" s="67"/>
      <c r="BI263" s="188" t="s">
        <v>1</v>
      </c>
      <c r="BJ263" s="204"/>
    </row>
    <row r="264" spans="1:62" ht="12.75" customHeight="1" x14ac:dyDescent="0.35">
      <c r="A264" s="108"/>
      <c r="B264" s="126" t="s">
        <v>148</v>
      </c>
      <c r="C264" s="5" t="s">
        <v>5</v>
      </c>
      <c r="D264" s="127" t="s">
        <v>318</v>
      </c>
      <c r="E264" s="127" t="s">
        <v>307</v>
      </c>
      <c r="F264" s="132">
        <v>1072126</v>
      </c>
      <c r="G264" s="133" t="s">
        <v>761</v>
      </c>
      <c r="H264" s="139">
        <v>0</v>
      </c>
      <c r="I264" s="139">
        <v>0</v>
      </c>
      <c r="J264" s="125">
        <v>0</v>
      </c>
      <c r="K264" s="125">
        <v>0</v>
      </c>
      <c r="L264" s="130">
        <v>0</v>
      </c>
      <c r="M264" s="123">
        <v>0</v>
      </c>
      <c r="N264" s="130">
        <v>0</v>
      </c>
      <c r="O264" s="130">
        <v>0</v>
      </c>
      <c r="P264" s="123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125">
        <v>0</v>
      </c>
      <c r="Y264" s="125" t="s">
        <v>574</v>
      </c>
      <c r="Z264" s="125"/>
      <c r="AA264" s="112">
        <v>0</v>
      </c>
      <c r="AB264" s="112">
        <v>0</v>
      </c>
      <c r="AC264" s="8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/>
      <c r="BB264" s="66"/>
      <c r="BC264" s="66"/>
      <c r="BD264" s="66"/>
      <c r="BE264" s="66"/>
      <c r="BF264" s="66"/>
      <c r="BG264" s="66"/>
      <c r="BH264" s="66"/>
      <c r="BI264" s="189" t="s">
        <v>1</v>
      </c>
      <c r="BJ264" s="204"/>
    </row>
    <row r="265" spans="1:62" ht="12.75" customHeight="1" x14ac:dyDescent="0.35">
      <c r="A265" s="108"/>
      <c r="B265" s="126" t="s">
        <v>148</v>
      </c>
      <c r="C265" s="5" t="s">
        <v>5</v>
      </c>
      <c r="D265" s="127" t="s">
        <v>318</v>
      </c>
      <c r="E265" s="127" t="s">
        <v>406</v>
      </c>
      <c r="F265" s="128">
        <v>1067845</v>
      </c>
      <c r="G265" s="129" t="s">
        <v>538</v>
      </c>
      <c r="H265" s="139">
        <v>0</v>
      </c>
      <c r="I265" s="139">
        <v>0</v>
      </c>
      <c r="J265" s="125">
        <v>0</v>
      </c>
      <c r="K265" s="125">
        <v>0</v>
      </c>
      <c r="L265" s="130">
        <v>0</v>
      </c>
      <c r="M265" s="123">
        <v>0</v>
      </c>
      <c r="N265" s="130">
        <v>0</v>
      </c>
      <c r="O265" s="130">
        <v>0</v>
      </c>
      <c r="P265" s="123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125">
        <v>0</v>
      </c>
      <c r="Y265" s="125" t="s">
        <v>574</v>
      </c>
      <c r="Z265" s="125"/>
      <c r="AA265" s="112">
        <v>0</v>
      </c>
      <c r="AB265" s="112">
        <v>0</v>
      </c>
      <c r="AC265" s="8"/>
      <c r="AD265" s="66"/>
      <c r="AE265" s="66" t="s">
        <v>574</v>
      </c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66"/>
      <c r="AU265" s="66"/>
      <c r="AV265" s="66"/>
      <c r="AW265" s="66"/>
      <c r="AX265" s="66"/>
      <c r="AY265" s="66"/>
      <c r="AZ265" s="66"/>
      <c r="BA265" s="66"/>
      <c r="BB265" s="66"/>
      <c r="BC265" s="66"/>
      <c r="BD265" s="66"/>
      <c r="BE265" s="66"/>
      <c r="BF265" s="66"/>
      <c r="BG265" s="66"/>
      <c r="BH265" s="66"/>
      <c r="BI265" s="189" t="s">
        <v>1</v>
      </c>
      <c r="BJ265" s="204"/>
    </row>
    <row r="266" spans="1:62" ht="12.75" customHeight="1" x14ac:dyDescent="0.35">
      <c r="A266" s="108"/>
      <c r="B266" s="126" t="s">
        <v>148</v>
      </c>
      <c r="C266" s="5" t="s">
        <v>5</v>
      </c>
      <c r="D266" s="127" t="s">
        <v>318</v>
      </c>
      <c r="E266" s="127" t="s">
        <v>406</v>
      </c>
      <c r="F266" s="144">
        <v>1069822</v>
      </c>
      <c r="G266" s="145" t="s">
        <v>562</v>
      </c>
      <c r="H266" s="139">
        <v>0</v>
      </c>
      <c r="I266" s="139">
        <v>0</v>
      </c>
      <c r="J266" s="125">
        <v>0</v>
      </c>
      <c r="K266" s="125">
        <v>0</v>
      </c>
      <c r="L266" s="130">
        <v>0</v>
      </c>
      <c r="M266" s="123">
        <v>0</v>
      </c>
      <c r="N266" s="130">
        <v>0</v>
      </c>
      <c r="O266" s="130">
        <v>0</v>
      </c>
      <c r="P266" s="123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125">
        <v>0</v>
      </c>
      <c r="Y266" s="125" t="s">
        <v>574</v>
      </c>
      <c r="Z266" s="125"/>
      <c r="AA266" s="112">
        <v>0</v>
      </c>
      <c r="AB266" s="112">
        <v>0</v>
      </c>
      <c r="AC266" s="8"/>
      <c r="AD266" s="66"/>
      <c r="AE266" s="66" t="s">
        <v>574</v>
      </c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/>
      <c r="BB266" s="66"/>
      <c r="BC266" s="66"/>
      <c r="BD266" s="66"/>
      <c r="BE266" s="66"/>
      <c r="BF266" s="66"/>
      <c r="BG266" s="66"/>
      <c r="BH266" s="66"/>
      <c r="BI266" s="189" t="s">
        <v>1</v>
      </c>
      <c r="BJ266" s="204"/>
    </row>
    <row r="267" spans="1:62" x14ac:dyDescent="0.35">
      <c r="A267" s="108"/>
      <c r="B267" s="126" t="s">
        <v>148</v>
      </c>
      <c r="C267" s="5" t="s">
        <v>5</v>
      </c>
      <c r="D267" s="127" t="s">
        <v>318</v>
      </c>
      <c r="E267" s="127" t="s">
        <v>319</v>
      </c>
      <c r="F267" s="132">
        <v>1067823</v>
      </c>
      <c r="G267" s="133" t="s">
        <v>547</v>
      </c>
      <c r="H267" s="139">
        <v>0</v>
      </c>
      <c r="I267" s="139">
        <v>0</v>
      </c>
      <c r="J267" s="125">
        <v>0</v>
      </c>
      <c r="K267" s="125">
        <v>0</v>
      </c>
      <c r="L267" s="130">
        <v>0</v>
      </c>
      <c r="M267" s="123">
        <v>0</v>
      </c>
      <c r="N267" s="130">
        <v>0</v>
      </c>
      <c r="O267" s="130">
        <v>0</v>
      </c>
      <c r="P267" s="123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125">
        <v>0</v>
      </c>
      <c r="Y267" s="125" t="s">
        <v>574</v>
      </c>
      <c r="Z267" s="125"/>
      <c r="AA267" s="112">
        <v>0</v>
      </c>
      <c r="AB267" s="112">
        <v>0</v>
      </c>
      <c r="AC267" s="8"/>
      <c r="AD267" s="66"/>
      <c r="AE267" s="66">
        <v>28.278758096939285</v>
      </c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66"/>
      <c r="AU267" s="66"/>
      <c r="AV267" s="66"/>
      <c r="AW267" s="66"/>
      <c r="AX267" s="66"/>
      <c r="AY267" s="66"/>
      <c r="AZ267" s="66"/>
      <c r="BA267" s="66"/>
      <c r="BB267" s="66"/>
      <c r="BC267" s="66"/>
      <c r="BD267" s="66"/>
      <c r="BE267" s="66"/>
      <c r="BF267" s="66"/>
      <c r="BG267" s="66"/>
      <c r="BH267" s="66"/>
      <c r="BI267" s="188" t="s">
        <v>1</v>
      </c>
      <c r="BJ267" s="204"/>
    </row>
    <row r="268" spans="1:62" ht="12.75" customHeight="1" x14ac:dyDescent="0.35">
      <c r="A268" s="108"/>
      <c r="B268" s="126" t="s">
        <v>148</v>
      </c>
      <c r="C268" s="5" t="s">
        <v>5</v>
      </c>
      <c r="D268" s="127" t="s">
        <v>318</v>
      </c>
      <c r="E268" s="127" t="s">
        <v>319</v>
      </c>
      <c r="F268" s="167">
        <v>1067824</v>
      </c>
      <c r="G268" s="168" t="s">
        <v>539</v>
      </c>
      <c r="H268" s="139">
        <v>0</v>
      </c>
      <c r="I268" s="139">
        <v>0</v>
      </c>
      <c r="J268" s="125">
        <v>0</v>
      </c>
      <c r="K268" s="125">
        <v>0</v>
      </c>
      <c r="L268" s="130">
        <v>0</v>
      </c>
      <c r="M268" s="123">
        <v>0</v>
      </c>
      <c r="N268" s="130">
        <v>0</v>
      </c>
      <c r="O268" s="130">
        <v>0</v>
      </c>
      <c r="P268" s="123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125">
        <v>0</v>
      </c>
      <c r="Y268" s="131" t="s">
        <v>574</v>
      </c>
      <c r="Z268" s="125"/>
      <c r="AA268" s="112">
        <v>0</v>
      </c>
      <c r="AB268" s="112">
        <v>0</v>
      </c>
      <c r="AC268" s="8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  <c r="AS268" s="67"/>
      <c r="AT268" s="67"/>
      <c r="AU268" s="67"/>
      <c r="AV268" s="67"/>
      <c r="AW268" s="67"/>
      <c r="AX268" s="67"/>
      <c r="AY268" s="67"/>
      <c r="AZ268" s="67"/>
      <c r="BA268" s="67"/>
      <c r="BB268" s="67"/>
      <c r="BC268" s="67"/>
      <c r="BD268" s="67"/>
      <c r="BE268" s="67"/>
      <c r="BF268" s="67"/>
      <c r="BG268" s="67"/>
      <c r="BH268" s="67"/>
      <c r="BI268" s="189"/>
      <c r="BJ268" s="204"/>
    </row>
    <row r="269" spans="1:62" x14ac:dyDescent="0.35">
      <c r="A269" s="108"/>
      <c r="B269" s="126" t="s">
        <v>148</v>
      </c>
      <c r="C269" s="5" t="s">
        <v>5</v>
      </c>
      <c r="D269" s="127" t="s">
        <v>318</v>
      </c>
      <c r="E269" s="127" t="s">
        <v>319</v>
      </c>
      <c r="F269" s="144">
        <v>1010484</v>
      </c>
      <c r="G269" s="145" t="s">
        <v>150</v>
      </c>
      <c r="H269" s="139">
        <v>0</v>
      </c>
      <c r="I269" s="139">
        <v>0</v>
      </c>
      <c r="J269" s="125">
        <v>0</v>
      </c>
      <c r="K269" s="125">
        <v>0</v>
      </c>
      <c r="L269" s="130">
        <v>0</v>
      </c>
      <c r="M269" s="123">
        <v>0</v>
      </c>
      <c r="N269" s="130">
        <v>0</v>
      </c>
      <c r="O269" s="130">
        <v>0</v>
      </c>
      <c r="P269" s="123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125">
        <v>0</v>
      </c>
      <c r="Y269" s="131" t="s">
        <v>574</v>
      </c>
      <c r="Z269" s="125"/>
      <c r="AA269" s="112">
        <v>0</v>
      </c>
      <c r="AB269" s="112">
        <v>0</v>
      </c>
      <c r="AC269" s="8"/>
      <c r="AD269" s="67"/>
      <c r="AE269" s="67" t="s">
        <v>574</v>
      </c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  <c r="AS269" s="67"/>
      <c r="AT269" s="67"/>
      <c r="AU269" s="67"/>
      <c r="AV269" s="67"/>
      <c r="AW269" s="67"/>
      <c r="AX269" s="67"/>
      <c r="AY269" s="67"/>
      <c r="AZ269" s="67"/>
      <c r="BA269" s="67"/>
      <c r="BB269" s="67"/>
      <c r="BC269" s="67"/>
      <c r="BD269" s="67"/>
      <c r="BE269" s="67"/>
      <c r="BF269" s="67"/>
      <c r="BG269" s="67"/>
      <c r="BH269" s="67"/>
      <c r="BI269" s="189" t="s">
        <v>1</v>
      </c>
      <c r="BJ269" s="204"/>
    </row>
    <row r="270" spans="1:62" x14ac:dyDescent="0.35">
      <c r="A270" s="108"/>
      <c r="B270" s="126" t="s">
        <v>148</v>
      </c>
      <c r="C270" s="5" t="s">
        <v>5</v>
      </c>
      <c r="D270" s="127" t="s">
        <v>318</v>
      </c>
      <c r="E270" s="127" t="s">
        <v>319</v>
      </c>
      <c r="F270" s="144">
        <v>1009982</v>
      </c>
      <c r="G270" s="145" t="s">
        <v>158</v>
      </c>
      <c r="H270" s="139">
        <v>0</v>
      </c>
      <c r="I270" s="139">
        <v>0</v>
      </c>
      <c r="J270" s="125">
        <v>0</v>
      </c>
      <c r="K270" s="125">
        <v>0</v>
      </c>
      <c r="L270" s="130">
        <v>0</v>
      </c>
      <c r="M270" s="123">
        <v>0</v>
      </c>
      <c r="N270" s="130">
        <v>0</v>
      </c>
      <c r="O270" s="130">
        <v>0</v>
      </c>
      <c r="P270" s="123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125">
        <v>0</v>
      </c>
      <c r="Y270" s="131" t="s">
        <v>574</v>
      </c>
      <c r="Z270" s="125"/>
      <c r="AA270" s="112">
        <v>0</v>
      </c>
      <c r="AB270" s="112">
        <v>0</v>
      </c>
      <c r="AC270" s="8"/>
      <c r="AD270" s="67"/>
      <c r="AE270" s="67" t="s">
        <v>574</v>
      </c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  <c r="AT270" s="67"/>
      <c r="AU270" s="67"/>
      <c r="AV270" s="67"/>
      <c r="AW270" s="67"/>
      <c r="AX270" s="67"/>
      <c r="AY270" s="67"/>
      <c r="AZ270" s="67"/>
      <c r="BA270" s="67"/>
      <c r="BB270" s="67"/>
      <c r="BC270" s="67"/>
      <c r="BD270" s="67"/>
      <c r="BE270" s="67"/>
      <c r="BF270" s="67"/>
      <c r="BG270" s="67"/>
      <c r="BH270" s="67"/>
      <c r="BI270" s="189" t="s">
        <v>1</v>
      </c>
      <c r="BJ270" s="204"/>
    </row>
    <row r="271" spans="1:62" x14ac:dyDescent="0.35">
      <c r="A271" s="108"/>
      <c r="B271" s="126">
        <v>0</v>
      </c>
      <c r="C271" s="5" t="s">
        <v>5</v>
      </c>
      <c r="D271" s="127" t="s">
        <v>318</v>
      </c>
      <c r="E271" s="127" t="s">
        <v>319</v>
      </c>
      <c r="F271" s="132">
        <v>1079665</v>
      </c>
      <c r="G271" s="133" t="s">
        <v>735</v>
      </c>
      <c r="H271" s="139">
        <v>0</v>
      </c>
      <c r="I271" s="139">
        <v>0</v>
      </c>
      <c r="J271" s="125">
        <v>0</v>
      </c>
      <c r="K271" s="125">
        <v>0</v>
      </c>
      <c r="L271" s="130">
        <v>0</v>
      </c>
      <c r="M271" s="123">
        <v>0</v>
      </c>
      <c r="N271" s="130">
        <v>0</v>
      </c>
      <c r="O271" s="130">
        <v>0</v>
      </c>
      <c r="P271" s="123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125">
        <v>0</v>
      </c>
      <c r="Y271" s="131" t="s">
        <v>574</v>
      </c>
      <c r="Z271" s="125"/>
      <c r="AA271" s="112">
        <v>0</v>
      </c>
      <c r="AB271" s="112">
        <v>0</v>
      </c>
      <c r="AC271" s="8"/>
      <c r="AD271" s="67"/>
      <c r="AE271" s="67">
        <v>0</v>
      </c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  <c r="AT271" s="67"/>
      <c r="AU271" s="67"/>
      <c r="AV271" s="67"/>
      <c r="AW271" s="67"/>
      <c r="AX271" s="67"/>
      <c r="AY271" s="67"/>
      <c r="AZ271" s="67"/>
      <c r="BA271" s="67"/>
      <c r="BB271" s="67"/>
      <c r="BC271" s="67"/>
      <c r="BD271" s="67"/>
      <c r="BE271" s="67"/>
      <c r="BF271" s="67"/>
      <c r="BG271" s="67"/>
      <c r="BH271" s="67"/>
      <c r="BI271" s="188" t="s">
        <v>1</v>
      </c>
      <c r="BJ271" s="204"/>
    </row>
    <row r="272" spans="1:62" x14ac:dyDescent="0.35">
      <c r="A272" s="108"/>
      <c r="B272" s="126" t="s">
        <v>148</v>
      </c>
      <c r="C272" s="5" t="s">
        <v>5</v>
      </c>
      <c r="D272" s="127" t="s">
        <v>318</v>
      </c>
      <c r="E272" s="127" t="s">
        <v>319</v>
      </c>
      <c r="F272" s="132">
        <v>1049544</v>
      </c>
      <c r="G272" s="133" t="s">
        <v>543</v>
      </c>
      <c r="H272" s="139">
        <v>0</v>
      </c>
      <c r="I272" s="139">
        <v>0</v>
      </c>
      <c r="J272" s="125">
        <v>0</v>
      </c>
      <c r="K272" s="125">
        <v>0</v>
      </c>
      <c r="L272" s="130">
        <v>0</v>
      </c>
      <c r="M272" s="123">
        <v>0</v>
      </c>
      <c r="N272" s="130">
        <v>0</v>
      </c>
      <c r="O272" s="130">
        <v>0</v>
      </c>
      <c r="P272" s="123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125">
        <v>0</v>
      </c>
      <c r="Y272" s="125" t="s">
        <v>574</v>
      </c>
      <c r="Z272" s="125"/>
      <c r="AA272" s="112">
        <v>0</v>
      </c>
      <c r="AB272" s="112">
        <v>0</v>
      </c>
      <c r="AC272" s="8"/>
      <c r="AD272" s="67"/>
      <c r="AE272" s="66">
        <v>30.133922134102377</v>
      </c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66"/>
      <c r="AU272" s="66"/>
      <c r="AV272" s="66"/>
      <c r="AW272" s="66"/>
      <c r="AX272" s="66"/>
      <c r="AY272" s="66"/>
      <c r="AZ272" s="66"/>
      <c r="BA272" s="66"/>
      <c r="BB272" s="66"/>
      <c r="BC272" s="66"/>
      <c r="BD272" s="66"/>
      <c r="BE272" s="66"/>
      <c r="BF272" s="66"/>
      <c r="BG272" s="66"/>
      <c r="BH272" s="66"/>
      <c r="BI272" s="188" t="s">
        <v>1</v>
      </c>
      <c r="BJ272" s="204"/>
    </row>
    <row r="273" spans="1:62" x14ac:dyDescent="0.35">
      <c r="A273" s="108"/>
      <c r="B273" s="126" t="s">
        <v>148</v>
      </c>
      <c r="C273" s="5" t="s">
        <v>5</v>
      </c>
      <c r="D273" s="127" t="s">
        <v>318</v>
      </c>
      <c r="E273" s="127" t="s">
        <v>319</v>
      </c>
      <c r="F273" s="132">
        <v>1068935</v>
      </c>
      <c r="G273" s="133" t="s">
        <v>560</v>
      </c>
      <c r="H273" s="139">
        <v>0</v>
      </c>
      <c r="I273" s="139">
        <v>0</v>
      </c>
      <c r="J273" s="125">
        <v>0</v>
      </c>
      <c r="K273" s="125">
        <v>0</v>
      </c>
      <c r="L273" s="130">
        <v>0</v>
      </c>
      <c r="M273" s="123">
        <v>0</v>
      </c>
      <c r="N273" s="130">
        <v>0</v>
      </c>
      <c r="O273" s="130">
        <v>0</v>
      </c>
      <c r="P273" s="123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125">
        <v>0</v>
      </c>
      <c r="Y273" s="125" t="s">
        <v>574</v>
      </c>
      <c r="Z273" s="125"/>
      <c r="AA273" s="112">
        <v>0</v>
      </c>
      <c r="AB273" s="112">
        <v>0</v>
      </c>
      <c r="AC273" s="8"/>
      <c r="AD273" s="109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66"/>
      <c r="AU273" s="66"/>
      <c r="AV273" s="66"/>
      <c r="AW273" s="66"/>
      <c r="AX273" s="66"/>
      <c r="AY273" s="66"/>
      <c r="AZ273" s="66"/>
      <c r="BA273" s="66"/>
      <c r="BB273" s="66"/>
      <c r="BC273" s="66"/>
      <c r="BD273" s="66"/>
      <c r="BE273" s="66"/>
      <c r="BF273" s="66"/>
      <c r="BG273" s="66"/>
      <c r="BH273" s="66"/>
      <c r="BI273" s="188" t="s">
        <v>1</v>
      </c>
      <c r="BJ273" s="204"/>
    </row>
    <row r="274" spans="1:62" x14ac:dyDescent="0.35">
      <c r="A274" s="108"/>
      <c r="B274" s="126" t="s">
        <v>148</v>
      </c>
      <c r="C274" s="5" t="s">
        <v>5</v>
      </c>
      <c r="D274" s="127" t="s">
        <v>318</v>
      </c>
      <c r="E274" s="127" t="s">
        <v>319</v>
      </c>
      <c r="F274" s="132">
        <v>1065708</v>
      </c>
      <c r="G274" s="133" t="s">
        <v>544</v>
      </c>
      <c r="H274" s="139">
        <v>0</v>
      </c>
      <c r="I274" s="139">
        <v>0</v>
      </c>
      <c r="J274" s="125">
        <v>0</v>
      </c>
      <c r="K274" s="125">
        <v>0</v>
      </c>
      <c r="L274" s="130">
        <v>0</v>
      </c>
      <c r="M274" s="123">
        <v>0</v>
      </c>
      <c r="N274" s="130">
        <v>0</v>
      </c>
      <c r="O274" s="130">
        <v>0</v>
      </c>
      <c r="P274" s="123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125">
        <v>0</v>
      </c>
      <c r="Y274" s="125" t="s">
        <v>574</v>
      </c>
      <c r="Z274" s="125"/>
      <c r="AA274" s="112">
        <v>0</v>
      </c>
      <c r="AB274" s="112">
        <v>0</v>
      </c>
      <c r="AC274" s="8"/>
      <c r="AD274" s="109"/>
      <c r="AE274" s="66">
        <v>49.426215993404782</v>
      </c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/>
      <c r="AU274" s="66"/>
      <c r="AV274" s="66"/>
      <c r="AW274" s="66"/>
      <c r="AX274" s="66"/>
      <c r="AY274" s="66"/>
      <c r="AZ274" s="66"/>
      <c r="BA274" s="66"/>
      <c r="BB274" s="66"/>
      <c r="BC274" s="66"/>
      <c r="BD274" s="66"/>
      <c r="BE274" s="66"/>
      <c r="BF274" s="66"/>
      <c r="BG274" s="66"/>
      <c r="BH274" s="66"/>
      <c r="BI274" s="188" t="s">
        <v>1</v>
      </c>
      <c r="BJ274" s="204"/>
    </row>
    <row r="275" spans="1:62" x14ac:dyDescent="0.35">
      <c r="A275" s="108"/>
      <c r="B275" s="126" t="s">
        <v>148</v>
      </c>
      <c r="C275" s="5" t="s">
        <v>5</v>
      </c>
      <c r="D275" s="127" t="s">
        <v>318</v>
      </c>
      <c r="E275" s="127" t="s">
        <v>319</v>
      </c>
      <c r="F275" s="167">
        <v>1076012</v>
      </c>
      <c r="G275" s="168" t="s">
        <v>667</v>
      </c>
      <c r="H275" s="139">
        <v>0</v>
      </c>
      <c r="I275" s="139">
        <v>0</v>
      </c>
      <c r="J275" s="125">
        <v>0</v>
      </c>
      <c r="K275" s="125">
        <v>0</v>
      </c>
      <c r="L275" s="130">
        <v>0</v>
      </c>
      <c r="M275" s="123">
        <v>0</v>
      </c>
      <c r="N275" s="130">
        <v>0</v>
      </c>
      <c r="O275" s="130">
        <v>0</v>
      </c>
      <c r="P275" s="123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125">
        <v>0</v>
      </c>
      <c r="Y275" s="125" t="s">
        <v>574</v>
      </c>
      <c r="Z275" s="125"/>
      <c r="AA275" s="112">
        <v>0</v>
      </c>
      <c r="AB275" s="112">
        <v>0</v>
      </c>
      <c r="AC275" s="8"/>
      <c r="AD275" s="109"/>
      <c r="AE275" s="66" t="s">
        <v>574</v>
      </c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/>
      <c r="AU275" s="66"/>
      <c r="AV275" s="66"/>
      <c r="AW275" s="66"/>
      <c r="AX275" s="66"/>
      <c r="AY275" s="66"/>
      <c r="AZ275" s="66"/>
      <c r="BA275" s="66"/>
      <c r="BB275" s="66"/>
      <c r="BC275" s="66"/>
      <c r="BD275" s="66"/>
      <c r="BE275" s="66"/>
      <c r="BF275" s="66"/>
      <c r="BG275" s="66"/>
      <c r="BH275" s="66"/>
      <c r="BI275" s="189" t="s">
        <v>1</v>
      </c>
      <c r="BJ275" s="204"/>
    </row>
    <row r="276" spans="1:62" x14ac:dyDescent="0.35">
      <c r="A276" s="108"/>
      <c r="B276" s="126" t="s">
        <v>148</v>
      </c>
      <c r="C276" s="5" t="s">
        <v>5</v>
      </c>
      <c r="D276" s="127" t="s">
        <v>318</v>
      </c>
      <c r="E276" s="127" t="s">
        <v>319</v>
      </c>
      <c r="F276" s="144">
        <v>1056503</v>
      </c>
      <c r="G276" s="145" t="s">
        <v>209</v>
      </c>
      <c r="H276" s="139">
        <v>0</v>
      </c>
      <c r="I276" s="139">
        <v>0</v>
      </c>
      <c r="J276" s="125">
        <v>0</v>
      </c>
      <c r="K276" s="125">
        <v>0</v>
      </c>
      <c r="L276" s="130">
        <v>0</v>
      </c>
      <c r="M276" s="123">
        <v>0</v>
      </c>
      <c r="N276" s="130">
        <v>0</v>
      </c>
      <c r="O276" s="130">
        <v>0</v>
      </c>
      <c r="P276" s="123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125">
        <v>0</v>
      </c>
      <c r="Y276" s="125" t="s">
        <v>574</v>
      </c>
      <c r="Z276" s="125"/>
      <c r="AA276" s="112">
        <v>0</v>
      </c>
      <c r="AB276" s="112">
        <v>0</v>
      </c>
      <c r="AC276" s="8"/>
      <c r="AD276" s="109"/>
      <c r="AE276" s="66" t="s">
        <v>574</v>
      </c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6"/>
      <c r="AW276" s="66"/>
      <c r="AX276" s="66"/>
      <c r="AY276" s="66"/>
      <c r="AZ276" s="66"/>
      <c r="BA276" s="66"/>
      <c r="BB276" s="66"/>
      <c r="BC276" s="66"/>
      <c r="BD276" s="66"/>
      <c r="BE276" s="66"/>
      <c r="BF276" s="66"/>
      <c r="BG276" s="66"/>
      <c r="BH276" s="66"/>
      <c r="BI276" s="189" t="s">
        <v>1</v>
      </c>
      <c r="BJ276" s="204"/>
    </row>
    <row r="277" spans="1:62" x14ac:dyDescent="0.35">
      <c r="A277" s="108"/>
      <c r="B277" s="126" t="s">
        <v>148</v>
      </c>
      <c r="C277" s="5" t="s">
        <v>5</v>
      </c>
      <c r="D277" s="127" t="s">
        <v>318</v>
      </c>
      <c r="E277" s="127" t="s">
        <v>319</v>
      </c>
      <c r="F277" s="176">
        <v>1072625</v>
      </c>
      <c r="G277" s="177" t="s">
        <v>623</v>
      </c>
      <c r="H277" s="139">
        <v>0</v>
      </c>
      <c r="I277" s="139">
        <v>0</v>
      </c>
      <c r="J277" s="125">
        <v>0</v>
      </c>
      <c r="K277" s="125">
        <v>0</v>
      </c>
      <c r="L277" s="130">
        <v>0</v>
      </c>
      <c r="M277" s="123">
        <v>0</v>
      </c>
      <c r="N277" s="130">
        <v>0</v>
      </c>
      <c r="O277" s="130">
        <v>0</v>
      </c>
      <c r="P277" s="123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125">
        <v>0</v>
      </c>
      <c r="Y277" s="125" t="s">
        <v>574</v>
      </c>
      <c r="Z277" s="125"/>
      <c r="AA277" s="112">
        <v>0</v>
      </c>
      <c r="AB277" s="112">
        <v>0</v>
      </c>
      <c r="AC277" s="8"/>
      <c r="AD277" s="67"/>
      <c r="AE277" s="66" t="s">
        <v>574</v>
      </c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  <c r="AZ277" s="66"/>
      <c r="BA277" s="66"/>
      <c r="BB277" s="66"/>
      <c r="BC277" s="66"/>
      <c r="BD277" s="66"/>
      <c r="BE277" s="66"/>
      <c r="BF277" s="66"/>
      <c r="BG277" s="66"/>
      <c r="BH277" s="66"/>
      <c r="BI277" s="189" t="s">
        <v>1</v>
      </c>
      <c r="BJ277" s="204"/>
    </row>
    <row r="278" spans="1:62" x14ac:dyDescent="0.35">
      <c r="A278" s="108"/>
      <c r="B278" s="126" t="s">
        <v>148</v>
      </c>
      <c r="C278" s="5" t="s">
        <v>5</v>
      </c>
      <c r="D278" s="127" t="s">
        <v>318</v>
      </c>
      <c r="E278" s="127" t="s">
        <v>319</v>
      </c>
      <c r="F278" s="144">
        <v>1054923</v>
      </c>
      <c r="G278" s="178" t="s">
        <v>204</v>
      </c>
      <c r="H278" s="139">
        <v>0</v>
      </c>
      <c r="I278" s="139">
        <v>0</v>
      </c>
      <c r="J278" s="125">
        <v>0</v>
      </c>
      <c r="K278" s="125">
        <v>0</v>
      </c>
      <c r="L278" s="130">
        <v>0</v>
      </c>
      <c r="M278" s="123">
        <v>0</v>
      </c>
      <c r="N278" s="130">
        <v>0</v>
      </c>
      <c r="O278" s="130">
        <v>0</v>
      </c>
      <c r="P278" s="123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125">
        <v>0</v>
      </c>
      <c r="Y278" s="125" t="s">
        <v>574</v>
      </c>
      <c r="Z278" s="125"/>
      <c r="AA278" s="112">
        <v>0</v>
      </c>
      <c r="AB278" s="112">
        <v>0</v>
      </c>
      <c r="AC278" s="8"/>
      <c r="AD278" s="67"/>
      <c r="AE278" s="66">
        <v>85.511688311688303</v>
      </c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  <c r="AZ278" s="66"/>
      <c r="BA278" s="66"/>
      <c r="BB278" s="66"/>
      <c r="BC278" s="66"/>
      <c r="BD278" s="66"/>
      <c r="BE278" s="66"/>
      <c r="BF278" s="66"/>
      <c r="BG278" s="66"/>
      <c r="BH278" s="66"/>
      <c r="BI278" s="189" t="s">
        <v>1</v>
      </c>
      <c r="BJ278" s="204"/>
    </row>
    <row r="279" spans="1:62" x14ac:dyDescent="0.35">
      <c r="A279" s="108"/>
      <c r="B279" s="126" t="s">
        <v>148</v>
      </c>
      <c r="C279" s="5" t="s">
        <v>5</v>
      </c>
      <c r="D279" s="127" t="s">
        <v>318</v>
      </c>
      <c r="E279" s="127" t="s">
        <v>319</v>
      </c>
      <c r="F279" s="128">
        <v>1067922</v>
      </c>
      <c r="G279" s="129" t="s">
        <v>533</v>
      </c>
      <c r="H279" s="139">
        <v>0</v>
      </c>
      <c r="I279" s="139">
        <v>0</v>
      </c>
      <c r="J279" s="125">
        <v>0</v>
      </c>
      <c r="K279" s="125">
        <v>0</v>
      </c>
      <c r="L279" s="130">
        <v>0</v>
      </c>
      <c r="M279" s="123">
        <v>0</v>
      </c>
      <c r="N279" s="130">
        <v>0</v>
      </c>
      <c r="O279" s="130">
        <v>0</v>
      </c>
      <c r="P279" s="123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125">
        <v>0</v>
      </c>
      <c r="Y279" s="125" t="s">
        <v>574</v>
      </c>
      <c r="Z279" s="125"/>
      <c r="AA279" s="112">
        <v>0</v>
      </c>
      <c r="AB279" s="112">
        <v>0</v>
      </c>
      <c r="AC279" s="8"/>
      <c r="AD279" s="109"/>
      <c r="AE279" s="66" t="s">
        <v>574</v>
      </c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6"/>
      <c r="AW279" s="66"/>
      <c r="AX279" s="66"/>
      <c r="AY279" s="66"/>
      <c r="AZ279" s="66"/>
      <c r="BA279" s="66"/>
      <c r="BB279" s="66"/>
      <c r="BC279" s="66"/>
      <c r="BD279" s="66"/>
      <c r="BE279" s="66"/>
      <c r="BF279" s="66"/>
      <c r="BG279" s="66"/>
      <c r="BH279" s="66"/>
      <c r="BI279" s="189" t="s">
        <v>1</v>
      </c>
      <c r="BJ279" s="204"/>
    </row>
    <row r="280" spans="1:62" x14ac:dyDescent="0.35">
      <c r="A280" s="108"/>
      <c r="B280" s="126" t="s">
        <v>148</v>
      </c>
      <c r="C280" s="5" t="s">
        <v>5</v>
      </c>
      <c r="D280" s="127" t="s">
        <v>318</v>
      </c>
      <c r="E280" s="127" t="s">
        <v>307</v>
      </c>
      <c r="F280" s="128">
        <v>1054922</v>
      </c>
      <c r="G280" s="129" t="s">
        <v>203</v>
      </c>
      <c r="H280" s="139">
        <v>0</v>
      </c>
      <c r="I280" s="139">
        <v>0</v>
      </c>
      <c r="J280" s="125">
        <v>0</v>
      </c>
      <c r="K280" s="125">
        <v>0</v>
      </c>
      <c r="L280" s="130">
        <v>0</v>
      </c>
      <c r="M280" s="123">
        <v>0</v>
      </c>
      <c r="N280" s="130">
        <v>0</v>
      </c>
      <c r="O280" s="130">
        <v>0</v>
      </c>
      <c r="P280" s="123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125">
        <v>0</v>
      </c>
      <c r="Y280" s="125" t="s">
        <v>574</v>
      </c>
      <c r="Z280" s="125"/>
      <c r="AA280" s="112">
        <v>0</v>
      </c>
      <c r="AB280" s="112">
        <v>0</v>
      </c>
      <c r="AC280" s="8"/>
      <c r="AD280" s="109"/>
      <c r="AE280" s="66" t="s">
        <v>574</v>
      </c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66"/>
      <c r="AU280" s="66"/>
      <c r="AV280" s="66"/>
      <c r="AW280" s="66"/>
      <c r="AX280" s="66"/>
      <c r="AY280" s="66"/>
      <c r="AZ280" s="66"/>
      <c r="BA280" s="66"/>
      <c r="BB280" s="66"/>
      <c r="BC280" s="66"/>
      <c r="BD280" s="66"/>
      <c r="BE280" s="66"/>
      <c r="BF280" s="66"/>
      <c r="BG280" s="66"/>
      <c r="BH280" s="66"/>
      <c r="BI280" s="189" t="s">
        <v>1</v>
      </c>
      <c r="BJ280" s="204"/>
    </row>
    <row r="281" spans="1:62" x14ac:dyDescent="0.35">
      <c r="A281" s="108"/>
      <c r="B281" s="126" t="s">
        <v>148</v>
      </c>
      <c r="C281" s="5" t="s">
        <v>5</v>
      </c>
      <c r="D281" s="127" t="s">
        <v>318</v>
      </c>
      <c r="E281" s="127" t="s">
        <v>319</v>
      </c>
      <c r="F281" s="163">
        <v>1067806</v>
      </c>
      <c r="G281" s="134" t="s">
        <v>638</v>
      </c>
      <c r="H281" s="139">
        <v>0</v>
      </c>
      <c r="I281" s="139">
        <v>0</v>
      </c>
      <c r="J281" s="125">
        <v>0</v>
      </c>
      <c r="K281" s="125">
        <v>0</v>
      </c>
      <c r="L281" s="130">
        <v>0</v>
      </c>
      <c r="M281" s="123">
        <v>0</v>
      </c>
      <c r="N281" s="130">
        <v>0</v>
      </c>
      <c r="O281" s="130">
        <v>0</v>
      </c>
      <c r="P281" s="123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125">
        <v>0</v>
      </c>
      <c r="Y281" s="125" t="s">
        <v>574</v>
      </c>
      <c r="Z281" s="125"/>
      <c r="AA281" s="112">
        <v>0</v>
      </c>
      <c r="AB281" s="112">
        <v>0</v>
      </c>
      <c r="AC281" s="8"/>
      <c r="AD281" s="109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66"/>
      <c r="AU281" s="66"/>
      <c r="AV281" s="66"/>
      <c r="AW281" s="66"/>
      <c r="AX281" s="66"/>
      <c r="AY281" s="66"/>
      <c r="AZ281" s="66"/>
      <c r="BA281" s="66"/>
      <c r="BB281" s="66"/>
      <c r="BC281" s="66"/>
      <c r="BD281" s="66"/>
      <c r="BE281" s="66"/>
      <c r="BF281" s="66"/>
      <c r="BG281" s="66"/>
      <c r="BH281" s="66"/>
      <c r="BI281" s="189" t="s">
        <v>1</v>
      </c>
      <c r="BJ281" s="204"/>
    </row>
    <row r="282" spans="1:62" x14ac:dyDescent="0.35">
      <c r="A282" s="108"/>
      <c r="B282" s="126" t="s">
        <v>148</v>
      </c>
      <c r="C282" s="5" t="s">
        <v>5</v>
      </c>
      <c r="D282" s="127" t="s">
        <v>318</v>
      </c>
      <c r="E282" s="127" t="s">
        <v>319</v>
      </c>
      <c r="F282" s="128">
        <v>1054924</v>
      </c>
      <c r="G282" s="129" t="s">
        <v>201</v>
      </c>
      <c r="H282" s="139">
        <v>0</v>
      </c>
      <c r="I282" s="139">
        <v>0</v>
      </c>
      <c r="J282" s="125">
        <v>0</v>
      </c>
      <c r="K282" s="125">
        <v>0</v>
      </c>
      <c r="L282" s="130">
        <v>0</v>
      </c>
      <c r="M282" s="123">
        <v>0</v>
      </c>
      <c r="N282" s="130">
        <v>0</v>
      </c>
      <c r="O282" s="130">
        <v>0</v>
      </c>
      <c r="P282" s="123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125">
        <v>0</v>
      </c>
      <c r="Y282" s="125" t="s">
        <v>574</v>
      </c>
      <c r="Z282" s="125"/>
      <c r="AA282" s="112">
        <v>0</v>
      </c>
      <c r="AB282" s="112">
        <v>0</v>
      </c>
      <c r="AC282" s="8"/>
      <c r="AD282" s="109"/>
      <c r="AE282" s="66" t="s">
        <v>574</v>
      </c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/>
      <c r="AU282" s="66"/>
      <c r="AV282" s="66"/>
      <c r="AW282" s="66"/>
      <c r="AX282" s="66"/>
      <c r="AY282" s="66"/>
      <c r="AZ282" s="66"/>
      <c r="BA282" s="66"/>
      <c r="BB282" s="66"/>
      <c r="BC282" s="66"/>
      <c r="BD282" s="66"/>
      <c r="BE282" s="66"/>
      <c r="BF282" s="66"/>
      <c r="BG282" s="66"/>
      <c r="BH282" s="66"/>
      <c r="BI282" s="189" t="s">
        <v>1</v>
      </c>
      <c r="BJ282" s="204"/>
    </row>
    <row r="283" spans="1:62" x14ac:dyDescent="0.35">
      <c r="A283" s="108"/>
      <c r="B283" s="126" t="s">
        <v>148</v>
      </c>
      <c r="C283" s="5" t="s">
        <v>5</v>
      </c>
      <c r="D283" s="127" t="s">
        <v>318</v>
      </c>
      <c r="E283" s="127" t="s">
        <v>319</v>
      </c>
      <c r="F283" s="132">
        <v>1054530</v>
      </c>
      <c r="G283" s="133" t="s">
        <v>361</v>
      </c>
      <c r="H283" s="139">
        <v>0</v>
      </c>
      <c r="I283" s="139">
        <v>0</v>
      </c>
      <c r="J283" s="125">
        <v>0</v>
      </c>
      <c r="K283" s="125">
        <v>0</v>
      </c>
      <c r="L283" s="130">
        <v>0</v>
      </c>
      <c r="M283" s="123">
        <v>0</v>
      </c>
      <c r="N283" s="130">
        <v>0</v>
      </c>
      <c r="O283" s="130">
        <v>0</v>
      </c>
      <c r="P283" s="123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125">
        <v>0</v>
      </c>
      <c r="Y283" s="125" t="s">
        <v>574</v>
      </c>
      <c r="Z283" s="125"/>
      <c r="AA283" s="112">
        <v>0</v>
      </c>
      <c r="AB283" s="112">
        <v>0</v>
      </c>
      <c r="AC283" s="8"/>
      <c r="AD283" s="109"/>
      <c r="AE283" s="66">
        <v>1.8641189413197188</v>
      </c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66"/>
      <c r="AU283" s="66"/>
      <c r="AV283" s="66"/>
      <c r="AW283" s="66"/>
      <c r="AX283" s="66"/>
      <c r="AY283" s="66"/>
      <c r="AZ283" s="66"/>
      <c r="BA283" s="66"/>
      <c r="BB283" s="66"/>
      <c r="BC283" s="66"/>
      <c r="BD283" s="66"/>
      <c r="BE283" s="66"/>
      <c r="BF283" s="66"/>
      <c r="BG283" s="66"/>
      <c r="BH283" s="66"/>
      <c r="BI283" s="188" t="s">
        <v>1</v>
      </c>
      <c r="BJ283" s="204"/>
    </row>
    <row r="284" spans="1:62" x14ac:dyDescent="0.35">
      <c r="A284" s="108"/>
      <c r="B284" s="126" t="s">
        <v>148</v>
      </c>
      <c r="C284" s="5" t="s">
        <v>5</v>
      </c>
      <c r="D284" s="127" t="s">
        <v>318</v>
      </c>
      <c r="E284" s="127" t="s">
        <v>319</v>
      </c>
      <c r="F284" s="128">
        <v>1056307</v>
      </c>
      <c r="G284" s="129" t="s">
        <v>214</v>
      </c>
      <c r="H284" s="139">
        <v>0</v>
      </c>
      <c r="I284" s="139">
        <v>0</v>
      </c>
      <c r="J284" s="125">
        <v>0</v>
      </c>
      <c r="K284" s="125">
        <v>0</v>
      </c>
      <c r="L284" s="130">
        <v>0</v>
      </c>
      <c r="M284" s="123">
        <v>0</v>
      </c>
      <c r="N284" s="130">
        <v>0</v>
      </c>
      <c r="O284" s="130">
        <v>0</v>
      </c>
      <c r="P284" s="123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125">
        <v>0</v>
      </c>
      <c r="Y284" s="125" t="s">
        <v>574</v>
      </c>
      <c r="Z284" s="125"/>
      <c r="AA284" s="112">
        <v>0</v>
      </c>
      <c r="AB284" s="112">
        <v>0</v>
      </c>
      <c r="AC284" s="8"/>
      <c r="AD284" s="109"/>
      <c r="AE284" s="66" t="s">
        <v>574</v>
      </c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6"/>
      <c r="AW284" s="66"/>
      <c r="AX284" s="66"/>
      <c r="AY284" s="66"/>
      <c r="AZ284" s="66"/>
      <c r="BA284" s="66"/>
      <c r="BB284" s="66"/>
      <c r="BC284" s="66"/>
      <c r="BD284" s="66"/>
      <c r="BE284" s="66"/>
      <c r="BF284" s="66"/>
      <c r="BG284" s="66"/>
      <c r="BH284" s="66"/>
      <c r="BI284" s="189" t="s">
        <v>1</v>
      </c>
      <c r="BJ284" s="204"/>
    </row>
    <row r="285" spans="1:62" x14ac:dyDescent="0.35">
      <c r="A285" s="108"/>
      <c r="B285" s="126" t="s">
        <v>148</v>
      </c>
      <c r="C285" s="5" t="s">
        <v>5</v>
      </c>
      <c r="D285" s="127" t="s">
        <v>318</v>
      </c>
      <c r="E285" s="127" t="s">
        <v>319</v>
      </c>
      <c r="F285" s="163">
        <v>1072796</v>
      </c>
      <c r="G285" s="134" t="s">
        <v>626</v>
      </c>
      <c r="H285" s="139">
        <v>0</v>
      </c>
      <c r="I285" s="139">
        <v>0</v>
      </c>
      <c r="J285" s="125">
        <v>0</v>
      </c>
      <c r="K285" s="125">
        <v>0</v>
      </c>
      <c r="L285" s="130">
        <v>0</v>
      </c>
      <c r="M285" s="123">
        <v>0</v>
      </c>
      <c r="N285" s="130">
        <v>0</v>
      </c>
      <c r="O285" s="130">
        <v>0</v>
      </c>
      <c r="P285" s="123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125">
        <v>0</v>
      </c>
      <c r="Y285" s="125" t="s">
        <v>574</v>
      </c>
      <c r="Z285" s="125"/>
      <c r="AA285" s="112">
        <v>0</v>
      </c>
      <c r="AB285" s="112">
        <v>0</v>
      </c>
      <c r="AC285" s="8"/>
      <c r="AD285" s="109"/>
      <c r="AE285" s="66" t="s">
        <v>574</v>
      </c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66"/>
      <c r="AU285" s="66"/>
      <c r="AV285" s="66"/>
      <c r="AW285" s="66"/>
      <c r="AX285" s="66"/>
      <c r="AY285" s="66"/>
      <c r="AZ285" s="66"/>
      <c r="BA285" s="66"/>
      <c r="BB285" s="66"/>
      <c r="BC285" s="66"/>
      <c r="BD285" s="66"/>
      <c r="BE285" s="66"/>
      <c r="BF285" s="66"/>
      <c r="BG285" s="66"/>
      <c r="BH285" s="66"/>
      <c r="BI285" s="189" t="s">
        <v>1</v>
      </c>
      <c r="BJ285" s="204"/>
    </row>
    <row r="286" spans="1:62" x14ac:dyDescent="0.35">
      <c r="A286" s="108"/>
      <c r="B286" s="126" t="s">
        <v>148</v>
      </c>
      <c r="C286" s="5" t="s">
        <v>5</v>
      </c>
      <c r="D286" s="127" t="s">
        <v>318</v>
      </c>
      <c r="E286" s="127" t="s">
        <v>319</v>
      </c>
      <c r="F286" s="128">
        <v>1067058</v>
      </c>
      <c r="G286" s="129" t="s">
        <v>515</v>
      </c>
      <c r="H286" s="139">
        <v>0</v>
      </c>
      <c r="I286" s="139">
        <v>0</v>
      </c>
      <c r="J286" s="125">
        <v>0</v>
      </c>
      <c r="K286" s="125">
        <v>0</v>
      </c>
      <c r="L286" s="130">
        <v>0</v>
      </c>
      <c r="M286" s="123">
        <v>0</v>
      </c>
      <c r="N286" s="130">
        <v>0</v>
      </c>
      <c r="O286" s="130">
        <v>0</v>
      </c>
      <c r="P286" s="123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125">
        <v>0</v>
      </c>
      <c r="Y286" s="125" t="s">
        <v>574</v>
      </c>
      <c r="Z286" s="125"/>
      <c r="AA286" s="112">
        <v>0</v>
      </c>
      <c r="AB286" s="112">
        <v>0</v>
      </c>
      <c r="AC286" s="8"/>
      <c r="AD286" s="109"/>
      <c r="AE286" s="66" t="s">
        <v>574</v>
      </c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66"/>
      <c r="AU286" s="66"/>
      <c r="AV286" s="66"/>
      <c r="AW286" s="66"/>
      <c r="AX286" s="66"/>
      <c r="AY286" s="66"/>
      <c r="AZ286" s="66"/>
      <c r="BA286" s="66"/>
      <c r="BB286" s="66"/>
      <c r="BC286" s="66"/>
      <c r="BD286" s="66"/>
      <c r="BE286" s="66"/>
      <c r="BF286" s="66"/>
      <c r="BG286" s="66"/>
      <c r="BH286" s="66"/>
      <c r="BI286" s="189" t="s">
        <v>1</v>
      </c>
      <c r="BJ286" s="204"/>
    </row>
    <row r="287" spans="1:62" x14ac:dyDescent="0.35">
      <c r="A287" s="108"/>
      <c r="B287" s="126" t="s">
        <v>148</v>
      </c>
      <c r="C287" s="5" t="s">
        <v>5</v>
      </c>
      <c r="D287" s="127" t="s">
        <v>318</v>
      </c>
      <c r="E287" s="127" t="s">
        <v>319</v>
      </c>
      <c r="F287" s="163">
        <v>1067805</v>
      </c>
      <c r="G287" s="134" t="s">
        <v>644</v>
      </c>
      <c r="H287" s="139">
        <v>0</v>
      </c>
      <c r="I287" s="139">
        <v>0</v>
      </c>
      <c r="J287" s="125">
        <v>0</v>
      </c>
      <c r="K287" s="125">
        <v>302</v>
      </c>
      <c r="L287" s="130">
        <v>135.9</v>
      </c>
      <c r="M287" s="123">
        <v>0</v>
      </c>
      <c r="N287" s="130">
        <v>135.9</v>
      </c>
      <c r="O287" s="130">
        <v>0</v>
      </c>
      <c r="P287" s="123">
        <v>0</v>
      </c>
      <c r="Q287" s="5">
        <v>29</v>
      </c>
      <c r="R287" s="5">
        <v>0</v>
      </c>
      <c r="S287" s="5">
        <v>29</v>
      </c>
      <c r="T287" s="5">
        <v>0</v>
      </c>
      <c r="U287" s="5">
        <v>0</v>
      </c>
      <c r="V287" s="5">
        <v>0</v>
      </c>
      <c r="W287" s="5">
        <v>0</v>
      </c>
      <c r="X287" s="125">
        <v>0</v>
      </c>
      <c r="Y287" s="125" t="s">
        <v>574</v>
      </c>
      <c r="Z287" s="125"/>
      <c r="AA287" s="112">
        <v>0</v>
      </c>
      <c r="AB287" s="112">
        <v>242.44</v>
      </c>
      <c r="AC287" s="8"/>
      <c r="AD287" s="109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66"/>
      <c r="AU287" s="66"/>
      <c r="AV287" s="66"/>
      <c r="AW287" s="66"/>
      <c r="AX287" s="66"/>
      <c r="AY287" s="66"/>
      <c r="AZ287" s="66"/>
      <c r="BA287" s="66"/>
      <c r="BB287" s="66"/>
      <c r="BC287" s="66"/>
      <c r="BD287" s="66"/>
      <c r="BE287" s="66"/>
      <c r="BF287" s="66"/>
      <c r="BG287" s="66"/>
      <c r="BH287" s="66"/>
      <c r="BI287" s="189" t="s">
        <v>1</v>
      </c>
      <c r="BJ287" s="204"/>
    </row>
    <row r="288" spans="1:62" x14ac:dyDescent="0.35">
      <c r="A288" s="108"/>
      <c r="B288" s="126" t="s">
        <v>148</v>
      </c>
      <c r="C288" s="5" t="s">
        <v>5</v>
      </c>
      <c r="D288" s="127" t="s">
        <v>318</v>
      </c>
      <c r="E288" s="127" t="s">
        <v>307</v>
      </c>
      <c r="F288" s="128">
        <v>1054935</v>
      </c>
      <c r="G288" s="129" t="s">
        <v>207</v>
      </c>
      <c r="H288" s="139">
        <v>0</v>
      </c>
      <c r="I288" s="139">
        <v>0</v>
      </c>
      <c r="J288" s="125">
        <v>0</v>
      </c>
      <c r="K288" s="125">
        <v>0</v>
      </c>
      <c r="L288" s="130">
        <v>0</v>
      </c>
      <c r="M288" s="123">
        <v>0</v>
      </c>
      <c r="N288" s="130">
        <v>0</v>
      </c>
      <c r="O288" s="130">
        <v>0</v>
      </c>
      <c r="P288" s="123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125">
        <v>0</v>
      </c>
      <c r="Y288" s="125" t="s">
        <v>574</v>
      </c>
      <c r="Z288" s="125"/>
      <c r="AA288" s="112">
        <v>0</v>
      </c>
      <c r="AB288" s="112">
        <v>0</v>
      </c>
      <c r="AC288" s="8"/>
      <c r="AD288" s="109"/>
      <c r="AE288" s="66" t="s">
        <v>574</v>
      </c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6"/>
      <c r="AW288" s="66"/>
      <c r="AX288" s="66"/>
      <c r="AY288" s="66"/>
      <c r="AZ288" s="66"/>
      <c r="BA288" s="66"/>
      <c r="BB288" s="66"/>
      <c r="BC288" s="66"/>
      <c r="BD288" s="66"/>
      <c r="BE288" s="66"/>
      <c r="BF288" s="66"/>
      <c r="BG288" s="66"/>
      <c r="BH288" s="66"/>
      <c r="BI288" s="189" t="s">
        <v>1</v>
      </c>
      <c r="BJ288" s="204"/>
    </row>
    <row r="289" spans="1:62" x14ac:dyDescent="0.35">
      <c r="A289" s="108"/>
      <c r="B289" s="126" t="s">
        <v>148</v>
      </c>
      <c r="C289" s="5" t="s">
        <v>5</v>
      </c>
      <c r="D289" s="127" t="s">
        <v>318</v>
      </c>
      <c r="E289" s="127" t="s">
        <v>319</v>
      </c>
      <c r="F289" s="128">
        <v>1067057</v>
      </c>
      <c r="G289" s="129" t="s">
        <v>513</v>
      </c>
      <c r="H289" s="139">
        <v>0</v>
      </c>
      <c r="I289" s="139">
        <v>0</v>
      </c>
      <c r="J289" s="125">
        <v>0</v>
      </c>
      <c r="K289" s="125">
        <v>0</v>
      </c>
      <c r="L289" s="130">
        <v>0</v>
      </c>
      <c r="M289" s="123">
        <v>0</v>
      </c>
      <c r="N289" s="130">
        <v>0</v>
      </c>
      <c r="O289" s="130">
        <v>0</v>
      </c>
      <c r="P289" s="123">
        <v>0</v>
      </c>
      <c r="Q289" s="5">
        <v>4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125">
        <v>0</v>
      </c>
      <c r="Y289" s="125" t="s">
        <v>574</v>
      </c>
      <c r="Z289" s="125"/>
      <c r="AA289" s="112">
        <v>0</v>
      </c>
      <c r="AB289" s="112">
        <v>0</v>
      </c>
      <c r="AC289" s="8"/>
      <c r="AD289" s="109"/>
      <c r="AE289" s="66" t="s">
        <v>574</v>
      </c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66"/>
      <c r="AU289" s="66"/>
      <c r="AV289" s="66"/>
      <c r="AW289" s="66"/>
      <c r="AX289" s="66"/>
      <c r="AY289" s="66"/>
      <c r="AZ289" s="66"/>
      <c r="BA289" s="66"/>
      <c r="BB289" s="66"/>
      <c r="BC289" s="66"/>
      <c r="BD289" s="66"/>
      <c r="BE289" s="66"/>
      <c r="BF289" s="66"/>
      <c r="BG289" s="66"/>
      <c r="BH289" s="66"/>
      <c r="BI289" s="189" t="s">
        <v>1</v>
      </c>
      <c r="BJ289" s="204"/>
    </row>
    <row r="290" spans="1:62" x14ac:dyDescent="0.35">
      <c r="A290" s="108"/>
      <c r="B290" s="126" t="s">
        <v>148</v>
      </c>
      <c r="C290" s="5" t="s">
        <v>5</v>
      </c>
      <c r="D290" s="127" t="s">
        <v>318</v>
      </c>
      <c r="E290" s="127" t="s">
        <v>319</v>
      </c>
      <c r="F290" s="161">
        <v>1072517</v>
      </c>
      <c r="G290" s="162" t="s">
        <v>637</v>
      </c>
      <c r="H290" s="139">
        <v>0</v>
      </c>
      <c r="I290" s="139">
        <v>0</v>
      </c>
      <c r="J290" s="125">
        <v>0</v>
      </c>
      <c r="K290" s="125">
        <v>0</v>
      </c>
      <c r="L290" s="130">
        <v>0</v>
      </c>
      <c r="M290" s="123">
        <v>0</v>
      </c>
      <c r="N290" s="130">
        <v>0</v>
      </c>
      <c r="O290" s="130">
        <v>0</v>
      </c>
      <c r="P290" s="123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125">
        <v>0</v>
      </c>
      <c r="Y290" s="125" t="s">
        <v>574</v>
      </c>
      <c r="Z290" s="125"/>
      <c r="AA290" s="112">
        <v>0</v>
      </c>
      <c r="AB290" s="112">
        <v>0</v>
      </c>
      <c r="AC290" s="8"/>
      <c r="AD290" s="109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6"/>
      <c r="AW290" s="66"/>
      <c r="AX290" s="66"/>
      <c r="AY290" s="66"/>
      <c r="AZ290" s="66"/>
      <c r="BA290" s="66"/>
      <c r="BB290" s="66"/>
      <c r="BC290" s="66"/>
      <c r="BD290" s="66"/>
      <c r="BE290" s="66"/>
      <c r="BF290" s="66"/>
      <c r="BG290" s="66"/>
      <c r="BH290" s="66"/>
      <c r="BI290" s="189" t="s">
        <v>1</v>
      </c>
      <c r="BJ290" s="204"/>
    </row>
    <row r="291" spans="1:62" x14ac:dyDescent="0.35">
      <c r="A291" s="108"/>
      <c r="B291" s="126" t="s">
        <v>148</v>
      </c>
      <c r="C291" s="5" t="s">
        <v>5</v>
      </c>
      <c r="D291" s="5" t="s">
        <v>318</v>
      </c>
      <c r="E291" s="5" t="s">
        <v>319</v>
      </c>
      <c r="F291" s="132">
        <v>1065355</v>
      </c>
      <c r="G291" s="133" t="s">
        <v>507</v>
      </c>
      <c r="H291" s="139">
        <v>0</v>
      </c>
      <c r="I291" s="139">
        <v>0</v>
      </c>
      <c r="J291" s="125">
        <v>0</v>
      </c>
      <c r="K291" s="125">
        <v>0</v>
      </c>
      <c r="L291" s="130">
        <v>0</v>
      </c>
      <c r="M291" s="123">
        <v>0</v>
      </c>
      <c r="N291" s="130">
        <v>0</v>
      </c>
      <c r="O291" s="130">
        <v>0</v>
      </c>
      <c r="P291" s="123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125">
        <v>0</v>
      </c>
      <c r="Y291" s="125" t="s">
        <v>574</v>
      </c>
      <c r="Z291" s="125"/>
      <c r="AA291" s="112">
        <v>0</v>
      </c>
      <c r="AB291" s="112">
        <v>0</v>
      </c>
      <c r="AC291" s="8"/>
      <c r="AD291" s="109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66"/>
      <c r="AU291" s="66"/>
      <c r="AV291" s="66"/>
      <c r="AW291" s="66"/>
      <c r="AX291" s="66"/>
      <c r="AY291" s="66"/>
      <c r="AZ291" s="66"/>
      <c r="BA291" s="66"/>
      <c r="BB291" s="66"/>
      <c r="BC291" s="66"/>
      <c r="BD291" s="66"/>
      <c r="BE291" s="66"/>
      <c r="BF291" s="66"/>
      <c r="BG291" s="66"/>
      <c r="BH291" s="66"/>
      <c r="BI291" s="188"/>
      <c r="BJ291" s="204"/>
    </row>
    <row r="292" spans="1:62" x14ac:dyDescent="0.35">
      <c r="A292" s="108"/>
      <c r="B292" s="126" t="s">
        <v>1</v>
      </c>
      <c r="C292" s="5" t="s">
        <v>2</v>
      </c>
      <c r="D292" s="5" t="s">
        <v>306</v>
      </c>
      <c r="E292" s="5" t="s">
        <v>401</v>
      </c>
      <c r="F292" s="161">
        <v>1081790</v>
      </c>
      <c r="G292" s="162" t="s">
        <v>772</v>
      </c>
      <c r="H292" s="139">
        <v>0</v>
      </c>
      <c r="I292" s="139">
        <v>0</v>
      </c>
      <c r="J292" s="125">
        <v>0</v>
      </c>
      <c r="K292" s="125">
        <v>0</v>
      </c>
      <c r="L292" s="130">
        <v>0</v>
      </c>
      <c r="M292" s="123">
        <v>0</v>
      </c>
      <c r="N292" s="130">
        <v>0</v>
      </c>
      <c r="O292" s="130">
        <v>0</v>
      </c>
      <c r="P292" s="123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490</v>
      </c>
      <c r="X292" s="125">
        <v>0</v>
      </c>
      <c r="Y292" s="125" t="s">
        <v>574</v>
      </c>
      <c r="Z292" s="125"/>
      <c r="AA292" s="112">
        <v>0</v>
      </c>
      <c r="AB292" s="112">
        <v>1871.8</v>
      </c>
      <c r="AC292" s="8"/>
      <c r="AD292" s="109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66"/>
      <c r="AU292" s="66"/>
      <c r="AV292" s="66"/>
      <c r="AW292" s="66"/>
      <c r="AX292" s="66"/>
      <c r="AY292" s="66"/>
      <c r="AZ292" s="66"/>
      <c r="BA292" s="66"/>
      <c r="BB292" s="66"/>
      <c r="BC292" s="66"/>
      <c r="BD292" s="66"/>
      <c r="BE292" s="66"/>
      <c r="BF292" s="66"/>
      <c r="BG292" s="66"/>
      <c r="BH292" s="66"/>
      <c r="BI292" s="188" t="s">
        <v>1</v>
      </c>
      <c r="BJ292" s="204"/>
    </row>
    <row r="293" spans="1:62" x14ac:dyDescent="0.35">
      <c r="A293" s="108"/>
      <c r="B293" s="126" t="s">
        <v>1</v>
      </c>
      <c r="C293" s="5" t="s">
        <v>2</v>
      </c>
      <c r="D293" s="5" t="s">
        <v>306</v>
      </c>
      <c r="E293" s="5" t="s">
        <v>401</v>
      </c>
      <c r="F293" s="128">
        <v>1073829</v>
      </c>
      <c r="G293" s="129" t="s">
        <v>622</v>
      </c>
      <c r="H293" s="139">
        <v>0</v>
      </c>
      <c r="I293" s="139">
        <v>0</v>
      </c>
      <c r="J293" s="125">
        <v>0</v>
      </c>
      <c r="K293" s="125">
        <v>0</v>
      </c>
      <c r="L293" s="130">
        <v>0</v>
      </c>
      <c r="M293" s="123">
        <v>0</v>
      </c>
      <c r="N293" s="130">
        <v>0</v>
      </c>
      <c r="O293" s="130">
        <v>0</v>
      </c>
      <c r="P293" s="123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125">
        <v>0</v>
      </c>
      <c r="Y293" s="125" t="s">
        <v>574</v>
      </c>
      <c r="Z293" s="125"/>
      <c r="AA293" s="112">
        <v>0</v>
      </c>
      <c r="AB293" s="112">
        <v>0</v>
      </c>
      <c r="AC293" s="8"/>
      <c r="AD293" s="109"/>
      <c r="AE293" s="66">
        <v>54.172659865083347</v>
      </c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6"/>
      <c r="AW293" s="66"/>
      <c r="AX293" s="66"/>
      <c r="AY293" s="66"/>
      <c r="AZ293" s="66"/>
      <c r="BA293" s="66"/>
      <c r="BB293" s="66"/>
      <c r="BC293" s="66"/>
      <c r="BD293" s="66"/>
      <c r="BE293" s="66"/>
      <c r="BF293" s="66"/>
      <c r="BG293" s="66"/>
      <c r="BH293" s="66"/>
      <c r="BI293" s="188" t="s">
        <v>1</v>
      </c>
      <c r="BJ293" s="204"/>
    </row>
    <row r="294" spans="1:62" x14ac:dyDescent="0.35">
      <c r="A294" s="108"/>
      <c r="B294" s="126" t="s">
        <v>1</v>
      </c>
      <c r="C294" s="5" t="s">
        <v>2</v>
      </c>
      <c r="D294" s="5" t="s">
        <v>306</v>
      </c>
      <c r="E294" s="5" t="s">
        <v>401</v>
      </c>
      <c r="F294" s="152">
        <v>1077616</v>
      </c>
      <c r="G294" s="153" t="s">
        <v>704</v>
      </c>
      <c r="H294" s="139">
        <v>0</v>
      </c>
      <c r="I294" s="139">
        <v>0</v>
      </c>
      <c r="J294" s="125">
        <v>0</v>
      </c>
      <c r="K294" s="125">
        <v>0</v>
      </c>
      <c r="L294" s="130">
        <v>0</v>
      </c>
      <c r="M294" s="123">
        <v>0</v>
      </c>
      <c r="N294" s="130">
        <v>0</v>
      </c>
      <c r="O294" s="130">
        <v>0</v>
      </c>
      <c r="P294" s="123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125">
        <v>0</v>
      </c>
      <c r="Y294" s="125" t="s">
        <v>574</v>
      </c>
      <c r="Z294" s="125"/>
      <c r="AA294" s="112">
        <v>0</v>
      </c>
      <c r="AB294" s="112">
        <v>0</v>
      </c>
      <c r="AC294" s="8"/>
      <c r="AD294" s="109"/>
      <c r="AE294" s="66">
        <v>22.142045794395774</v>
      </c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6"/>
      <c r="AW294" s="66"/>
      <c r="AX294" s="66"/>
      <c r="AY294" s="66"/>
      <c r="AZ294" s="66"/>
      <c r="BA294" s="66"/>
      <c r="BB294" s="66"/>
      <c r="BC294" s="66"/>
      <c r="BD294" s="66"/>
      <c r="BE294" s="66"/>
      <c r="BF294" s="66"/>
      <c r="BG294" s="66"/>
      <c r="BH294" s="66"/>
      <c r="BI294" s="188" t="s">
        <v>1</v>
      </c>
      <c r="BJ294" s="204"/>
    </row>
    <row r="295" spans="1:62" ht="12.75" customHeight="1" x14ac:dyDescent="0.35">
      <c r="B295" s="126" t="s">
        <v>1</v>
      </c>
      <c r="C295" s="5" t="s">
        <v>2</v>
      </c>
      <c r="D295" s="5" t="s">
        <v>306</v>
      </c>
      <c r="E295" s="5" t="s">
        <v>401</v>
      </c>
      <c r="F295" s="128">
        <v>1041723</v>
      </c>
      <c r="G295" s="129" t="s">
        <v>80</v>
      </c>
      <c r="H295" s="139">
        <v>0</v>
      </c>
      <c r="I295" s="139">
        <v>0</v>
      </c>
      <c r="J295" s="125">
        <v>0</v>
      </c>
      <c r="K295" s="125">
        <v>0</v>
      </c>
      <c r="L295" s="130">
        <v>0</v>
      </c>
      <c r="M295" s="123">
        <v>0</v>
      </c>
      <c r="N295" s="130">
        <v>0</v>
      </c>
      <c r="O295" s="130">
        <v>0</v>
      </c>
      <c r="P295" s="123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125">
        <v>0</v>
      </c>
      <c r="Y295" s="125" t="s">
        <v>574</v>
      </c>
      <c r="Z295" s="125"/>
      <c r="AA295" s="112">
        <v>0</v>
      </c>
      <c r="AB295" s="112">
        <v>0</v>
      </c>
      <c r="AC295" s="8"/>
      <c r="AD295" s="67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6"/>
      <c r="AW295" s="66"/>
      <c r="AX295" s="66"/>
      <c r="AY295" s="66"/>
      <c r="AZ295" s="66"/>
      <c r="BA295" s="66"/>
      <c r="BB295" s="66"/>
      <c r="BC295" s="66"/>
      <c r="BD295" s="66"/>
      <c r="BE295" s="66"/>
      <c r="BF295" s="66"/>
      <c r="BG295" s="66"/>
      <c r="BH295" s="66"/>
      <c r="BI295" s="188" t="s">
        <v>1</v>
      </c>
      <c r="BJ295" s="204"/>
    </row>
    <row r="296" spans="1:62" ht="12.75" customHeight="1" x14ac:dyDescent="0.35">
      <c r="B296" s="126" t="s">
        <v>1</v>
      </c>
      <c r="C296" s="5" t="s">
        <v>2</v>
      </c>
      <c r="D296" s="5" t="s">
        <v>306</v>
      </c>
      <c r="E296" s="5" t="s">
        <v>401</v>
      </c>
      <c r="F296" s="128">
        <v>1041722</v>
      </c>
      <c r="G296" s="129" t="s">
        <v>51</v>
      </c>
      <c r="H296" s="139">
        <v>0</v>
      </c>
      <c r="I296" s="139">
        <v>0</v>
      </c>
      <c r="J296" s="125">
        <v>0</v>
      </c>
      <c r="K296" s="125">
        <v>0</v>
      </c>
      <c r="L296" s="130">
        <v>0</v>
      </c>
      <c r="M296" s="123">
        <v>0</v>
      </c>
      <c r="N296" s="130">
        <v>0</v>
      </c>
      <c r="O296" s="130">
        <v>0</v>
      </c>
      <c r="P296" s="123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125">
        <v>0</v>
      </c>
      <c r="Y296" s="125" t="s">
        <v>574</v>
      </c>
      <c r="Z296" s="125"/>
      <c r="AA296" s="112">
        <v>0</v>
      </c>
      <c r="AB296" s="112">
        <v>0</v>
      </c>
      <c r="AC296" s="8"/>
      <c r="AD296" s="109"/>
      <c r="AE296" s="66">
        <v>35.188561438561429</v>
      </c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6"/>
      <c r="AW296" s="66"/>
      <c r="AX296" s="66"/>
      <c r="AY296" s="66"/>
      <c r="AZ296" s="66"/>
      <c r="BA296" s="66"/>
      <c r="BB296" s="66"/>
      <c r="BC296" s="66"/>
      <c r="BD296" s="66"/>
      <c r="BE296" s="66"/>
      <c r="BF296" s="66"/>
      <c r="BG296" s="66"/>
      <c r="BH296" s="66"/>
      <c r="BI296" s="188" t="s">
        <v>1</v>
      </c>
      <c r="BJ296" s="204"/>
    </row>
    <row r="297" spans="1:62" ht="12.75" customHeight="1" x14ac:dyDescent="0.35">
      <c r="B297" s="126" t="s">
        <v>1</v>
      </c>
      <c r="C297" s="5" t="s">
        <v>2</v>
      </c>
      <c r="D297" s="5" t="s">
        <v>306</v>
      </c>
      <c r="E297" s="5" t="s">
        <v>401</v>
      </c>
      <c r="F297" s="137">
        <v>1058285</v>
      </c>
      <c r="G297" s="138" t="s">
        <v>239</v>
      </c>
      <c r="H297" s="139">
        <v>0</v>
      </c>
      <c r="I297" s="139">
        <v>0</v>
      </c>
      <c r="J297" s="125">
        <v>0</v>
      </c>
      <c r="K297" s="125">
        <v>24</v>
      </c>
      <c r="L297" s="130">
        <v>14.399999999999999</v>
      </c>
      <c r="M297" s="123">
        <v>0</v>
      </c>
      <c r="N297" s="130">
        <v>14.399999999999999</v>
      </c>
      <c r="O297" s="130">
        <v>0</v>
      </c>
      <c r="P297" s="123">
        <v>0</v>
      </c>
      <c r="Q297" s="5">
        <v>1876</v>
      </c>
      <c r="R297" s="5">
        <v>0</v>
      </c>
      <c r="S297" s="5">
        <v>1876</v>
      </c>
      <c r="T297" s="5">
        <v>0</v>
      </c>
      <c r="U297" s="5">
        <v>0</v>
      </c>
      <c r="V297" s="5">
        <v>0</v>
      </c>
      <c r="W297" s="5">
        <v>0</v>
      </c>
      <c r="X297" s="125">
        <v>0</v>
      </c>
      <c r="Y297" s="125" t="s">
        <v>574</v>
      </c>
      <c r="Z297" s="125"/>
      <c r="AA297" s="112">
        <v>0</v>
      </c>
      <c r="AB297" s="112">
        <v>10318</v>
      </c>
      <c r="AC297" s="8"/>
      <c r="AD297" s="109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66"/>
      <c r="AU297" s="66"/>
      <c r="AV297" s="66"/>
      <c r="AW297" s="66"/>
      <c r="AX297" s="66"/>
      <c r="AY297" s="66"/>
      <c r="AZ297" s="66"/>
      <c r="BA297" s="66"/>
      <c r="BB297" s="66"/>
      <c r="BC297" s="66"/>
      <c r="BD297" s="66"/>
      <c r="BE297" s="66"/>
      <c r="BF297" s="66"/>
      <c r="BG297" s="66"/>
      <c r="BH297" s="66"/>
      <c r="BI297" s="188" t="s">
        <v>1</v>
      </c>
      <c r="BJ297" s="204"/>
    </row>
    <row r="298" spans="1:62" ht="12.75" customHeight="1" x14ac:dyDescent="0.35">
      <c r="B298" s="126" t="s">
        <v>1</v>
      </c>
      <c r="C298" s="5" t="s">
        <v>2</v>
      </c>
      <c r="D298" s="5" t="s">
        <v>306</v>
      </c>
      <c r="E298" s="5" t="s">
        <v>401</v>
      </c>
      <c r="F298" s="161">
        <v>1051958</v>
      </c>
      <c r="G298" s="162" t="s">
        <v>171</v>
      </c>
      <c r="H298" s="139">
        <v>0</v>
      </c>
      <c r="I298" s="139">
        <v>0</v>
      </c>
      <c r="J298" s="125">
        <v>0</v>
      </c>
      <c r="K298" s="125">
        <v>0</v>
      </c>
      <c r="L298" s="130">
        <v>0</v>
      </c>
      <c r="M298" s="123">
        <v>0</v>
      </c>
      <c r="N298" s="130">
        <v>0</v>
      </c>
      <c r="O298" s="130">
        <v>0</v>
      </c>
      <c r="P298" s="123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125">
        <v>0</v>
      </c>
      <c r="Y298" s="125" t="s">
        <v>574</v>
      </c>
      <c r="Z298" s="125"/>
      <c r="AA298" s="112">
        <v>0</v>
      </c>
      <c r="AB298" s="112">
        <v>0</v>
      </c>
      <c r="AC298" s="8"/>
      <c r="AD298" s="109"/>
      <c r="AE298" s="66" t="s">
        <v>574</v>
      </c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66"/>
      <c r="AU298" s="66"/>
      <c r="AV298" s="66"/>
      <c r="AW298" s="66"/>
      <c r="AX298" s="66"/>
      <c r="AY298" s="66"/>
      <c r="AZ298" s="66"/>
      <c r="BA298" s="66"/>
      <c r="BB298" s="66"/>
      <c r="BC298" s="66"/>
      <c r="BD298" s="66"/>
      <c r="BE298" s="66"/>
      <c r="BF298" s="66"/>
      <c r="BG298" s="66"/>
      <c r="BH298" s="66"/>
      <c r="BI298" s="189" t="s">
        <v>1</v>
      </c>
      <c r="BJ298" s="204"/>
    </row>
    <row r="299" spans="1:62" ht="12.75" customHeight="1" x14ac:dyDescent="0.35">
      <c r="B299" s="126" t="s">
        <v>1</v>
      </c>
      <c r="C299" s="5" t="s">
        <v>2</v>
      </c>
      <c r="D299" s="5" t="s">
        <v>306</v>
      </c>
      <c r="E299" s="5" t="s">
        <v>401</v>
      </c>
      <c r="F299" s="128">
        <v>1050062</v>
      </c>
      <c r="G299" s="129" t="s">
        <v>122</v>
      </c>
      <c r="H299" s="139">
        <v>0</v>
      </c>
      <c r="I299" s="139">
        <v>0</v>
      </c>
      <c r="J299" s="125">
        <v>0</v>
      </c>
      <c r="K299" s="125">
        <v>-11</v>
      </c>
      <c r="L299" s="130">
        <v>-16.5</v>
      </c>
      <c r="M299" s="123">
        <v>0</v>
      </c>
      <c r="N299" s="130">
        <v>16.5</v>
      </c>
      <c r="O299" s="130">
        <v>0</v>
      </c>
      <c r="P299" s="123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125">
        <v>0</v>
      </c>
      <c r="Y299" s="125" t="s">
        <v>574</v>
      </c>
      <c r="Z299" s="125"/>
      <c r="AA299" s="112">
        <v>0</v>
      </c>
      <c r="AB299" s="112">
        <v>0</v>
      </c>
      <c r="AC299" s="8"/>
      <c r="AD299" s="109"/>
      <c r="AE299" s="66">
        <v>23.6300717393861</v>
      </c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66"/>
      <c r="AU299" s="66"/>
      <c r="AV299" s="66"/>
      <c r="AW299" s="66"/>
      <c r="AX299" s="66"/>
      <c r="AY299" s="66"/>
      <c r="AZ299" s="66"/>
      <c r="BA299" s="66"/>
      <c r="BB299" s="66"/>
      <c r="BC299" s="66"/>
      <c r="BD299" s="66"/>
      <c r="BE299" s="66"/>
      <c r="BF299" s="66"/>
      <c r="BG299" s="66"/>
      <c r="BH299" s="66"/>
      <c r="BI299" s="188" t="s">
        <v>1</v>
      </c>
      <c r="BJ299" s="204"/>
    </row>
    <row r="300" spans="1:62" ht="12.75" customHeight="1" x14ac:dyDescent="0.35">
      <c r="B300" s="126" t="s">
        <v>1</v>
      </c>
      <c r="C300" s="5" t="s">
        <v>2</v>
      </c>
      <c r="D300" s="5" t="s">
        <v>306</v>
      </c>
      <c r="E300" s="5" t="s">
        <v>401</v>
      </c>
      <c r="F300" s="128">
        <v>1042017</v>
      </c>
      <c r="G300" s="129" t="s">
        <v>33</v>
      </c>
      <c r="H300" s="139">
        <v>0</v>
      </c>
      <c r="I300" s="139">
        <v>0</v>
      </c>
      <c r="J300" s="125">
        <v>0</v>
      </c>
      <c r="K300" s="125">
        <v>-60</v>
      </c>
      <c r="L300" s="130">
        <v>-60</v>
      </c>
      <c r="M300" s="123">
        <v>0</v>
      </c>
      <c r="N300" s="130">
        <v>60</v>
      </c>
      <c r="O300" s="130">
        <v>0</v>
      </c>
      <c r="P300" s="123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125">
        <v>0</v>
      </c>
      <c r="Y300" s="125" t="s">
        <v>574</v>
      </c>
      <c r="Z300" s="125"/>
      <c r="AA300" s="112">
        <v>0</v>
      </c>
      <c r="AB300" s="112">
        <v>0</v>
      </c>
      <c r="AC300" s="8"/>
      <c r="AD300" s="109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  <c r="AZ300" s="66"/>
      <c r="BA300" s="66"/>
      <c r="BB300" s="66"/>
      <c r="BC300" s="66"/>
      <c r="BD300" s="66"/>
      <c r="BE300" s="66"/>
      <c r="BF300" s="66"/>
      <c r="BG300" s="66"/>
      <c r="BH300" s="66"/>
      <c r="BI300" s="188" t="s">
        <v>1</v>
      </c>
      <c r="BJ300" s="204"/>
    </row>
    <row r="301" spans="1:62" ht="12.75" customHeight="1" x14ac:dyDescent="0.35">
      <c r="B301" s="126" t="s">
        <v>1</v>
      </c>
      <c r="C301" s="5" t="s">
        <v>2</v>
      </c>
      <c r="D301" s="5" t="s">
        <v>306</v>
      </c>
      <c r="E301" s="5" t="s">
        <v>401</v>
      </c>
      <c r="F301" s="128">
        <v>1031617</v>
      </c>
      <c r="G301" s="129" t="s">
        <v>140</v>
      </c>
      <c r="H301" s="139">
        <v>0</v>
      </c>
      <c r="I301" s="139">
        <v>0</v>
      </c>
      <c r="J301" s="125">
        <v>0</v>
      </c>
      <c r="K301" s="125">
        <v>0</v>
      </c>
      <c r="L301" s="130">
        <v>0</v>
      </c>
      <c r="M301" s="123">
        <v>0</v>
      </c>
      <c r="N301" s="130">
        <v>0</v>
      </c>
      <c r="O301" s="130">
        <v>0</v>
      </c>
      <c r="P301" s="123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125">
        <v>0</v>
      </c>
      <c r="Y301" s="125" t="s">
        <v>574</v>
      </c>
      <c r="Z301" s="125"/>
      <c r="AA301" s="112">
        <v>0</v>
      </c>
      <c r="AB301" s="112">
        <v>0</v>
      </c>
      <c r="AC301" s="8"/>
      <c r="AD301" s="109"/>
      <c r="AE301" s="66">
        <v>28.632691004448187</v>
      </c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66"/>
      <c r="AU301" s="66"/>
      <c r="AV301" s="66"/>
      <c r="AW301" s="66"/>
      <c r="AX301" s="66"/>
      <c r="AY301" s="66"/>
      <c r="AZ301" s="66"/>
      <c r="BA301" s="66"/>
      <c r="BB301" s="66"/>
      <c r="BC301" s="66"/>
      <c r="BD301" s="66"/>
      <c r="BE301" s="66"/>
      <c r="BF301" s="66"/>
      <c r="BG301" s="66"/>
      <c r="BH301" s="66"/>
      <c r="BI301" s="189" t="s">
        <v>1</v>
      </c>
      <c r="BJ301" s="204"/>
    </row>
    <row r="302" spans="1:62" ht="12.75" customHeight="1" x14ac:dyDescent="0.35">
      <c r="B302" s="126" t="s">
        <v>1</v>
      </c>
      <c r="C302" s="5" t="s">
        <v>2</v>
      </c>
      <c r="D302" s="5" t="s">
        <v>306</v>
      </c>
      <c r="E302" s="5" t="s">
        <v>401</v>
      </c>
      <c r="F302" s="128">
        <v>1059550</v>
      </c>
      <c r="G302" s="129" t="s">
        <v>374</v>
      </c>
      <c r="H302" s="139">
        <v>0</v>
      </c>
      <c r="I302" s="139">
        <v>0</v>
      </c>
      <c r="J302" s="125">
        <v>0</v>
      </c>
      <c r="K302" s="125">
        <v>0</v>
      </c>
      <c r="L302" s="130">
        <v>0</v>
      </c>
      <c r="M302" s="123">
        <v>0</v>
      </c>
      <c r="N302" s="130">
        <v>0</v>
      </c>
      <c r="O302" s="130">
        <v>0</v>
      </c>
      <c r="P302" s="123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125">
        <v>0</v>
      </c>
      <c r="Y302" s="125" t="s">
        <v>574</v>
      </c>
      <c r="Z302" s="125"/>
      <c r="AA302" s="112">
        <v>0</v>
      </c>
      <c r="AB302" s="112">
        <v>0</v>
      </c>
      <c r="AC302" s="8"/>
      <c r="AD302" s="109"/>
      <c r="AE302" s="66" t="s">
        <v>574</v>
      </c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66"/>
      <c r="AU302" s="66"/>
      <c r="AV302" s="66"/>
      <c r="AW302" s="66"/>
      <c r="AX302" s="66"/>
      <c r="AY302" s="66"/>
      <c r="AZ302" s="66"/>
      <c r="BA302" s="66"/>
      <c r="BB302" s="66"/>
      <c r="BC302" s="66"/>
      <c r="BD302" s="66"/>
      <c r="BE302" s="66"/>
      <c r="BF302" s="66"/>
      <c r="BG302" s="66"/>
      <c r="BH302" s="66"/>
      <c r="BI302" s="189" t="s">
        <v>1</v>
      </c>
      <c r="BJ302" s="204"/>
    </row>
    <row r="303" spans="1:62" ht="12.75" customHeight="1" x14ac:dyDescent="0.35">
      <c r="B303" s="126" t="s">
        <v>1</v>
      </c>
      <c r="C303" s="5" t="s">
        <v>2</v>
      </c>
      <c r="D303" s="5" t="s">
        <v>306</v>
      </c>
      <c r="E303" s="5" t="s">
        <v>401</v>
      </c>
      <c r="F303" s="128">
        <v>1045258</v>
      </c>
      <c r="G303" s="129" t="s">
        <v>131</v>
      </c>
      <c r="H303" s="139">
        <v>0</v>
      </c>
      <c r="I303" s="139">
        <v>0</v>
      </c>
      <c r="J303" s="125">
        <v>0</v>
      </c>
      <c r="K303" s="125">
        <v>0</v>
      </c>
      <c r="L303" s="130">
        <v>0</v>
      </c>
      <c r="M303" s="123">
        <v>0</v>
      </c>
      <c r="N303" s="130">
        <v>0</v>
      </c>
      <c r="O303" s="130">
        <v>0</v>
      </c>
      <c r="P303" s="123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125">
        <v>0</v>
      </c>
      <c r="Y303" s="125" t="s">
        <v>574</v>
      </c>
      <c r="Z303" s="125"/>
      <c r="AA303" s="112">
        <v>0</v>
      </c>
      <c r="AB303" s="112">
        <v>0</v>
      </c>
      <c r="AC303" s="8"/>
      <c r="AD303" s="109"/>
      <c r="AE303" s="66">
        <v>332.45777777777778</v>
      </c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6"/>
      <c r="AW303" s="66"/>
      <c r="AX303" s="66"/>
      <c r="AY303" s="66"/>
      <c r="AZ303" s="66"/>
      <c r="BA303" s="66"/>
      <c r="BB303" s="66"/>
      <c r="BC303" s="66"/>
      <c r="BD303" s="66"/>
      <c r="BE303" s="66"/>
      <c r="BF303" s="66"/>
      <c r="BG303" s="66"/>
      <c r="BH303" s="66"/>
      <c r="BI303" s="189" t="s">
        <v>1</v>
      </c>
      <c r="BJ303" s="204"/>
    </row>
    <row r="304" spans="1:62" ht="12.75" customHeight="1" x14ac:dyDescent="0.35">
      <c r="B304" s="126" t="s">
        <v>1</v>
      </c>
      <c r="C304" s="5" t="s">
        <v>2</v>
      </c>
      <c r="D304" s="5" t="s">
        <v>306</v>
      </c>
      <c r="E304" s="5" t="s">
        <v>401</v>
      </c>
      <c r="F304" s="128">
        <v>1041724</v>
      </c>
      <c r="G304" s="129" t="s">
        <v>89</v>
      </c>
      <c r="H304" s="139">
        <v>0</v>
      </c>
      <c r="I304" s="139">
        <v>0</v>
      </c>
      <c r="J304" s="125">
        <v>0</v>
      </c>
      <c r="K304" s="125">
        <v>0</v>
      </c>
      <c r="L304" s="130">
        <v>0</v>
      </c>
      <c r="M304" s="123">
        <v>0</v>
      </c>
      <c r="N304" s="130">
        <v>0</v>
      </c>
      <c r="O304" s="130">
        <v>0</v>
      </c>
      <c r="P304" s="123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125">
        <v>0</v>
      </c>
      <c r="Y304" s="125" t="s">
        <v>574</v>
      </c>
      <c r="Z304" s="125"/>
      <c r="AA304" s="112">
        <v>0</v>
      </c>
      <c r="AB304" s="112">
        <v>0</v>
      </c>
      <c r="AC304" s="8"/>
      <c r="AD304" s="109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  <c r="AZ304" s="66"/>
      <c r="BA304" s="66"/>
      <c r="BB304" s="66"/>
      <c r="BC304" s="66"/>
      <c r="BD304" s="66"/>
      <c r="BE304" s="66"/>
      <c r="BF304" s="66"/>
      <c r="BG304" s="66"/>
      <c r="BH304" s="66"/>
      <c r="BI304" s="188"/>
      <c r="BJ304" s="204"/>
    </row>
    <row r="305" spans="2:62" ht="12.75" customHeight="1" x14ac:dyDescent="0.35">
      <c r="B305" s="126" t="s">
        <v>27</v>
      </c>
      <c r="C305" s="5" t="s">
        <v>5</v>
      </c>
      <c r="D305" s="5" t="s">
        <v>312</v>
      </c>
      <c r="E305" s="5" t="s">
        <v>313</v>
      </c>
      <c r="F305" s="128">
        <v>1073772</v>
      </c>
      <c r="G305" s="129" t="s">
        <v>613</v>
      </c>
      <c r="H305" s="139">
        <v>0</v>
      </c>
      <c r="I305" s="139">
        <v>0</v>
      </c>
      <c r="J305" s="125">
        <v>0</v>
      </c>
      <c r="K305" s="125">
        <v>0</v>
      </c>
      <c r="L305" s="130">
        <v>0</v>
      </c>
      <c r="M305" s="123">
        <v>0</v>
      </c>
      <c r="N305" s="130">
        <v>0</v>
      </c>
      <c r="O305" s="130">
        <v>0</v>
      </c>
      <c r="P305" s="123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125">
        <v>0</v>
      </c>
      <c r="Y305" s="125" t="s">
        <v>574</v>
      </c>
      <c r="Z305" s="125"/>
      <c r="AA305" s="112">
        <v>0</v>
      </c>
      <c r="AB305" s="112">
        <v>0</v>
      </c>
      <c r="AC305" s="8"/>
      <c r="AD305" s="109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66"/>
      <c r="AU305" s="66"/>
      <c r="AV305" s="66"/>
      <c r="AW305" s="66"/>
      <c r="AX305" s="66"/>
      <c r="AY305" s="66"/>
      <c r="AZ305" s="66"/>
      <c r="BA305" s="66"/>
      <c r="BB305" s="66"/>
      <c r="BC305" s="66"/>
      <c r="BD305" s="66"/>
      <c r="BE305" s="66"/>
      <c r="BF305" s="66"/>
      <c r="BG305" s="66"/>
      <c r="BH305" s="66"/>
      <c r="BI305" s="188" t="s">
        <v>1</v>
      </c>
      <c r="BJ305" s="204"/>
    </row>
    <row r="306" spans="2:62" ht="12.75" customHeight="1" x14ac:dyDescent="0.35">
      <c r="B306" s="126" t="s">
        <v>27</v>
      </c>
      <c r="C306" s="5" t="s">
        <v>5</v>
      </c>
      <c r="D306" s="5" t="s">
        <v>312</v>
      </c>
      <c r="E306" s="5" t="s">
        <v>313</v>
      </c>
      <c r="F306" s="128">
        <v>1065188</v>
      </c>
      <c r="G306" s="129" t="s">
        <v>512</v>
      </c>
      <c r="H306" s="139">
        <v>0</v>
      </c>
      <c r="I306" s="139">
        <v>0</v>
      </c>
      <c r="J306" s="125">
        <v>0</v>
      </c>
      <c r="K306" s="125">
        <v>0</v>
      </c>
      <c r="L306" s="130">
        <v>0</v>
      </c>
      <c r="M306" s="123">
        <v>0</v>
      </c>
      <c r="N306" s="130">
        <v>0</v>
      </c>
      <c r="O306" s="130">
        <v>0</v>
      </c>
      <c r="P306" s="123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125">
        <v>0</v>
      </c>
      <c r="Y306" s="125" t="s">
        <v>574</v>
      </c>
      <c r="Z306" s="125"/>
      <c r="AA306" s="112">
        <v>0</v>
      </c>
      <c r="AB306" s="112">
        <v>0</v>
      </c>
      <c r="AC306" s="8"/>
      <c r="AD306" s="109"/>
      <c r="AE306" s="66">
        <v>34.79349904397705</v>
      </c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6"/>
      <c r="BB306" s="66"/>
      <c r="BC306" s="66"/>
      <c r="BD306" s="66"/>
      <c r="BE306" s="66"/>
      <c r="BF306" s="66"/>
      <c r="BG306" s="66"/>
      <c r="BH306" s="66"/>
      <c r="BI306" s="189" t="s">
        <v>1</v>
      </c>
      <c r="BJ306" s="204"/>
    </row>
    <row r="307" spans="2:62" ht="12.75" customHeight="1" x14ac:dyDescent="0.35">
      <c r="B307" s="126" t="s">
        <v>27</v>
      </c>
      <c r="C307" s="5" t="s">
        <v>5</v>
      </c>
      <c r="D307" s="5" t="s">
        <v>312</v>
      </c>
      <c r="E307" s="5" t="s">
        <v>313</v>
      </c>
      <c r="F307" s="128">
        <v>1052764</v>
      </c>
      <c r="G307" s="129" t="s">
        <v>186</v>
      </c>
      <c r="H307" s="139">
        <v>0</v>
      </c>
      <c r="I307" s="139">
        <v>0</v>
      </c>
      <c r="J307" s="125">
        <v>0</v>
      </c>
      <c r="K307" s="125">
        <v>0</v>
      </c>
      <c r="L307" s="130">
        <v>0</v>
      </c>
      <c r="M307" s="123">
        <v>0</v>
      </c>
      <c r="N307" s="130">
        <v>0</v>
      </c>
      <c r="O307" s="130">
        <v>0</v>
      </c>
      <c r="P307" s="123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125">
        <v>0</v>
      </c>
      <c r="Y307" s="125" t="s">
        <v>574</v>
      </c>
      <c r="Z307" s="125"/>
      <c r="AA307" s="112">
        <v>0</v>
      </c>
      <c r="AB307" s="112">
        <v>0</v>
      </c>
      <c r="AC307" s="8"/>
      <c r="AD307" s="109"/>
      <c r="AE307" s="66" t="s">
        <v>574</v>
      </c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6"/>
      <c r="AW307" s="66"/>
      <c r="AX307" s="66"/>
      <c r="AY307" s="66"/>
      <c r="AZ307" s="66"/>
      <c r="BA307" s="66"/>
      <c r="BB307" s="66"/>
      <c r="BC307" s="66"/>
      <c r="BD307" s="66"/>
      <c r="BE307" s="66"/>
      <c r="BF307" s="66"/>
      <c r="BG307" s="66"/>
      <c r="BH307" s="66"/>
      <c r="BI307" s="189" t="s">
        <v>1</v>
      </c>
      <c r="BJ307" s="204"/>
    </row>
    <row r="308" spans="2:62" ht="12.75" customHeight="1" x14ac:dyDescent="0.35">
      <c r="B308" s="126" t="s">
        <v>27</v>
      </c>
      <c r="C308" s="5" t="s">
        <v>5</v>
      </c>
      <c r="D308" s="5" t="s">
        <v>312</v>
      </c>
      <c r="E308" s="5" t="s">
        <v>313</v>
      </c>
      <c r="F308" s="174">
        <v>1083041</v>
      </c>
      <c r="G308" s="175" t="s">
        <v>784</v>
      </c>
      <c r="H308" s="139">
        <v>0</v>
      </c>
      <c r="I308" s="139">
        <v>0</v>
      </c>
      <c r="J308" s="125">
        <v>0</v>
      </c>
      <c r="K308" s="125">
        <v>65</v>
      </c>
      <c r="L308" s="130">
        <v>88.92</v>
      </c>
      <c r="M308" s="123">
        <v>0</v>
      </c>
      <c r="N308" s="130">
        <v>88.92</v>
      </c>
      <c r="O308" s="130">
        <v>0</v>
      </c>
      <c r="P308" s="123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125">
        <v>0</v>
      </c>
      <c r="Y308" s="125" t="s">
        <v>574</v>
      </c>
      <c r="Z308" s="125"/>
      <c r="AA308" s="112">
        <v>0</v>
      </c>
      <c r="AB308" s="112">
        <v>0</v>
      </c>
      <c r="AC308" s="8"/>
      <c r="AD308" s="109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/>
      <c r="BB308" s="66"/>
      <c r="BC308" s="66"/>
      <c r="BD308" s="66"/>
      <c r="BE308" s="66"/>
      <c r="BF308" s="66"/>
      <c r="BG308" s="66"/>
      <c r="BH308" s="66"/>
      <c r="BI308" s="189" t="s">
        <v>1</v>
      </c>
      <c r="BJ308" s="204"/>
    </row>
    <row r="309" spans="2:62" ht="12.75" customHeight="1" x14ac:dyDescent="0.35">
      <c r="B309" s="126" t="s">
        <v>27</v>
      </c>
      <c r="C309" s="5" t="s">
        <v>5</v>
      </c>
      <c r="D309" s="5" t="s">
        <v>312</v>
      </c>
      <c r="E309" s="5" t="s">
        <v>313</v>
      </c>
      <c r="F309" s="128">
        <v>1079455</v>
      </c>
      <c r="G309" s="129" t="s">
        <v>715</v>
      </c>
      <c r="H309" s="139">
        <v>0</v>
      </c>
      <c r="I309" s="139">
        <v>0</v>
      </c>
      <c r="J309" s="125">
        <v>0</v>
      </c>
      <c r="K309" s="125">
        <v>0</v>
      </c>
      <c r="L309" s="130">
        <v>0</v>
      </c>
      <c r="M309" s="123">
        <v>0</v>
      </c>
      <c r="N309" s="130">
        <v>0</v>
      </c>
      <c r="O309" s="130">
        <v>0</v>
      </c>
      <c r="P309" s="123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125">
        <v>0</v>
      </c>
      <c r="Y309" s="125" t="s">
        <v>574</v>
      </c>
      <c r="Z309" s="125"/>
      <c r="AA309" s="112">
        <v>0</v>
      </c>
      <c r="AB309" s="112">
        <v>0</v>
      </c>
      <c r="AC309" s="8"/>
      <c r="AD309" s="109"/>
      <c r="AE309" s="66">
        <v>6.2452717261192241</v>
      </c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  <c r="AZ309" s="66"/>
      <c r="BA309" s="66"/>
      <c r="BB309" s="66"/>
      <c r="BC309" s="66"/>
      <c r="BD309" s="66"/>
      <c r="BE309" s="66"/>
      <c r="BF309" s="66"/>
      <c r="BG309" s="66"/>
      <c r="BH309" s="66"/>
      <c r="BI309" s="188" t="s">
        <v>1</v>
      </c>
      <c r="BJ309" s="204"/>
    </row>
    <row r="310" spans="2:62" ht="12.75" customHeight="1" x14ac:dyDescent="0.35">
      <c r="B310" s="126" t="s">
        <v>27</v>
      </c>
      <c r="C310" s="5" t="s">
        <v>5</v>
      </c>
      <c r="D310" s="5" t="s">
        <v>312</v>
      </c>
      <c r="E310" s="5" t="s">
        <v>313</v>
      </c>
      <c r="F310" s="128">
        <v>1066687</v>
      </c>
      <c r="G310" s="129" t="s">
        <v>521</v>
      </c>
      <c r="H310" s="139">
        <v>0</v>
      </c>
      <c r="I310" s="139">
        <v>0</v>
      </c>
      <c r="J310" s="125">
        <v>0</v>
      </c>
      <c r="K310" s="125">
        <v>0</v>
      </c>
      <c r="L310" s="130">
        <v>0</v>
      </c>
      <c r="M310" s="123">
        <v>0</v>
      </c>
      <c r="N310" s="130">
        <v>0</v>
      </c>
      <c r="O310" s="130">
        <v>0</v>
      </c>
      <c r="P310" s="123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125">
        <v>0</v>
      </c>
      <c r="Y310" s="125" t="s">
        <v>574</v>
      </c>
      <c r="Z310" s="125"/>
      <c r="AA310" s="112">
        <v>0</v>
      </c>
      <c r="AB310" s="112">
        <v>0</v>
      </c>
      <c r="AC310" s="8"/>
      <c r="AD310" s="109"/>
      <c r="AE310" s="66" t="s">
        <v>574</v>
      </c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6"/>
      <c r="AW310" s="66"/>
      <c r="AX310" s="66"/>
      <c r="AY310" s="66"/>
      <c r="AZ310" s="66"/>
      <c r="BA310" s="66"/>
      <c r="BB310" s="66"/>
      <c r="BC310" s="66"/>
      <c r="BD310" s="66"/>
      <c r="BE310" s="66"/>
      <c r="BF310" s="66"/>
      <c r="BG310" s="66"/>
      <c r="BH310" s="66"/>
      <c r="BI310" s="189" t="s">
        <v>1</v>
      </c>
      <c r="BJ310" s="204"/>
    </row>
    <row r="311" spans="2:62" ht="12.75" customHeight="1" x14ac:dyDescent="0.35">
      <c r="B311" s="126" t="s">
        <v>27</v>
      </c>
      <c r="C311" s="5" t="s">
        <v>5</v>
      </c>
      <c r="D311" s="5" t="s">
        <v>312</v>
      </c>
      <c r="E311" s="5" t="s">
        <v>313</v>
      </c>
      <c r="F311" s="128">
        <v>1079459</v>
      </c>
      <c r="G311" s="129" t="s">
        <v>711</v>
      </c>
      <c r="H311" s="139">
        <v>0</v>
      </c>
      <c r="I311" s="139">
        <v>0</v>
      </c>
      <c r="J311" s="125">
        <v>0</v>
      </c>
      <c r="K311" s="125">
        <v>0</v>
      </c>
      <c r="L311" s="130">
        <v>0</v>
      </c>
      <c r="M311" s="123">
        <v>0</v>
      </c>
      <c r="N311" s="130">
        <v>0</v>
      </c>
      <c r="O311" s="130">
        <v>0</v>
      </c>
      <c r="P311" s="123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125">
        <v>0</v>
      </c>
      <c r="Y311" s="125" t="s">
        <v>574</v>
      </c>
      <c r="Z311" s="125"/>
      <c r="AA311" s="112">
        <v>0</v>
      </c>
      <c r="AB311" s="112">
        <v>0</v>
      </c>
      <c r="AC311" s="8"/>
      <c r="AD311" s="109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66"/>
      <c r="AU311" s="66"/>
      <c r="AV311" s="66"/>
      <c r="AW311" s="66"/>
      <c r="AX311" s="66"/>
      <c r="AY311" s="66"/>
      <c r="AZ311" s="66"/>
      <c r="BA311" s="66"/>
      <c r="BB311" s="66"/>
      <c r="BC311" s="66"/>
      <c r="BD311" s="66"/>
      <c r="BE311" s="66"/>
      <c r="BF311" s="66"/>
      <c r="BG311" s="66"/>
      <c r="BH311" s="66"/>
      <c r="BI311" s="188" t="s">
        <v>1</v>
      </c>
      <c r="BJ311" s="204"/>
    </row>
    <row r="312" spans="2:62" ht="12.75" customHeight="1" x14ac:dyDescent="0.35">
      <c r="B312" s="126" t="s">
        <v>27</v>
      </c>
      <c r="C312" s="5" t="s">
        <v>5</v>
      </c>
      <c r="D312" s="5" t="s">
        <v>312</v>
      </c>
      <c r="E312" s="5" t="s">
        <v>313</v>
      </c>
      <c r="F312" s="128">
        <v>1066690</v>
      </c>
      <c r="G312" s="129" t="s">
        <v>523</v>
      </c>
      <c r="H312" s="139">
        <v>0</v>
      </c>
      <c r="I312" s="139">
        <v>0</v>
      </c>
      <c r="J312" s="125">
        <v>0</v>
      </c>
      <c r="K312" s="125">
        <v>0</v>
      </c>
      <c r="L312" s="130">
        <v>0</v>
      </c>
      <c r="M312" s="123">
        <v>0</v>
      </c>
      <c r="N312" s="130">
        <v>0</v>
      </c>
      <c r="O312" s="130">
        <v>0</v>
      </c>
      <c r="P312" s="123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125">
        <v>0</v>
      </c>
      <c r="Y312" s="125" t="s">
        <v>574</v>
      </c>
      <c r="Z312" s="125"/>
      <c r="AA312" s="112">
        <v>0</v>
      </c>
      <c r="AB312" s="112">
        <v>0</v>
      </c>
      <c r="AC312" s="8"/>
      <c r="AD312" s="109"/>
      <c r="AE312" s="66" t="s">
        <v>574</v>
      </c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66"/>
      <c r="AU312" s="66"/>
      <c r="AV312" s="66"/>
      <c r="AW312" s="66"/>
      <c r="AX312" s="66"/>
      <c r="AY312" s="66"/>
      <c r="AZ312" s="66"/>
      <c r="BA312" s="66"/>
      <c r="BB312" s="66"/>
      <c r="BC312" s="66"/>
      <c r="BD312" s="66"/>
      <c r="BE312" s="66"/>
      <c r="BF312" s="66"/>
      <c r="BG312" s="66"/>
      <c r="BH312" s="66"/>
      <c r="BI312" s="189" t="s">
        <v>1</v>
      </c>
      <c r="BJ312" s="204"/>
    </row>
    <row r="313" spans="2:62" ht="12.75" customHeight="1" x14ac:dyDescent="0.35">
      <c r="B313" s="126" t="s">
        <v>27</v>
      </c>
      <c r="C313" s="5" t="s">
        <v>5</v>
      </c>
      <c r="D313" s="5" t="s">
        <v>312</v>
      </c>
      <c r="E313" s="5" t="s">
        <v>313</v>
      </c>
      <c r="F313" s="128">
        <v>1079458</v>
      </c>
      <c r="G313" s="129" t="s">
        <v>716</v>
      </c>
      <c r="H313" s="139">
        <v>0</v>
      </c>
      <c r="I313" s="139">
        <v>0</v>
      </c>
      <c r="J313" s="125">
        <v>0</v>
      </c>
      <c r="K313" s="125">
        <v>0</v>
      </c>
      <c r="L313" s="130">
        <v>0</v>
      </c>
      <c r="M313" s="123">
        <v>0</v>
      </c>
      <c r="N313" s="130">
        <v>0</v>
      </c>
      <c r="O313" s="130">
        <v>0</v>
      </c>
      <c r="P313" s="123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125">
        <v>0</v>
      </c>
      <c r="Y313" s="125" t="s">
        <v>574</v>
      </c>
      <c r="Z313" s="125"/>
      <c r="AA313" s="112">
        <v>0</v>
      </c>
      <c r="AB313" s="112">
        <v>0</v>
      </c>
      <c r="AC313" s="8"/>
      <c r="AD313" s="109"/>
      <c r="AE313" s="66">
        <v>21.740762877635298</v>
      </c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66"/>
      <c r="AU313" s="66"/>
      <c r="AV313" s="66"/>
      <c r="AW313" s="66"/>
      <c r="AX313" s="66"/>
      <c r="AY313" s="66"/>
      <c r="AZ313" s="66"/>
      <c r="BA313" s="66"/>
      <c r="BB313" s="66"/>
      <c r="BC313" s="66"/>
      <c r="BD313" s="66"/>
      <c r="BE313" s="66"/>
      <c r="BF313" s="66"/>
      <c r="BG313" s="66"/>
      <c r="BH313" s="66"/>
      <c r="BI313" s="188" t="s">
        <v>1</v>
      </c>
      <c r="BJ313" s="204"/>
    </row>
    <row r="314" spans="2:62" ht="12.75" customHeight="1" x14ac:dyDescent="0.35">
      <c r="B314" s="126" t="s">
        <v>27</v>
      </c>
      <c r="C314" s="5" t="s">
        <v>5</v>
      </c>
      <c r="D314" s="5" t="s">
        <v>312</v>
      </c>
      <c r="E314" s="5" t="s">
        <v>313</v>
      </c>
      <c r="F314" s="128">
        <v>1066689</v>
      </c>
      <c r="G314" s="129" t="s">
        <v>522</v>
      </c>
      <c r="H314" s="139">
        <v>0</v>
      </c>
      <c r="I314" s="139">
        <v>0</v>
      </c>
      <c r="J314" s="125">
        <v>0</v>
      </c>
      <c r="K314" s="125">
        <v>0</v>
      </c>
      <c r="L314" s="130">
        <v>0</v>
      </c>
      <c r="M314" s="123">
        <v>0</v>
      </c>
      <c r="N314" s="130">
        <v>0</v>
      </c>
      <c r="O314" s="130">
        <v>0</v>
      </c>
      <c r="P314" s="123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125">
        <v>0</v>
      </c>
      <c r="Y314" s="125" t="s">
        <v>574</v>
      </c>
      <c r="Z314" s="125"/>
      <c r="AA314" s="112">
        <v>0</v>
      </c>
      <c r="AB314" s="112">
        <v>0</v>
      </c>
      <c r="AC314" s="8"/>
      <c r="AD314" s="109"/>
      <c r="AE314" s="66" t="s">
        <v>574</v>
      </c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6"/>
      <c r="AW314" s="66"/>
      <c r="AX314" s="66"/>
      <c r="AY314" s="66"/>
      <c r="AZ314" s="66"/>
      <c r="BA314" s="66"/>
      <c r="BB314" s="66"/>
      <c r="BC314" s="66"/>
      <c r="BD314" s="66"/>
      <c r="BE314" s="66"/>
      <c r="BF314" s="66"/>
      <c r="BG314" s="66"/>
      <c r="BH314" s="66"/>
      <c r="BI314" s="189" t="s">
        <v>1</v>
      </c>
      <c r="BJ314" s="204"/>
    </row>
    <row r="315" spans="2:62" ht="12.75" customHeight="1" x14ac:dyDescent="0.35">
      <c r="B315" s="126" t="s">
        <v>27</v>
      </c>
      <c r="C315" s="5" t="s">
        <v>5</v>
      </c>
      <c r="D315" s="5" t="s">
        <v>312</v>
      </c>
      <c r="E315" s="5" t="s">
        <v>313</v>
      </c>
      <c r="F315" s="128">
        <v>1079457</v>
      </c>
      <c r="G315" s="129" t="s">
        <v>713</v>
      </c>
      <c r="H315" s="139">
        <v>0</v>
      </c>
      <c r="I315" s="139">
        <v>0</v>
      </c>
      <c r="J315" s="125">
        <v>0</v>
      </c>
      <c r="K315" s="125">
        <v>0</v>
      </c>
      <c r="L315" s="130">
        <v>0</v>
      </c>
      <c r="M315" s="123">
        <v>0</v>
      </c>
      <c r="N315" s="130">
        <v>0</v>
      </c>
      <c r="O315" s="130">
        <v>0</v>
      </c>
      <c r="P315" s="123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125">
        <v>0</v>
      </c>
      <c r="Y315" s="125" t="s">
        <v>574</v>
      </c>
      <c r="Z315" s="125"/>
      <c r="AA315" s="112">
        <v>0</v>
      </c>
      <c r="AB315" s="112">
        <v>0</v>
      </c>
      <c r="AC315" s="8"/>
      <c r="AD315" s="109"/>
      <c r="AE315" s="66" t="s">
        <v>574</v>
      </c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/>
      <c r="AU315" s="66"/>
      <c r="AV315" s="66"/>
      <c r="AW315" s="66"/>
      <c r="AX315" s="66"/>
      <c r="AY315" s="66"/>
      <c r="AZ315" s="66"/>
      <c r="BA315" s="66"/>
      <c r="BB315" s="66"/>
      <c r="BC315" s="66"/>
      <c r="BD315" s="66"/>
      <c r="BE315" s="66"/>
      <c r="BF315" s="66"/>
      <c r="BG315" s="66"/>
      <c r="BH315" s="66"/>
      <c r="BI315" s="188" t="s">
        <v>1</v>
      </c>
      <c r="BJ315" s="204"/>
    </row>
    <row r="316" spans="2:62" ht="12.75" customHeight="1" x14ac:dyDescent="0.35">
      <c r="B316" s="126" t="s">
        <v>27</v>
      </c>
      <c r="C316" s="5" t="s">
        <v>5</v>
      </c>
      <c r="D316" s="5" t="s">
        <v>312</v>
      </c>
      <c r="E316" s="5" t="s">
        <v>313</v>
      </c>
      <c r="F316" s="128">
        <v>1066688</v>
      </c>
      <c r="G316" s="129" t="s">
        <v>519</v>
      </c>
      <c r="H316" s="139">
        <v>0</v>
      </c>
      <c r="I316" s="139">
        <v>0</v>
      </c>
      <c r="J316" s="125">
        <v>0</v>
      </c>
      <c r="K316" s="125">
        <v>0</v>
      </c>
      <c r="L316" s="130">
        <v>0</v>
      </c>
      <c r="M316" s="123">
        <v>0</v>
      </c>
      <c r="N316" s="130">
        <v>0</v>
      </c>
      <c r="O316" s="130">
        <v>0</v>
      </c>
      <c r="P316" s="123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125">
        <v>0</v>
      </c>
      <c r="Y316" s="125" t="s">
        <v>574</v>
      </c>
      <c r="Z316" s="125"/>
      <c r="AA316" s="112">
        <v>0</v>
      </c>
      <c r="AB316" s="112">
        <v>0</v>
      </c>
      <c r="AC316" s="8"/>
      <c r="AD316" s="109"/>
      <c r="AE316" s="66" t="s">
        <v>574</v>
      </c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/>
      <c r="AU316" s="66"/>
      <c r="AV316" s="66"/>
      <c r="AW316" s="66"/>
      <c r="AX316" s="66"/>
      <c r="AY316" s="66"/>
      <c r="AZ316" s="66"/>
      <c r="BA316" s="66"/>
      <c r="BB316" s="66"/>
      <c r="BC316" s="66"/>
      <c r="BD316" s="66"/>
      <c r="BE316" s="66"/>
      <c r="BF316" s="66"/>
      <c r="BG316" s="66"/>
      <c r="BH316" s="66"/>
      <c r="BI316" s="189" t="s">
        <v>1</v>
      </c>
      <c r="BJ316" s="204"/>
    </row>
    <row r="317" spans="2:62" ht="12.75" customHeight="1" x14ac:dyDescent="0.35">
      <c r="B317" s="126" t="s">
        <v>27</v>
      </c>
      <c r="C317" s="5" t="s">
        <v>5</v>
      </c>
      <c r="D317" s="5" t="s">
        <v>312</v>
      </c>
      <c r="E317" s="5" t="s">
        <v>313</v>
      </c>
      <c r="F317" s="128">
        <v>1066686</v>
      </c>
      <c r="G317" s="129" t="s">
        <v>520</v>
      </c>
      <c r="H317" s="139">
        <v>0</v>
      </c>
      <c r="I317" s="139">
        <v>0</v>
      </c>
      <c r="J317" s="125">
        <v>0</v>
      </c>
      <c r="K317" s="125">
        <v>0</v>
      </c>
      <c r="L317" s="130">
        <v>0</v>
      </c>
      <c r="M317" s="123">
        <v>0</v>
      </c>
      <c r="N317" s="130">
        <v>0</v>
      </c>
      <c r="O317" s="130">
        <v>0</v>
      </c>
      <c r="P317" s="123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125">
        <v>0</v>
      </c>
      <c r="Y317" s="125" t="s">
        <v>574</v>
      </c>
      <c r="Z317" s="125"/>
      <c r="AA317" s="112">
        <v>0</v>
      </c>
      <c r="AB317" s="112">
        <v>0</v>
      </c>
      <c r="AC317" s="8"/>
      <c r="AD317" s="109"/>
      <c r="AE317" s="66" t="s">
        <v>574</v>
      </c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6"/>
      <c r="AS317" s="66"/>
      <c r="AT317" s="66"/>
      <c r="AU317" s="66"/>
      <c r="AV317" s="66"/>
      <c r="AW317" s="66"/>
      <c r="AX317" s="66"/>
      <c r="AY317" s="66"/>
      <c r="AZ317" s="66"/>
      <c r="BA317" s="66"/>
      <c r="BB317" s="66"/>
      <c r="BC317" s="66"/>
      <c r="BD317" s="66"/>
      <c r="BE317" s="66"/>
      <c r="BF317" s="66"/>
      <c r="BG317" s="66"/>
      <c r="BH317" s="66"/>
      <c r="BI317" s="189" t="s">
        <v>1</v>
      </c>
      <c r="BJ317" s="204"/>
    </row>
    <row r="318" spans="2:62" ht="12.75" customHeight="1" x14ac:dyDescent="0.35">
      <c r="B318" s="126" t="s">
        <v>27</v>
      </c>
      <c r="C318" s="5" t="s">
        <v>5</v>
      </c>
      <c r="D318" s="5" t="s">
        <v>312</v>
      </c>
      <c r="E318" s="5" t="s">
        <v>313</v>
      </c>
      <c r="F318" s="128">
        <v>1079454</v>
      </c>
      <c r="G318" s="140" t="s">
        <v>712</v>
      </c>
      <c r="H318" s="139">
        <v>0</v>
      </c>
      <c r="I318" s="139">
        <v>0</v>
      </c>
      <c r="J318" s="125">
        <v>0</v>
      </c>
      <c r="K318" s="125">
        <v>0</v>
      </c>
      <c r="L318" s="130">
        <v>0</v>
      </c>
      <c r="M318" s="123">
        <v>0</v>
      </c>
      <c r="N318" s="130">
        <v>0</v>
      </c>
      <c r="O318" s="130">
        <v>0</v>
      </c>
      <c r="P318" s="123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125">
        <v>0</v>
      </c>
      <c r="Y318" s="125" t="s">
        <v>574</v>
      </c>
      <c r="Z318" s="125"/>
      <c r="AA318" s="112">
        <v>0</v>
      </c>
      <c r="AB318" s="112">
        <v>0</v>
      </c>
      <c r="AC318" s="8"/>
      <c r="AD318" s="109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66"/>
      <c r="AU318" s="66"/>
      <c r="AV318" s="66"/>
      <c r="AW318" s="66"/>
      <c r="AX318" s="66"/>
      <c r="AY318" s="66"/>
      <c r="AZ318" s="66"/>
      <c r="BA318" s="66"/>
      <c r="BB318" s="66"/>
      <c r="BC318" s="66"/>
      <c r="BD318" s="66"/>
      <c r="BE318" s="66"/>
      <c r="BF318" s="66"/>
      <c r="BG318" s="66"/>
      <c r="BH318" s="66"/>
      <c r="BI318" s="188"/>
      <c r="BJ318" s="204"/>
    </row>
    <row r="319" spans="2:62" ht="12.75" customHeight="1" x14ac:dyDescent="0.35">
      <c r="B319" s="126" t="s">
        <v>27</v>
      </c>
      <c r="C319" s="5" t="s">
        <v>5</v>
      </c>
      <c r="D319" s="127" t="s">
        <v>312</v>
      </c>
      <c r="E319" s="5" t="s">
        <v>313</v>
      </c>
      <c r="F319" s="128">
        <v>1079456</v>
      </c>
      <c r="G319" s="129" t="s">
        <v>714</v>
      </c>
      <c r="H319" s="139">
        <v>0</v>
      </c>
      <c r="I319" s="139">
        <v>0</v>
      </c>
      <c r="J319" s="125">
        <v>0</v>
      </c>
      <c r="K319" s="125">
        <v>0</v>
      </c>
      <c r="L319" s="130">
        <v>0</v>
      </c>
      <c r="M319" s="123">
        <v>0</v>
      </c>
      <c r="N319" s="130">
        <v>0</v>
      </c>
      <c r="O319" s="130">
        <v>0</v>
      </c>
      <c r="P319" s="123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125">
        <v>0</v>
      </c>
      <c r="Y319" s="125" t="s">
        <v>574</v>
      </c>
      <c r="Z319" s="125"/>
      <c r="AA319" s="112">
        <v>0</v>
      </c>
      <c r="AB319" s="112">
        <v>0</v>
      </c>
      <c r="AC319" s="8"/>
      <c r="AD319" s="67"/>
      <c r="AE319" s="66">
        <v>23.169208028629221</v>
      </c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66"/>
      <c r="AU319" s="66"/>
      <c r="AV319" s="66"/>
      <c r="AW319" s="66"/>
      <c r="AX319" s="66"/>
      <c r="AY319" s="66"/>
      <c r="AZ319" s="66"/>
      <c r="BA319" s="66"/>
      <c r="BB319" s="66"/>
      <c r="BC319" s="66"/>
      <c r="BD319" s="66"/>
      <c r="BE319" s="66"/>
      <c r="BF319" s="66"/>
      <c r="BG319" s="66"/>
      <c r="BH319" s="66"/>
      <c r="BI319" s="188" t="s">
        <v>1</v>
      </c>
      <c r="BJ319" s="204"/>
    </row>
    <row r="320" spans="2:62" ht="12.75" customHeight="1" x14ac:dyDescent="0.35">
      <c r="B320" s="126" t="s">
        <v>27</v>
      </c>
      <c r="C320" s="5" t="s">
        <v>5</v>
      </c>
      <c r="D320" s="5" t="s">
        <v>312</v>
      </c>
      <c r="E320" s="5" t="s">
        <v>313</v>
      </c>
      <c r="F320" s="128">
        <v>1077086</v>
      </c>
      <c r="G320" s="129" t="s">
        <v>669</v>
      </c>
      <c r="H320" s="139">
        <v>0</v>
      </c>
      <c r="I320" s="139">
        <v>0</v>
      </c>
      <c r="J320" s="125">
        <v>0</v>
      </c>
      <c r="K320" s="125">
        <v>19</v>
      </c>
      <c r="L320" s="130">
        <v>4.3319999999999999</v>
      </c>
      <c r="M320" s="123">
        <v>0</v>
      </c>
      <c r="N320" s="130">
        <v>4.3319999999999999</v>
      </c>
      <c r="O320" s="130">
        <v>0</v>
      </c>
      <c r="P320" s="123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125">
        <v>0</v>
      </c>
      <c r="Y320" s="125" t="s">
        <v>574</v>
      </c>
      <c r="Z320" s="125"/>
      <c r="AA320" s="112">
        <v>0</v>
      </c>
      <c r="AB320" s="112">
        <v>0</v>
      </c>
      <c r="AC320" s="8"/>
      <c r="AD320" s="109"/>
      <c r="AE320" s="66">
        <v>1.667721513123342</v>
      </c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66"/>
      <c r="AU320" s="66"/>
      <c r="AV320" s="66"/>
      <c r="AW320" s="66"/>
      <c r="AX320" s="66"/>
      <c r="AY320" s="66"/>
      <c r="AZ320" s="66"/>
      <c r="BA320" s="66"/>
      <c r="BB320" s="66"/>
      <c r="BC320" s="66"/>
      <c r="BD320" s="66"/>
      <c r="BE320" s="66"/>
      <c r="BF320" s="66"/>
      <c r="BG320" s="66"/>
      <c r="BH320" s="66"/>
      <c r="BI320" s="188" t="s">
        <v>1</v>
      </c>
      <c r="BJ320" s="204"/>
    </row>
    <row r="321" spans="2:62" ht="12.75" customHeight="1" x14ac:dyDescent="0.35">
      <c r="B321" s="126" t="s">
        <v>27</v>
      </c>
      <c r="C321" s="5" t="s">
        <v>5</v>
      </c>
      <c r="D321" s="5" t="s">
        <v>312</v>
      </c>
      <c r="E321" s="5" t="s">
        <v>313</v>
      </c>
      <c r="F321" s="128">
        <v>1072812</v>
      </c>
      <c r="G321" s="129" t="s">
        <v>642</v>
      </c>
      <c r="H321" s="139">
        <v>0</v>
      </c>
      <c r="I321" s="139">
        <v>0</v>
      </c>
      <c r="J321" s="125">
        <v>0</v>
      </c>
      <c r="K321" s="125">
        <v>0</v>
      </c>
      <c r="L321" s="130">
        <v>0</v>
      </c>
      <c r="M321" s="123">
        <v>0</v>
      </c>
      <c r="N321" s="130">
        <v>0</v>
      </c>
      <c r="O321" s="130">
        <v>0</v>
      </c>
      <c r="P321" s="123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125">
        <v>0</v>
      </c>
      <c r="Y321" s="125" t="s">
        <v>574</v>
      </c>
      <c r="Z321" s="125"/>
      <c r="AA321" s="112">
        <v>0</v>
      </c>
      <c r="AB321" s="112">
        <v>0</v>
      </c>
      <c r="AC321" s="8"/>
      <c r="AD321" s="109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66"/>
      <c r="AU321" s="66"/>
      <c r="AV321" s="66"/>
      <c r="AW321" s="66"/>
      <c r="AX321" s="66"/>
      <c r="AY321" s="66"/>
      <c r="AZ321" s="66"/>
      <c r="BA321" s="66"/>
      <c r="BB321" s="66"/>
      <c r="BC321" s="66"/>
      <c r="BD321" s="66"/>
      <c r="BE321" s="66"/>
      <c r="BF321" s="66"/>
      <c r="BG321" s="66"/>
      <c r="BH321" s="66"/>
      <c r="BI321" s="189"/>
      <c r="BJ321" s="204"/>
    </row>
    <row r="322" spans="2:62" ht="12.75" customHeight="1" x14ac:dyDescent="0.35">
      <c r="B322" s="126" t="s">
        <v>27</v>
      </c>
      <c r="C322" s="5" t="s">
        <v>5</v>
      </c>
      <c r="D322" s="5" t="s">
        <v>312</v>
      </c>
      <c r="E322" s="5" t="s">
        <v>313</v>
      </c>
      <c r="F322" s="128">
        <v>1063068</v>
      </c>
      <c r="G322" s="129" t="s">
        <v>414</v>
      </c>
      <c r="H322" s="139">
        <v>0</v>
      </c>
      <c r="I322" s="139">
        <v>0</v>
      </c>
      <c r="J322" s="125">
        <v>0</v>
      </c>
      <c r="K322" s="125">
        <v>0</v>
      </c>
      <c r="L322" s="130">
        <v>0</v>
      </c>
      <c r="M322" s="123">
        <v>0</v>
      </c>
      <c r="N322" s="130">
        <v>0</v>
      </c>
      <c r="O322" s="130">
        <v>0</v>
      </c>
      <c r="P322" s="123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125">
        <v>0</v>
      </c>
      <c r="Y322" s="125" t="s">
        <v>574</v>
      </c>
      <c r="Z322" s="125"/>
      <c r="AA322" s="112">
        <v>0</v>
      </c>
      <c r="AB322" s="112">
        <v>0</v>
      </c>
      <c r="AC322" s="8"/>
      <c r="AD322" s="109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66"/>
      <c r="AU322" s="66"/>
      <c r="AV322" s="66"/>
      <c r="AW322" s="66"/>
      <c r="AX322" s="66"/>
      <c r="AY322" s="66"/>
      <c r="AZ322" s="66"/>
      <c r="BA322" s="66"/>
      <c r="BB322" s="66"/>
      <c r="BC322" s="66"/>
      <c r="BD322" s="66"/>
      <c r="BE322" s="66"/>
      <c r="BF322" s="66"/>
      <c r="BG322" s="66"/>
      <c r="BH322" s="66"/>
      <c r="BI322" s="188"/>
      <c r="BJ322" s="204"/>
    </row>
    <row r="323" spans="2:62" ht="12.75" customHeight="1" x14ac:dyDescent="0.35">
      <c r="B323" s="126" t="s">
        <v>27</v>
      </c>
      <c r="C323" s="5" t="s">
        <v>5</v>
      </c>
      <c r="D323" s="5" t="s">
        <v>312</v>
      </c>
      <c r="E323" s="5" t="s">
        <v>313</v>
      </c>
      <c r="F323" s="132">
        <v>1076485</v>
      </c>
      <c r="G323" s="133" t="s">
        <v>668</v>
      </c>
      <c r="H323" s="139">
        <v>0</v>
      </c>
      <c r="I323" s="139">
        <v>0</v>
      </c>
      <c r="J323" s="125">
        <v>0</v>
      </c>
      <c r="K323" s="125">
        <v>24</v>
      </c>
      <c r="L323" s="130">
        <v>5.4720000000000004</v>
      </c>
      <c r="M323" s="123">
        <v>0</v>
      </c>
      <c r="N323" s="130">
        <v>5.4720000000000004</v>
      </c>
      <c r="O323" s="130">
        <v>0</v>
      </c>
      <c r="P323" s="123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125">
        <v>0</v>
      </c>
      <c r="Y323" s="125" t="s">
        <v>574</v>
      </c>
      <c r="Z323" s="125"/>
      <c r="AA323" s="112">
        <v>0</v>
      </c>
      <c r="AB323" s="112">
        <v>0</v>
      </c>
      <c r="AC323" s="8"/>
      <c r="AD323" s="109"/>
      <c r="AE323" s="66">
        <v>22.802101576182135</v>
      </c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66"/>
      <c r="AU323" s="66"/>
      <c r="AV323" s="66"/>
      <c r="AW323" s="66"/>
      <c r="AX323" s="66"/>
      <c r="AY323" s="66"/>
      <c r="AZ323" s="66"/>
      <c r="BA323" s="66"/>
      <c r="BB323" s="66"/>
      <c r="BC323" s="66"/>
      <c r="BD323" s="66"/>
      <c r="BE323" s="66"/>
      <c r="BF323" s="66"/>
      <c r="BG323" s="66"/>
      <c r="BH323" s="66"/>
      <c r="BI323" s="188" t="s">
        <v>1</v>
      </c>
      <c r="BJ323" s="204"/>
    </row>
    <row r="324" spans="2:62" ht="12.75" customHeight="1" x14ac:dyDescent="0.35">
      <c r="B324" s="126" t="s">
        <v>27</v>
      </c>
      <c r="C324" s="5" t="s">
        <v>5</v>
      </c>
      <c r="D324" s="5" t="s">
        <v>312</v>
      </c>
      <c r="E324" s="5" t="s">
        <v>313</v>
      </c>
      <c r="F324" s="128">
        <v>1052766</v>
      </c>
      <c r="G324" s="129" t="s">
        <v>190</v>
      </c>
      <c r="H324" s="139">
        <v>0</v>
      </c>
      <c r="I324" s="139">
        <v>0</v>
      </c>
      <c r="J324" s="125">
        <v>0</v>
      </c>
      <c r="K324" s="125">
        <v>0</v>
      </c>
      <c r="L324" s="130">
        <v>0</v>
      </c>
      <c r="M324" s="123">
        <v>0</v>
      </c>
      <c r="N324" s="130">
        <v>0</v>
      </c>
      <c r="O324" s="130">
        <v>0</v>
      </c>
      <c r="P324" s="123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125">
        <v>0</v>
      </c>
      <c r="Y324" s="125" t="s">
        <v>574</v>
      </c>
      <c r="Z324" s="125"/>
      <c r="AA324" s="112">
        <v>0</v>
      </c>
      <c r="AB324" s="112">
        <v>0</v>
      </c>
      <c r="AC324" s="8"/>
      <c r="AD324" s="109"/>
      <c r="AE324" s="66" t="s">
        <v>574</v>
      </c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6"/>
      <c r="AW324" s="66"/>
      <c r="AX324" s="66"/>
      <c r="AY324" s="66"/>
      <c r="AZ324" s="66"/>
      <c r="BA324" s="66"/>
      <c r="BB324" s="66"/>
      <c r="BC324" s="66"/>
      <c r="BD324" s="66"/>
      <c r="BE324" s="66"/>
      <c r="BF324" s="66"/>
      <c r="BG324" s="66"/>
      <c r="BH324" s="66"/>
      <c r="BI324" s="189" t="s">
        <v>1</v>
      </c>
      <c r="BJ324" s="204"/>
    </row>
    <row r="325" spans="2:62" ht="12.75" customHeight="1" x14ac:dyDescent="0.35">
      <c r="B325" s="126" t="s">
        <v>27</v>
      </c>
      <c r="C325" s="5" t="s">
        <v>5</v>
      </c>
      <c r="D325" s="5" t="s">
        <v>312</v>
      </c>
      <c r="E325" s="5" t="s">
        <v>313</v>
      </c>
      <c r="F325" s="128">
        <v>1052773</v>
      </c>
      <c r="G325" s="129" t="s">
        <v>195</v>
      </c>
      <c r="H325" s="139">
        <v>0</v>
      </c>
      <c r="I325" s="139">
        <v>0</v>
      </c>
      <c r="J325" s="125">
        <v>0</v>
      </c>
      <c r="K325" s="125">
        <v>0</v>
      </c>
      <c r="L325" s="130">
        <v>0</v>
      </c>
      <c r="M325" s="123">
        <v>0</v>
      </c>
      <c r="N325" s="130">
        <v>0</v>
      </c>
      <c r="O325" s="130">
        <v>0</v>
      </c>
      <c r="P325" s="123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125">
        <v>0</v>
      </c>
      <c r="Y325" s="125" t="s">
        <v>574</v>
      </c>
      <c r="Z325" s="125"/>
      <c r="AA325" s="112">
        <v>0</v>
      </c>
      <c r="AB325" s="112">
        <v>0</v>
      </c>
      <c r="AC325" s="8"/>
      <c r="AD325" s="109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66"/>
      <c r="AU325" s="66"/>
      <c r="AV325" s="66"/>
      <c r="AW325" s="66"/>
      <c r="AX325" s="66"/>
      <c r="AY325" s="66"/>
      <c r="AZ325" s="66"/>
      <c r="BA325" s="66"/>
      <c r="BB325" s="66"/>
      <c r="BC325" s="66"/>
      <c r="BD325" s="66"/>
      <c r="BE325" s="66"/>
      <c r="BF325" s="66"/>
      <c r="BG325" s="66"/>
      <c r="BH325" s="66"/>
      <c r="BI325" s="189" t="s">
        <v>1</v>
      </c>
      <c r="BJ325" s="204"/>
    </row>
    <row r="326" spans="2:62" ht="12.75" customHeight="1" x14ac:dyDescent="0.35">
      <c r="B326" s="126" t="s">
        <v>27</v>
      </c>
      <c r="C326" s="5" t="s">
        <v>5</v>
      </c>
      <c r="D326" s="5" t="s">
        <v>312</v>
      </c>
      <c r="E326" s="5" t="s">
        <v>313</v>
      </c>
      <c r="F326" s="128">
        <v>1052765</v>
      </c>
      <c r="G326" s="129" t="s">
        <v>189</v>
      </c>
      <c r="H326" s="139">
        <v>0</v>
      </c>
      <c r="I326" s="139">
        <v>0</v>
      </c>
      <c r="J326" s="125">
        <v>0</v>
      </c>
      <c r="K326" s="125">
        <v>0</v>
      </c>
      <c r="L326" s="130">
        <v>0</v>
      </c>
      <c r="M326" s="123">
        <v>0</v>
      </c>
      <c r="N326" s="130">
        <v>0</v>
      </c>
      <c r="O326" s="130">
        <v>0</v>
      </c>
      <c r="P326" s="123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125">
        <v>0</v>
      </c>
      <c r="Y326" s="125" t="s">
        <v>574</v>
      </c>
      <c r="Z326" s="125"/>
      <c r="AA326" s="112">
        <v>0</v>
      </c>
      <c r="AB326" s="112">
        <v>0</v>
      </c>
      <c r="AC326" s="8"/>
      <c r="AD326" s="109"/>
      <c r="AE326" s="66" t="s">
        <v>574</v>
      </c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66"/>
      <c r="AU326" s="66"/>
      <c r="AV326" s="66"/>
      <c r="AW326" s="66"/>
      <c r="AX326" s="66"/>
      <c r="AY326" s="66"/>
      <c r="AZ326" s="66"/>
      <c r="BA326" s="66"/>
      <c r="BB326" s="66"/>
      <c r="BC326" s="66"/>
      <c r="BD326" s="66"/>
      <c r="BE326" s="66"/>
      <c r="BF326" s="66"/>
      <c r="BG326" s="66"/>
      <c r="BH326" s="66"/>
      <c r="BI326" s="189" t="s">
        <v>1</v>
      </c>
      <c r="BJ326" s="204"/>
    </row>
    <row r="327" spans="2:62" ht="12.75" customHeight="1" x14ac:dyDescent="0.35">
      <c r="B327" s="126" t="s">
        <v>27</v>
      </c>
      <c r="C327" s="5" t="s">
        <v>5</v>
      </c>
      <c r="D327" s="5" t="s">
        <v>312</v>
      </c>
      <c r="E327" s="5" t="s">
        <v>313</v>
      </c>
      <c r="F327" s="128">
        <v>1052772</v>
      </c>
      <c r="G327" s="129" t="s">
        <v>305</v>
      </c>
      <c r="H327" s="139">
        <v>0</v>
      </c>
      <c r="I327" s="139">
        <v>0</v>
      </c>
      <c r="J327" s="125">
        <v>0</v>
      </c>
      <c r="K327" s="125">
        <v>-522</v>
      </c>
      <c r="L327" s="130">
        <v>-125.28</v>
      </c>
      <c r="M327" s="123">
        <v>0</v>
      </c>
      <c r="N327" s="130">
        <v>125.28</v>
      </c>
      <c r="O327" s="130">
        <v>0</v>
      </c>
      <c r="P327" s="123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125">
        <v>0</v>
      </c>
      <c r="Y327" s="125" t="s">
        <v>574</v>
      </c>
      <c r="Z327" s="125"/>
      <c r="AA327" s="112">
        <v>0</v>
      </c>
      <c r="AB327" s="112">
        <v>0</v>
      </c>
      <c r="AC327" s="8"/>
      <c r="AD327" s="109"/>
      <c r="AE327" s="66">
        <v>15.599956031071377</v>
      </c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66"/>
      <c r="AU327" s="66"/>
      <c r="AV327" s="66"/>
      <c r="AW327" s="66"/>
      <c r="AX327" s="66"/>
      <c r="AY327" s="66"/>
      <c r="AZ327" s="66"/>
      <c r="BA327" s="66"/>
      <c r="BB327" s="66"/>
      <c r="BC327" s="66"/>
      <c r="BD327" s="66"/>
      <c r="BE327" s="66"/>
      <c r="BF327" s="66"/>
      <c r="BG327" s="66"/>
      <c r="BH327" s="66"/>
      <c r="BI327" s="189" t="s">
        <v>1</v>
      </c>
      <c r="BJ327" s="204"/>
    </row>
    <row r="328" spans="2:62" ht="12.75" customHeight="1" x14ac:dyDescent="0.35">
      <c r="B328" s="126" t="s">
        <v>27</v>
      </c>
      <c r="C328" s="5" t="s">
        <v>5</v>
      </c>
      <c r="D328" s="5" t="s">
        <v>312</v>
      </c>
      <c r="E328" s="5" t="s">
        <v>313</v>
      </c>
      <c r="F328" s="128">
        <v>1057902</v>
      </c>
      <c r="G328" s="129" t="s">
        <v>229</v>
      </c>
      <c r="H328" s="139">
        <v>0</v>
      </c>
      <c r="I328" s="139">
        <v>0</v>
      </c>
      <c r="J328" s="125">
        <v>0</v>
      </c>
      <c r="K328" s="125">
        <v>0</v>
      </c>
      <c r="L328" s="130">
        <v>0</v>
      </c>
      <c r="M328" s="123">
        <v>0</v>
      </c>
      <c r="N328" s="130">
        <v>0</v>
      </c>
      <c r="O328" s="130">
        <v>0</v>
      </c>
      <c r="P328" s="123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125">
        <v>0</v>
      </c>
      <c r="Y328" s="125" t="s">
        <v>574</v>
      </c>
      <c r="Z328" s="125"/>
      <c r="AA328" s="112">
        <v>0</v>
      </c>
      <c r="AB328" s="112">
        <v>0</v>
      </c>
      <c r="AC328" s="8"/>
      <c r="AD328" s="109"/>
      <c r="AE328" s="66" t="s">
        <v>574</v>
      </c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  <c r="AS328" s="66"/>
      <c r="AT328" s="66"/>
      <c r="AU328" s="66"/>
      <c r="AV328" s="66"/>
      <c r="AW328" s="66"/>
      <c r="AX328" s="66"/>
      <c r="AY328" s="66"/>
      <c r="AZ328" s="66"/>
      <c r="BA328" s="66"/>
      <c r="BB328" s="66"/>
      <c r="BC328" s="66"/>
      <c r="BD328" s="66"/>
      <c r="BE328" s="66"/>
      <c r="BF328" s="66"/>
      <c r="BG328" s="66"/>
      <c r="BH328" s="66"/>
      <c r="BI328" s="189" t="s">
        <v>1</v>
      </c>
      <c r="BJ328" s="204"/>
    </row>
    <row r="329" spans="2:62" ht="12.75" customHeight="1" x14ac:dyDescent="0.35">
      <c r="B329" s="126" t="s">
        <v>27</v>
      </c>
      <c r="C329" s="5" t="s">
        <v>5</v>
      </c>
      <c r="D329" s="5" t="s">
        <v>312</v>
      </c>
      <c r="E329" s="5" t="s">
        <v>313</v>
      </c>
      <c r="F329" s="128">
        <v>1052763</v>
      </c>
      <c r="G329" s="129" t="s">
        <v>188</v>
      </c>
      <c r="H329" s="139">
        <v>0</v>
      </c>
      <c r="I329" s="139">
        <v>0</v>
      </c>
      <c r="J329" s="125">
        <v>0</v>
      </c>
      <c r="K329" s="125">
        <v>0</v>
      </c>
      <c r="L329" s="130">
        <v>0</v>
      </c>
      <c r="M329" s="123">
        <v>0</v>
      </c>
      <c r="N329" s="130">
        <v>0</v>
      </c>
      <c r="O329" s="130">
        <v>0</v>
      </c>
      <c r="P329" s="123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125">
        <v>0</v>
      </c>
      <c r="Y329" s="125" t="s">
        <v>574</v>
      </c>
      <c r="Z329" s="125"/>
      <c r="AA329" s="112">
        <v>0</v>
      </c>
      <c r="AB329" s="112">
        <v>0</v>
      </c>
      <c r="AC329" s="8"/>
      <c r="AD329" s="109"/>
      <c r="AE329" s="66" t="s">
        <v>574</v>
      </c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66"/>
      <c r="AU329" s="66"/>
      <c r="AV329" s="66"/>
      <c r="AW329" s="66"/>
      <c r="AX329" s="66"/>
      <c r="AY329" s="66"/>
      <c r="AZ329" s="66"/>
      <c r="BA329" s="66"/>
      <c r="BB329" s="66"/>
      <c r="BC329" s="66"/>
      <c r="BD329" s="66"/>
      <c r="BE329" s="66"/>
      <c r="BF329" s="66"/>
      <c r="BG329" s="66"/>
      <c r="BH329" s="66"/>
      <c r="BI329" s="189" t="s">
        <v>1</v>
      </c>
      <c r="BJ329" s="204"/>
    </row>
    <row r="330" spans="2:62" ht="12.75" customHeight="1" x14ac:dyDescent="0.35">
      <c r="B330" s="126" t="s">
        <v>27</v>
      </c>
      <c r="C330" s="5" t="s">
        <v>5</v>
      </c>
      <c r="D330" s="5" t="s">
        <v>312</v>
      </c>
      <c r="E330" s="5" t="s">
        <v>313</v>
      </c>
      <c r="F330" s="128">
        <v>1065298</v>
      </c>
      <c r="G330" s="129" t="s">
        <v>509</v>
      </c>
      <c r="H330" s="139">
        <v>0</v>
      </c>
      <c r="I330" s="139">
        <v>0</v>
      </c>
      <c r="J330" s="125">
        <v>0</v>
      </c>
      <c r="K330" s="125">
        <v>0</v>
      </c>
      <c r="L330" s="130">
        <v>0</v>
      </c>
      <c r="M330" s="123">
        <v>0</v>
      </c>
      <c r="N330" s="130">
        <v>0</v>
      </c>
      <c r="O330" s="130">
        <v>0</v>
      </c>
      <c r="P330" s="123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125">
        <v>0</v>
      </c>
      <c r="Y330" s="125" t="s">
        <v>574</v>
      </c>
      <c r="Z330" s="125"/>
      <c r="AA330" s="112">
        <v>0</v>
      </c>
      <c r="AB330" s="112">
        <v>0</v>
      </c>
      <c r="AC330" s="8"/>
      <c r="AD330" s="109"/>
      <c r="AE330" s="66">
        <v>19.315342754691056</v>
      </c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  <c r="AR330" s="66"/>
      <c r="AS330" s="66"/>
      <c r="AT330" s="66"/>
      <c r="AU330" s="66"/>
      <c r="AV330" s="66"/>
      <c r="AW330" s="66"/>
      <c r="AX330" s="66"/>
      <c r="AY330" s="66"/>
      <c r="AZ330" s="66"/>
      <c r="BA330" s="66"/>
      <c r="BB330" s="66"/>
      <c r="BC330" s="66"/>
      <c r="BD330" s="66"/>
      <c r="BE330" s="66"/>
      <c r="BF330" s="66"/>
      <c r="BG330" s="66"/>
      <c r="BH330" s="66"/>
      <c r="BI330" s="189" t="s">
        <v>1</v>
      </c>
      <c r="BJ330" s="204"/>
    </row>
    <row r="331" spans="2:62" ht="12.75" customHeight="1" x14ac:dyDescent="0.35">
      <c r="B331" s="126" t="s">
        <v>27</v>
      </c>
      <c r="C331" s="5" t="s">
        <v>5</v>
      </c>
      <c r="D331" s="127" t="s">
        <v>312</v>
      </c>
      <c r="E331" s="5" t="s">
        <v>315</v>
      </c>
      <c r="F331" s="128">
        <v>1058423</v>
      </c>
      <c r="G331" s="129" t="s">
        <v>503</v>
      </c>
      <c r="H331" s="139">
        <v>0</v>
      </c>
      <c r="I331" s="139">
        <v>0</v>
      </c>
      <c r="J331" s="125">
        <v>0</v>
      </c>
      <c r="K331" s="125">
        <v>0</v>
      </c>
      <c r="L331" s="130">
        <v>0</v>
      </c>
      <c r="M331" s="123">
        <v>0</v>
      </c>
      <c r="N331" s="130">
        <v>0</v>
      </c>
      <c r="O331" s="130">
        <v>0</v>
      </c>
      <c r="P331" s="123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125">
        <v>0</v>
      </c>
      <c r="Y331" s="125" t="s">
        <v>574</v>
      </c>
      <c r="Z331" s="125"/>
      <c r="AA331" s="112">
        <v>0</v>
      </c>
      <c r="AB331" s="112">
        <v>0</v>
      </c>
      <c r="AC331" s="8"/>
      <c r="AD331" s="67"/>
      <c r="AE331" s="66">
        <v>46.395929040921622</v>
      </c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66"/>
      <c r="AU331" s="66"/>
      <c r="AV331" s="66"/>
      <c r="AW331" s="66"/>
      <c r="AX331" s="66"/>
      <c r="AY331" s="66"/>
      <c r="AZ331" s="66"/>
      <c r="BA331" s="66"/>
      <c r="BB331" s="66"/>
      <c r="BC331" s="66"/>
      <c r="BD331" s="66"/>
      <c r="BE331" s="66"/>
      <c r="BF331" s="66"/>
      <c r="BG331" s="66"/>
      <c r="BH331" s="66"/>
      <c r="BI331" s="188" t="s">
        <v>1</v>
      </c>
      <c r="BJ331" s="204"/>
    </row>
    <row r="332" spans="2:62" ht="12.75" customHeight="1" x14ac:dyDescent="0.35">
      <c r="B332" s="126" t="s">
        <v>27</v>
      </c>
      <c r="C332" s="5" t="s">
        <v>5</v>
      </c>
      <c r="D332" s="127" t="s">
        <v>312</v>
      </c>
      <c r="E332" s="5" t="s">
        <v>315</v>
      </c>
      <c r="F332" s="21">
        <v>1053415</v>
      </c>
      <c r="G332" s="45" t="s">
        <v>198</v>
      </c>
      <c r="H332" s="187">
        <v>0</v>
      </c>
      <c r="I332" s="139">
        <v>0</v>
      </c>
      <c r="J332" s="125">
        <v>0</v>
      </c>
      <c r="K332" s="125">
        <v>0</v>
      </c>
      <c r="L332" s="130">
        <v>0</v>
      </c>
      <c r="M332" s="123">
        <v>0</v>
      </c>
      <c r="N332" s="130">
        <v>0</v>
      </c>
      <c r="O332" s="130">
        <v>0</v>
      </c>
      <c r="P332" s="123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125">
        <v>0</v>
      </c>
      <c r="Y332" s="125" t="s">
        <v>574</v>
      </c>
      <c r="Z332" s="125"/>
      <c r="AA332" s="112">
        <v>0</v>
      </c>
      <c r="AB332" s="112">
        <v>0</v>
      </c>
      <c r="AC332" s="8"/>
      <c r="AD332" s="67"/>
      <c r="AE332" s="66" t="s">
        <v>574</v>
      </c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66"/>
      <c r="AU332" s="66"/>
      <c r="AV332" s="66"/>
      <c r="AW332" s="66"/>
      <c r="AX332" s="66"/>
      <c r="AY332" s="66"/>
      <c r="AZ332" s="66"/>
      <c r="BA332" s="66"/>
      <c r="BB332" s="66"/>
      <c r="BC332" s="66"/>
      <c r="BD332" s="66"/>
      <c r="BE332" s="66"/>
      <c r="BF332" s="66"/>
      <c r="BG332" s="66"/>
      <c r="BH332" s="66"/>
      <c r="BI332" s="189" t="s">
        <v>1</v>
      </c>
      <c r="BJ332" s="209"/>
    </row>
    <row r="333" spans="2:62" ht="12.75" customHeight="1" x14ac:dyDescent="0.35">
      <c r="B333" s="126" t="s">
        <v>27</v>
      </c>
      <c r="C333" s="5" t="s">
        <v>5</v>
      </c>
      <c r="D333" s="5" t="s">
        <v>312</v>
      </c>
      <c r="E333" s="5" t="s">
        <v>319</v>
      </c>
      <c r="F333" s="5">
        <v>1030173</v>
      </c>
      <c r="G333" s="7" t="s">
        <v>106</v>
      </c>
      <c r="H333" s="139">
        <v>0</v>
      </c>
      <c r="I333" s="139">
        <v>0</v>
      </c>
      <c r="J333" s="125">
        <v>0</v>
      </c>
      <c r="K333" s="125">
        <v>0</v>
      </c>
      <c r="L333" s="130">
        <v>0</v>
      </c>
      <c r="M333" s="123">
        <v>0</v>
      </c>
      <c r="N333" s="130">
        <v>0</v>
      </c>
      <c r="O333" s="130">
        <v>0</v>
      </c>
      <c r="P333" s="123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125">
        <v>0</v>
      </c>
      <c r="Y333" s="125" t="s">
        <v>574</v>
      </c>
      <c r="Z333" s="125"/>
      <c r="AA333" s="112">
        <v>0</v>
      </c>
      <c r="AB333" s="112">
        <v>0</v>
      </c>
      <c r="AC333" s="8"/>
      <c r="AD333" s="109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66"/>
      <c r="AU333" s="66"/>
      <c r="AV333" s="66"/>
      <c r="AW333" s="66"/>
      <c r="AX333" s="66"/>
      <c r="AY333" s="66"/>
      <c r="AZ333" s="66"/>
      <c r="BA333" s="66"/>
      <c r="BB333" s="66"/>
      <c r="BC333" s="66"/>
      <c r="BD333" s="66"/>
      <c r="BE333" s="66"/>
      <c r="BF333" s="66"/>
      <c r="BG333" s="66"/>
      <c r="BH333" s="66"/>
      <c r="BI333" s="189" t="s">
        <v>1</v>
      </c>
      <c r="BJ333" s="204"/>
    </row>
    <row r="334" spans="2:62" ht="12.75" customHeight="1" x14ac:dyDescent="0.35">
      <c r="B334" s="126" t="s">
        <v>27</v>
      </c>
      <c r="C334" s="5" t="s">
        <v>5</v>
      </c>
      <c r="D334" s="5" t="s">
        <v>312</v>
      </c>
      <c r="E334" s="5" t="s">
        <v>313</v>
      </c>
      <c r="F334" s="128">
        <v>1066691</v>
      </c>
      <c r="G334" s="129" t="s">
        <v>524</v>
      </c>
      <c r="H334" s="139">
        <v>0</v>
      </c>
      <c r="I334" s="139">
        <v>0</v>
      </c>
      <c r="J334" s="125">
        <v>0</v>
      </c>
      <c r="K334" s="125">
        <v>0</v>
      </c>
      <c r="L334" s="130">
        <v>0</v>
      </c>
      <c r="M334" s="123">
        <v>0</v>
      </c>
      <c r="N334" s="130">
        <v>0</v>
      </c>
      <c r="O334" s="130">
        <v>0</v>
      </c>
      <c r="P334" s="123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125">
        <v>0</v>
      </c>
      <c r="Y334" s="125" t="s">
        <v>574</v>
      </c>
      <c r="Z334" s="125"/>
      <c r="AA334" s="112">
        <v>0</v>
      </c>
      <c r="AB334" s="112">
        <v>0</v>
      </c>
      <c r="AC334" s="8"/>
      <c r="AD334" s="109"/>
      <c r="AE334" s="66" t="s">
        <v>574</v>
      </c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/>
      <c r="AU334" s="66"/>
      <c r="AV334" s="66"/>
      <c r="AW334" s="66"/>
      <c r="AX334" s="66"/>
      <c r="AY334" s="66"/>
      <c r="AZ334" s="66"/>
      <c r="BA334" s="66"/>
      <c r="BB334" s="66"/>
      <c r="BC334" s="66"/>
      <c r="BD334" s="66"/>
      <c r="BE334" s="66"/>
      <c r="BF334" s="66"/>
      <c r="BG334" s="66"/>
      <c r="BH334" s="66"/>
      <c r="BI334" s="189" t="s">
        <v>1</v>
      </c>
      <c r="BJ334" s="204"/>
    </row>
    <row r="335" spans="2:62" ht="12.75" customHeight="1" x14ac:dyDescent="0.35">
      <c r="B335" s="126" t="s">
        <v>27</v>
      </c>
      <c r="C335" s="5" t="s">
        <v>5</v>
      </c>
      <c r="D335" s="5" t="s">
        <v>312</v>
      </c>
      <c r="E335" s="5" t="s">
        <v>313</v>
      </c>
      <c r="F335" s="128">
        <v>1079474</v>
      </c>
      <c r="G335" s="129" t="s">
        <v>723</v>
      </c>
      <c r="H335" s="139">
        <v>0</v>
      </c>
      <c r="I335" s="139">
        <v>0</v>
      </c>
      <c r="J335" s="125">
        <v>0</v>
      </c>
      <c r="K335" s="125">
        <v>0</v>
      </c>
      <c r="L335" s="130">
        <v>0</v>
      </c>
      <c r="M335" s="123">
        <v>0</v>
      </c>
      <c r="N335" s="130">
        <v>0</v>
      </c>
      <c r="O335" s="130">
        <v>0</v>
      </c>
      <c r="P335" s="123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125">
        <v>0</v>
      </c>
      <c r="Y335" s="125" t="s">
        <v>574</v>
      </c>
      <c r="Z335" s="125"/>
      <c r="AA335" s="112">
        <v>0</v>
      </c>
      <c r="AB335" s="112">
        <v>0</v>
      </c>
      <c r="AC335" s="8"/>
      <c r="AD335" s="109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6"/>
      <c r="AW335" s="66"/>
      <c r="AX335" s="66"/>
      <c r="AY335" s="66"/>
      <c r="AZ335" s="66"/>
      <c r="BA335" s="66"/>
      <c r="BB335" s="66"/>
      <c r="BC335" s="66"/>
      <c r="BD335" s="66"/>
      <c r="BE335" s="66"/>
      <c r="BF335" s="66"/>
      <c r="BG335" s="66"/>
      <c r="BH335" s="66"/>
      <c r="BI335" s="188" t="s">
        <v>1</v>
      </c>
      <c r="BJ335" s="204"/>
    </row>
    <row r="336" spans="2:62" ht="12.75" customHeight="1" x14ac:dyDescent="0.35">
      <c r="B336" s="126" t="s">
        <v>27</v>
      </c>
      <c r="C336" s="5" t="s">
        <v>5</v>
      </c>
      <c r="D336" s="5" t="s">
        <v>312</v>
      </c>
      <c r="E336" s="5" t="s">
        <v>313</v>
      </c>
      <c r="F336" s="137">
        <v>1080362</v>
      </c>
      <c r="G336" s="138" t="s">
        <v>739</v>
      </c>
      <c r="H336" s="139">
        <v>0</v>
      </c>
      <c r="I336" s="139">
        <v>0</v>
      </c>
      <c r="J336" s="125">
        <v>0</v>
      </c>
      <c r="K336" s="125">
        <v>1320</v>
      </c>
      <c r="L336" s="130">
        <v>607.20000000000005</v>
      </c>
      <c r="M336" s="123">
        <v>0</v>
      </c>
      <c r="N336" s="130">
        <v>607.20000000000005</v>
      </c>
      <c r="O336" s="130">
        <v>0</v>
      </c>
      <c r="P336" s="123">
        <v>0</v>
      </c>
      <c r="Q336" s="5">
        <v>8712</v>
      </c>
      <c r="R336" s="5">
        <v>0</v>
      </c>
      <c r="S336" s="5">
        <v>8712</v>
      </c>
      <c r="T336" s="5">
        <v>0</v>
      </c>
      <c r="U336" s="5">
        <v>0</v>
      </c>
      <c r="V336" s="5">
        <v>0</v>
      </c>
      <c r="W336" s="5">
        <v>0</v>
      </c>
      <c r="X336" s="125">
        <v>0</v>
      </c>
      <c r="Y336" s="125" t="s">
        <v>574</v>
      </c>
      <c r="Z336" s="125"/>
      <c r="AA336" s="112">
        <v>0</v>
      </c>
      <c r="AB336" s="112">
        <v>5575.68</v>
      </c>
      <c r="AC336" s="8"/>
      <c r="AD336" s="67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/>
      <c r="AU336" s="66"/>
      <c r="AV336" s="66"/>
      <c r="AW336" s="66"/>
      <c r="AX336" s="66"/>
      <c r="AY336" s="66"/>
      <c r="AZ336" s="66"/>
      <c r="BA336" s="66"/>
      <c r="BB336" s="66"/>
      <c r="BC336" s="66"/>
      <c r="BD336" s="66"/>
      <c r="BE336" s="66"/>
      <c r="BF336" s="66"/>
      <c r="BG336" s="66"/>
      <c r="BH336" s="66"/>
      <c r="BI336" s="188"/>
      <c r="BJ336" s="204"/>
    </row>
    <row r="337" spans="2:62" ht="12.75" customHeight="1" x14ac:dyDescent="0.35">
      <c r="B337" s="126" t="s">
        <v>27</v>
      </c>
      <c r="C337" s="5" t="s">
        <v>5</v>
      </c>
      <c r="D337" s="5" t="s">
        <v>312</v>
      </c>
      <c r="E337" s="5" t="s">
        <v>313</v>
      </c>
      <c r="F337" s="128">
        <v>1080360</v>
      </c>
      <c r="G337" s="129" t="s">
        <v>740</v>
      </c>
      <c r="H337" s="139">
        <v>0</v>
      </c>
      <c r="I337" s="139">
        <v>0</v>
      </c>
      <c r="J337" s="125">
        <v>0</v>
      </c>
      <c r="K337" s="125">
        <v>0</v>
      </c>
      <c r="L337" s="130">
        <v>0</v>
      </c>
      <c r="M337" s="123">
        <v>0</v>
      </c>
      <c r="N337" s="130">
        <v>0</v>
      </c>
      <c r="O337" s="130">
        <v>0</v>
      </c>
      <c r="P337" s="123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125">
        <v>0</v>
      </c>
      <c r="Y337" s="125" t="s">
        <v>574</v>
      </c>
      <c r="Z337" s="125"/>
      <c r="AA337" s="112">
        <v>0</v>
      </c>
      <c r="AB337" s="112">
        <v>0</v>
      </c>
      <c r="AC337" s="8"/>
      <c r="AD337" s="67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66"/>
      <c r="AU337" s="66"/>
      <c r="AV337" s="66"/>
      <c r="AW337" s="66"/>
      <c r="AX337" s="66"/>
      <c r="AY337" s="66"/>
      <c r="AZ337" s="66"/>
      <c r="BA337" s="66"/>
      <c r="BB337" s="66"/>
      <c r="BC337" s="66"/>
      <c r="BD337" s="66"/>
      <c r="BE337" s="66"/>
      <c r="BF337" s="66"/>
      <c r="BG337" s="66"/>
      <c r="BH337" s="66"/>
      <c r="BI337" s="188" t="s">
        <v>1</v>
      </c>
      <c r="BJ337" s="204"/>
    </row>
    <row r="338" spans="2:62" ht="12.75" customHeight="1" x14ac:dyDescent="0.35">
      <c r="B338" s="126" t="s">
        <v>27</v>
      </c>
      <c r="C338" s="5" t="s">
        <v>5</v>
      </c>
      <c r="D338" s="5" t="s">
        <v>312</v>
      </c>
      <c r="E338" s="5" t="s">
        <v>313</v>
      </c>
      <c r="F338" s="128">
        <v>1052862</v>
      </c>
      <c r="G338" s="129" t="s">
        <v>184</v>
      </c>
      <c r="H338" s="139">
        <v>0</v>
      </c>
      <c r="I338" s="139">
        <v>0</v>
      </c>
      <c r="J338" s="125">
        <v>0</v>
      </c>
      <c r="K338" s="125">
        <v>0</v>
      </c>
      <c r="L338" s="130">
        <v>0</v>
      </c>
      <c r="M338" s="123">
        <v>0</v>
      </c>
      <c r="N338" s="130">
        <v>0</v>
      </c>
      <c r="O338" s="130">
        <v>0</v>
      </c>
      <c r="P338" s="123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125">
        <v>0</v>
      </c>
      <c r="Y338" s="125" t="s">
        <v>574</v>
      </c>
      <c r="Z338" s="125"/>
      <c r="AA338" s="112">
        <v>0</v>
      </c>
      <c r="AB338" s="112">
        <v>0</v>
      </c>
      <c r="AC338" s="8"/>
      <c r="AD338" s="67"/>
      <c r="AE338" s="66" t="s">
        <v>574</v>
      </c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  <c r="AS338" s="66"/>
      <c r="AT338" s="66"/>
      <c r="AU338" s="66"/>
      <c r="AV338" s="66"/>
      <c r="AW338" s="66"/>
      <c r="AX338" s="66"/>
      <c r="AY338" s="66"/>
      <c r="AZ338" s="66"/>
      <c r="BA338" s="66"/>
      <c r="BB338" s="66"/>
      <c r="BC338" s="66"/>
      <c r="BD338" s="66"/>
      <c r="BE338" s="66"/>
      <c r="BF338" s="66"/>
      <c r="BG338" s="66"/>
      <c r="BH338" s="66"/>
      <c r="BI338" s="189" t="s">
        <v>1</v>
      </c>
      <c r="BJ338" s="204"/>
    </row>
    <row r="339" spans="2:62" ht="12.75" customHeight="1" x14ac:dyDescent="0.35">
      <c r="B339" s="126" t="s">
        <v>27</v>
      </c>
      <c r="C339" s="5" t="s">
        <v>5</v>
      </c>
      <c r="D339" s="5" t="s">
        <v>312</v>
      </c>
      <c r="E339" s="5" t="s">
        <v>313</v>
      </c>
      <c r="F339" s="128">
        <v>1080359</v>
      </c>
      <c r="G339" s="140" t="s">
        <v>744</v>
      </c>
      <c r="H339" s="139">
        <v>0</v>
      </c>
      <c r="I339" s="139">
        <v>0</v>
      </c>
      <c r="J339" s="125">
        <v>0</v>
      </c>
      <c r="K339" s="125">
        <v>2</v>
      </c>
      <c r="L339" s="130">
        <v>0.55200000000000005</v>
      </c>
      <c r="M339" s="123">
        <v>0</v>
      </c>
      <c r="N339" s="130">
        <v>0.55200000000000005</v>
      </c>
      <c r="O339" s="130">
        <v>0</v>
      </c>
      <c r="P339" s="123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125">
        <v>0</v>
      </c>
      <c r="Y339" s="125" t="s">
        <v>574</v>
      </c>
      <c r="Z339" s="125"/>
      <c r="AA339" s="112">
        <v>0</v>
      </c>
      <c r="AB339" s="112">
        <v>0</v>
      </c>
      <c r="AC339" s="8"/>
      <c r="AD339" s="67"/>
      <c r="AE339" s="66">
        <v>117.57992366412215</v>
      </c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  <c r="AS339" s="66"/>
      <c r="AT339" s="66"/>
      <c r="AU339" s="66"/>
      <c r="AV339" s="66"/>
      <c r="AW339" s="66"/>
      <c r="AX339" s="66"/>
      <c r="AY339" s="66"/>
      <c r="AZ339" s="66"/>
      <c r="BA339" s="66"/>
      <c r="BB339" s="66"/>
      <c r="BC339" s="66"/>
      <c r="BD339" s="66"/>
      <c r="BE339" s="66"/>
      <c r="BF339" s="66"/>
      <c r="BG339" s="66"/>
      <c r="BH339" s="66"/>
      <c r="BI339" s="188" t="s">
        <v>1</v>
      </c>
      <c r="BJ339" s="204"/>
    </row>
    <row r="340" spans="2:62" ht="12.75" customHeight="1" x14ac:dyDescent="0.35">
      <c r="B340" s="126" t="s">
        <v>27</v>
      </c>
      <c r="C340" s="5" t="s">
        <v>5</v>
      </c>
      <c r="D340" s="5" t="s">
        <v>312</v>
      </c>
      <c r="E340" s="5" t="s">
        <v>313</v>
      </c>
      <c r="F340" s="128">
        <v>1070441</v>
      </c>
      <c r="G340" s="129" t="s">
        <v>588</v>
      </c>
      <c r="H340" s="139">
        <v>0</v>
      </c>
      <c r="I340" s="139">
        <v>0</v>
      </c>
      <c r="J340" s="125">
        <v>0</v>
      </c>
      <c r="K340" s="125">
        <v>0</v>
      </c>
      <c r="L340" s="130">
        <v>0</v>
      </c>
      <c r="M340" s="123">
        <v>0</v>
      </c>
      <c r="N340" s="130">
        <v>0</v>
      </c>
      <c r="O340" s="130">
        <v>0</v>
      </c>
      <c r="P340" s="123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125">
        <v>0</v>
      </c>
      <c r="Y340" s="125" t="s">
        <v>574</v>
      </c>
      <c r="Z340" s="125"/>
      <c r="AA340" s="112">
        <v>0</v>
      </c>
      <c r="AB340" s="112">
        <v>0</v>
      </c>
      <c r="AC340" s="8"/>
      <c r="AD340" s="67"/>
      <c r="AE340" s="66">
        <v>26.943925233644858</v>
      </c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  <c r="AS340" s="66"/>
      <c r="AT340" s="66"/>
      <c r="AU340" s="66"/>
      <c r="AV340" s="66"/>
      <c r="AW340" s="66"/>
      <c r="AX340" s="66"/>
      <c r="AY340" s="66"/>
      <c r="AZ340" s="66"/>
      <c r="BA340" s="66"/>
      <c r="BB340" s="66"/>
      <c r="BC340" s="66"/>
      <c r="BD340" s="66"/>
      <c r="BE340" s="66"/>
      <c r="BF340" s="66"/>
      <c r="BG340" s="66"/>
      <c r="BH340" s="66"/>
      <c r="BI340" s="188" t="s">
        <v>1</v>
      </c>
      <c r="BJ340" s="204"/>
    </row>
    <row r="341" spans="2:62" ht="12.75" customHeight="1" x14ac:dyDescent="0.35">
      <c r="B341" s="126" t="s">
        <v>27</v>
      </c>
      <c r="C341" s="5" t="s">
        <v>5</v>
      </c>
      <c r="D341" s="127" t="s">
        <v>312</v>
      </c>
      <c r="E341" s="5" t="s">
        <v>313</v>
      </c>
      <c r="F341" s="128">
        <v>1046963</v>
      </c>
      <c r="G341" s="129" t="s">
        <v>108</v>
      </c>
      <c r="H341" s="139">
        <v>0</v>
      </c>
      <c r="I341" s="139">
        <v>0</v>
      </c>
      <c r="J341" s="125">
        <v>0</v>
      </c>
      <c r="K341" s="125">
        <v>0</v>
      </c>
      <c r="L341" s="130">
        <v>0</v>
      </c>
      <c r="M341" s="123">
        <v>0</v>
      </c>
      <c r="N341" s="130">
        <v>0</v>
      </c>
      <c r="O341" s="130">
        <v>0</v>
      </c>
      <c r="P341" s="123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125">
        <v>0</v>
      </c>
      <c r="Y341" s="125" t="s">
        <v>574</v>
      </c>
      <c r="Z341" s="125"/>
      <c r="AA341" s="112">
        <v>0</v>
      </c>
      <c r="AB341" s="112">
        <v>0</v>
      </c>
      <c r="AC341" s="8"/>
      <c r="AD341" s="67"/>
      <c r="AE341" s="66">
        <v>72.020331950207478</v>
      </c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  <c r="AS341" s="66"/>
      <c r="AT341" s="66"/>
      <c r="AU341" s="66"/>
      <c r="AV341" s="66"/>
      <c r="AW341" s="66"/>
      <c r="AX341" s="66"/>
      <c r="AY341" s="66"/>
      <c r="AZ341" s="66"/>
      <c r="BA341" s="66"/>
      <c r="BB341" s="66"/>
      <c r="BC341" s="66"/>
      <c r="BD341" s="66"/>
      <c r="BE341" s="66"/>
      <c r="BF341" s="66"/>
      <c r="BG341" s="66"/>
      <c r="BH341" s="66"/>
      <c r="BI341" s="188" t="s">
        <v>1</v>
      </c>
      <c r="BJ341" s="204"/>
    </row>
    <row r="342" spans="2:62" ht="12.75" customHeight="1" x14ac:dyDescent="0.35">
      <c r="B342" s="126" t="s">
        <v>27</v>
      </c>
      <c r="C342" s="5" t="s">
        <v>5</v>
      </c>
      <c r="D342" s="127" t="s">
        <v>312</v>
      </c>
      <c r="E342" s="5" t="s">
        <v>313</v>
      </c>
      <c r="F342" s="128">
        <v>1052767</v>
      </c>
      <c r="G342" s="129" t="s">
        <v>322</v>
      </c>
      <c r="H342" s="139">
        <v>0</v>
      </c>
      <c r="I342" s="139">
        <v>0</v>
      </c>
      <c r="J342" s="125">
        <v>0</v>
      </c>
      <c r="K342" s="125">
        <v>0</v>
      </c>
      <c r="L342" s="130">
        <v>0</v>
      </c>
      <c r="M342" s="123">
        <v>0</v>
      </c>
      <c r="N342" s="130">
        <v>0</v>
      </c>
      <c r="O342" s="130">
        <v>0</v>
      </c>
      <c r="P342" s="123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125">
        <v>0</v>
      </c>
      <c r="Y342" s="125" t="s">
        <v>574</v>
      </c>
      <c r="Z342" s="125"/>
      <c r="AA342" s="112">
        <v>0</v>
      </c>
      <c r="AB342" s="112">
        <v>0</v>
      </c>
      <c r="AC342" s="8"/>
      <c r="AD342" s="67"/>
      <c r="AE342" s="66" t="s">
        <v>574</v>
      </c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6"/>
      <c r="AS342" s="66"/>
      <c r="AT342" s="66"/>
      <c r="AU342" s="66"/>
      <c r="AV342" s="66"/>
      <c r="AW342" s="66"/>
      <c r="AX342" s="66"/>
      <c r="AY342" s="66"/>
      <c r="AZ342" s="66"/>
      <c r="BA342" s="66"/>
      <c r="BB342" s="66"/>
      <c r="BC342" s="66"/>
      <c r="BD342" s="66"/>
      <c r="BE342" s="66"/>
      <c r="BF342" s="66"/>
      <c r="BG342" s="66"/>
      <c r="BH342" s="66"/>
      <c r="BI342" s="189" t="s">
        <v>1</v>
      </c>
      <c r="BJ342" s="204"/>
    </row>
    <row r="343" spans="2:62" ht="12.75" customHeight="1" x14ac:dyDescent="0.35">
      <c r="B343" s="126" t="s">
        <v>27</v>
      </c>
      <c r="C343" s="5" t="s">
        <v>5</v>
      </c>
      <c r="D343" s="127" t="s">
        <v>312</v>
      </c>
      <c r="E343" s="5" t="s">
        <v>313</v>
      </c>
      <c r="F343" s="128">
        <v>1062690</v>
      </c>
      <c r="G343" s="129" t="s">
        <v>445</v>
      </c>
      <c r="H343" s="139">
        <v>0</v>
      </c>
      <c r="I343" s="139">
        <v>0</v>
      </c>
      <c r="J343" s="125">
        <v>0</v>
      </c>
      <c r="K343" s="125">
        <v>0</v>
      </c>
      <c r="L343" s="130">
        <v>0</v>
      </c>
      <c r="M343" s="123">
        <v>0</v>
      </c>
      <c r="N343" s="130">
        <v>0</v>
      </c>
      <c r="O343" s="130">
        <v>0</v>
      </c>
      <c r="P343" s="123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125">
        <v>0</v>
      </c>
      <c r="Y343" s="125" t="s">
        <v>574</v>
      </c>
      <c r="Z343" s="125"/>
      <c r="AA343" s="112">
        <v>0</v>
      </c>
      <c r="AB343" s="112">
        <v>0</v>
      </c>
      <c r="AC343" s="8"/>
      <c r="AD343" s="67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  <c r="AS343" s="66"/>
      <c r="AT343" s="66"/>
      <c r="AU343" s="66"/>
      <c r="AV343" s="66"/>
      <c r="AW343" s="66"/>
      <c r="AX343" s="66"/>
      <c r="AY343" s="66"/>
      <c r="AZ343" s="66"/>
      <c r="BA343" s="66"/>
      <c r="BB343" s="66"/>
      <c r="BC343" s="66"/>
      <c r="BD343" s="66"/>
      <c r="BE343" s="66"/>
      <c r="BF343" s="66"/>
      <c r="BG343" s="66"/>
      <c r="BH343" s="66"/>
      <c r="BI343" s="189" t="s">
        <v>1</v>
      </c>
      <c r="BJ343" s="204"/>
    </row>
    <row r="344" spans="2:62" ht="12.75" customHeight="1" x14ac:dyDescent="0.35">
      <c r="B344" s="126" t="s">
        <v>1</v>
      </c>
      <c r="C344" s="5" t="s">
        <v>17</v>
      </c>
      <c r="D344" s="127" t="s">
        <v>312</v>
      </c>
      <c r="E344" s="5" t="s">
        <v>399</v>
      </c>
      <c r="F344" s="128">
        <v>1043123</v>
      </c>
      <c r="G344" s="129" t="s">
        <v>149</v>
      </c>
      <c r="H344" s="139">
        <v>0</v>
      </c>
      <c r="I344" s="139">
        <v>0</v>
      </c>
      <c r="J344" s="125">
        <v>0</v>
      </c>
      <c r="K344" s="125">
        <v>0</v>
      </c>
      <c r="L344" s="130">
        <v>0</v>
      </c>
      <c r="M344" s="123">
        <v>0</v>
      </c>
      <c r="N344" s="130">
        <v>0</v>
      </c>
      <c r="O344" s="130">
        <v>0</v>
      </c>
      <c r="P344" s="123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125">
        <v>0</v>
      </c>
      <c r="Y344" s="125" t="s">
        <v>574</v>
      </c>
      <c r="Z344" s="125"/>
      <c r="AA344" s="112">
        <v>0</v>
      </c>
      <c r="AB344" s="112">
        <v>0</v>
      </c>
      <c r="AC344" s="8"/>
      <c r="AD344" s="67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  <c r="AZ344" s="66"/>
      <c r="BA344" s="66"/>
      <c r="BB344" s="66"/>
      <c r="BC344" s="66"/>
      <c r="BD344" s="66"/>
      <c r="BE344" s="66"/>
      <c r="BF344" s="66"/>
      <c r="BG344" s="66"/>
      <c r="BH344" s="66"/>
      <c r="BI344" s="189" t="s">
        <v>1</v>
      </c>
      <c r="BJ344" s="204"/>
    </row>
    <row r="345" spans="2:62" ht="12.75" customHeight="1" x14ac:dyDescent="0.35">
      <c r="B345" s="126" t="s">
        <v>1</v>
      </c>
      <c r="C345" s="5" t="s">
        <v>17</v>
      </c>
      <c r="D345" s="127" t="s">
        <v>312</v>
      </c>
      <c r="E345" s="5" t="s">
        <v>399</v>
      </c>
      <c r="F345" s="128">
        <v>1043119</v>
      </c>
      <c r="G345" s="129" t="s">
        <v>146</v>
      </c>
      <c r="H345" s="139">
        <v>0</v>
      </c>
      <c r="I345" s="139">
        <v>0</v>
      </c>
      <c r="J345" s="125">
        <v>0</v>
      </c>
      <c r="K345" s="125">
        <v>0</v>
      </c>
      <c r="L345" s="130">
        <v>0</v>
      </c>
      <c r="M345" s="123">
        <v>0</v>
      </c>
      <c r="N345" s="130">
        <v>0</v>
      </c>
      <c r="O345" s="130">
        <v>0</v>
      </c>
      <c r="P345" s="123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125">
        <v>0</v>
      </c>
      <c r="Y345" s="125" t="s">
        <v>574</v>
      </c>
      <c r="Z345" s="125"/>
      <c r="AA345" s="112">
        <v>0</v>
      </c>
      <c r="AB345" s="112">
        <v>0</v>
      </c>
      <c r="AC345" s="8"/>
      <c r="AD345" s="67"/>
      <c r="AE345" s="66">
        <v>3.9126378993385798</v>
      </c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  <c r="AS345" s="66"/>
      <c r="AT345" s="66"/>
      <c r="AU345" s="66"/>
      <c r="AV345" s="66"/>
      <c r="AW345" s="66"/>
      <c r="AX345" s="66"/>
      <c r="AY345" s="66"/>
      <c r="AZ345" s="66"/>
      <c r="BA345" s="66"/>
      <c r="BB345" s="66"/>
      <c r="BC345" s="66"/>
      <c r="BD345" s="66"/>
      <c r="BE345" s="66"/>
      <c r="BF345" s="66"/>
      <c r="BG345" s="66"/>
      <c r="BH345" s="66"/>
      <c r="BI345" s="188" t="s">
        <v>1</v>
      </c>
      <c r="BJ345" s="204"/>
    </row>
    <row r="346" spans="2:62" ht="12.75" customHeight="1" x14ac:dyDescent="0.35">
      <c r="B346" s="126" t="s">
        <v>1</v>
      </c>
      <c r="C346" s="5" t="s">
        <v>17</v>
      </c>
      <c r="D346" s="127" t="s">
        <v>312</v>
      </c>
      <c r="E346" s="5" t="s">
        <v>399</v>
      </c>
      <c r="F346" s="128">
        <v>1036948</v>
      </c>
      <c r="G346" s="129" t="s">
        <v>157</v>
      </c>
      <c r="H346" s="139">
        <v>0</v>
      </c>
      <c r="I346" s="139">
        <v>0</v>
      </c>
      <c r="J346" s="125">
        <v>0</v>
      </c>
      <c r="K346" s="125">
        <v>0</v>
      </c>
      <c r="L346" s="130">
        <v>0</v>
      </c>
      <c r="M346" s="123">
        <v>0</v>
      </c>
      <c r="N346" s="130">
        <v>0</v>
      </c>
      <c r="O346" s="130">
        <v>0</v>
      </c>
      <c r="P346" s="123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125">
        <v>0</v>
      </c>
      <c r="Y346" s="125" t="s">
        <v>574</v>
      </c>
      <c r="Z346" s="125"/>
      <c r="AA346" s="112">
        <v>0</v>
      </c>
      <c r="AB346" s="112">
        <v>0</v>
      </c>
      <c r="AC346" s="8"/>
      <c r="AD346" s="67"/>
      <c r="AE346" s="66">
        <v>85.390909090909091</v>
      </c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  <c r="AZ346" s="66"/>
      <c r="BA346" s="66"/>
      <c r="BB346" s="66"/>
      <c r="BC346" s="66"/>
      <c r="BD346" s="66"/>
      <c r="BE346" s="66"/>
      <c r="BF346" s="66"/>
      <c r="BG346" s="66"/>
      <c r="BH346" s="66"/>
      <c r="BI346" s="188" t="s">
        <v>1</v>
      </c>
      <c r="BJ346" s="204"/>
    </row>
    <row r="347" spans="2:62" ht="12.75" customHeight="1" x14ac:dyDescent="0.35">
      <c r="B347" s="126" t="s">
        <v>1</v>
      </c>
      <c r="C347" s="5" t="s">
        <v>17</v>
      </c>
      <c r="D347" s="127" t="s">
        <v>312</v>
      </c>
      <c r="E347" s="5" t="s">
        <v>399</v>
      </c>
      <c r="F347" s="132">
        <v>1036942</v>
      </c>
      <c r="G347" s="133" t="s">
        <v>154</v>
      </c>
      <c r="H347" s="139">
        <v>0</v>
      </c>
      <c r="I347" s="139">
        <v>0</v>
      </c>
      <c r="J347" s="125">
        <v>0</v>
      </c>
      <c r="K347" s="125">
        <v>10</v>
      </c>
      <c r="L347" s="130">
        <v>1.5</v>
      </c>
      <c r="M347" s="123">
        <v>0</v>
      </c>
      <c r="N347" s="130">
        <v>1.5</v>
      </c>
      <c r="O347" s="130">
        <v>0</v>
      </c>
      <c r="P347" s="123">
        <v>0</v>
      </c>
      <c r="Q347" s="5">
        <v>1</v>
      </c>
      <c r="R347" s="5">
        <v>0</v>
      </c>
      <c r="S347" s="5">
        <v>1</v>
      </c>
      <c r="T347" s="5">
        <v>0</v>
      </c>
      <c r="U347" s="5">
        <v>0</v>
      </c>
      <c r="V347" s="5">
        <v>0</v>
      </c>
      <c r="W347" s="5">
        <v>0</v>
      </c>
      <c r="X347" s="125">
        <v>0</v>
      </c>
      <c r="Y347" s="125" t="s">
        <v>574</v>
      </c>
      <c r="Z347" s="125"/>
      <c r="AA347" s="112">
        <v>0</v>
      </c>
      <c r="AB347" s="112">
        <v>1.94</v>
      </c>
      <c r="AC347" s="8"/>
      <c r="AD347" s="67"/>
      <c r="AE347" s="66">
        <v>28.934257602862257</v>
      </c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  <c r="AS347" s="66"/>
      <c r="AT347" s="66"/>
      <c r="AU347" s="66"/>
      <c r="AV347" s="66"/>
      <c r="AW347" s="66"/>
      <c r="AX347" s="66"/>
      <c r="AY347" s="66"/>
      <c r="AZ347" s="66"/>
      <c r="BA347" s="66"/>
      <c r="BB347" s="66"/>
      <c r="BC347" s="66"/>
      <c r="BD347" s="66"/>
      <c r="BE347" s="66"/>
      <c r="BF347" s="66"/>
      <c r="BG347" s="66"/>
      <c r="BH347" s="66"/>
      <c r="BI347" s="188" t="s">
        <v>1</v>
      </c>
      <c r="BJ347" s="204"/>
    </row>
    <row r="348" spans="2:62" ht="12.75" customHeight="1" x14ac:dyDescent="0.35">
      <c r="B348" s="126" t="s">
        <v>27</v>
      </c>
      <c r="C348" s="5" t="s">
        <v>5</v>
      </c>
      <c r="D348" s="127" t="s">
        <v>312</v>
      </c>
      <c r="E348" s="5" t="s">
        <v>315</v>
      </c>
      <c r="F348" s="128">
        <v>1033941</v>
      </c>
      <c r="G348" s="129" t="s">
        <v>39</v>
      </c>
      <c r="H348" s="139">
        <v>0</v>
      </c>
      <c r="I348" s="139">
        <v>0</v>
      </c>
      <c r="J348" s="125">
        <v>0</v>
      </c>
      <c r="K348" s="125">
        <v>0</v>
      </c>
      <c r="L348" s="130">
        <v>0</v>
      </c>
      <c r="M348" s="123">
        <v>0</v>
      </c>
      <c r="N348" s="130">
        <v>0</v>
      </c>
      <c r="O348" s="130">
        <v>0</v>
      </c>
      <c r="P348" s="123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125">
        <v>0</v>
      </c>
      <c r="Y348" s="125" t="s">
        <v>574</v>
      </c>
      <c r="Z348" s="125"/>
      <c r="AA348" s="112">
        <v>0</v>
      </c>
      <c r="AB348" s="112">
        <v>0</v>
      </c>
      <c r="AC348" s="8"/>
      <c r="AD348" s="67"/>
      <c r="AE348" s="66" t="s">
        <v>574</v>
      </c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6"/>
      <c r="AS348" s="66"/>
      <c r="AT348" s="66"/>
      <c r="AU348" s="66"/>
      <c r="AV348" s="66"/>
      <c r="AW348" s="66"/>
      <c r="AX348" s="66"/>
      <c r="AY348" s="66"/>
      <c r="AZ348" s="66"/>
      <c r="BA348" s="66"/>
      <c r="BB348" s="66"/>
      <c r="BC348" s="66"/>
      <c r="BD348" s="66"/>
      <c r="BE348" s="66"/>
      <c r="BF348" s="66"/>
      <c r="BG348" s="66"/>
      <c r="BH348" s="66"/>
      <c r="BI348" s="189" t="s">
        <v>1</v>
      </c>
      <c r="BJ348" s="204"/>
    </row>
    <row r="349" spans="2:62" ht="12.75" customHeight="1" x14ac:dyDescent="0.35">
      <c r="B349" s="126" t="s">
        <v>27</v>
      </c>
      <c r="C349" s="5" t="s">
        <v>5</v>
      </c>
      <c r="D349" s="127" t="s">
        <v>312</v>
      </c>
      <c r="E349" s="5" t="s">
        <v>315</v>
      </c>
      <c r="F349" s="128">
        <v>1059114</v>
      </c>
      <c r="G349" s="129" t="s">
        <v>516</v>
      </c>
      <c r="H349" s="139">
        <v>0</v>
      </c>
      <c r="I349" s="139">
        <v>0</v>
      </c>
      <c r="J349" s="125">
        <v>0</v>
      </c>
      <c r="K349" s="125">
        <v>0</v>
      </c>
      <c r="L349" s="130">
        <v>0</v>
      </c>
      <c r="M349" s="123">
        <v>0</v>
      </c>
      <c r="N349" s="130">
        <v>0</v>
      </c>
      <c r="O349" s="130">
        <v>0</v>
      </c>
      <c r="P349" s="123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125">
        <v>0</v>
      </c>
      <c r="Y349" s="125" t="s">
        <v>574</v>
      </c>
      <c r="Z349" s="125"/>
      <c r="AA349" s="112">
        <v>0</v>
      </c>
      <c r="AB349" s="112">
        <v>0</v>
      </c>
      <c r="AC349" s="8"/>
      <c r="AD349" s="67"/>
      <c r="AE349" s="66">
        <v>12.687548082206836</v>
      </c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  <c r="AR349" s="66"/>
      <c r="AS349" s="66"/>
      <c r="AT349" s="66"/>
      <c r="AU349" s="66"/>
      <c r="AV349" s="66"/>
      <c r="AW349" s="66"/>
      <c r="AX349" s="66"/>
      <c r="AY349" s="66"/>
      <c r="AZ349" s="66"/>
      <c r="BA349" s="66"/>
      <c r="BB349" s="66"/>
      <c r="BC349" s="66"/>
      <c r="BD349" s="66"/>
      <c r="BE349" s="66"/>
      <c r="BF349" s="66"/>
      <c r="BG349" s="66"/>
      <c r="BH349" s="66"/>
      <c r="BI349" s="188" t="s">
        <v>1</v>
      </c>
      <c r="BJ349" s="204"/>
    </row>
    <row r="350" spans="2:62" ht="12.75" customHeight="1" x14ac:dyDescent="0.35">
      <c r="B350" s="126" t="s">
        <v>27</v>
      </c>
      <c r="C350" s="5" t="s">
        <v>5</v>
      </c>
      <c r="D350" s="127" t="s">
        <v>308</v>
      </c>
      <c r="E350" s="5" t="s">
        <v>315</v>
      </c>
      <c r="F350" s="128">
        <v>1046962</v>
      </c>
      <c r="G350" s="129" t="s">
        <v>97</v>
      </c>
      <c r="H350" s="139">
        <v>0</v>
      </c>
      <c r="I350" s="139">
        <v>0</v>
      </c>
      <c r="J350" s="125">
        <v>0</v>
      </c>
      <c r="K350" s="125">
        <v>0</v>
      </c>
      <c r="L350" s="130">
        <v>0</v>
      </c>
      <c r="M350" s="123">
        <v>0</v>
      </c>
      <c r="N350" s="130">
        <v>0</v>
      </c>
      <c r="O350" s="130">
        <v>0</v>
      </c>
      <c r="P350" s="123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125">
        <v>0</v>
      </c>
      <c r="Y350" s="125" t="s">
        <v>574</v>
      </c>
      <c r="Z350" s="125"/>
      <c r="AA350" s="112">
        <v>0</v>
      </c>
      <c r="AB350" s="112">
        <v>0</v>
      </c>
      <c r="AC350" s="8"/>
      <c r="AD350" s="67"/>
      <c r="AE350" s="66" t="s">
        <v>574</v>
      </c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6"/>
      <c r="AS350" s="66"/>
      <c r="AT350" s="66"/>
      <c r="AU350" s="66"/>
      <c r="AV350" s="66"/>
      <c r="AW350" s="66"/>
      <c r="AX350" s="66"/>
      <c r="AY350" s="66"/>
      <c r="AZ350" s="66"/>
      <c r="BA350" s="66"/>
      <c r="BB350" s="66"/>
      <c r="BC350" s="66"/>
      <c r="BD350" s="66"/>
      <c r="BE350" s="66"/>
      <c r="BF350" s="66"/>
      <c r="BG350" s="66"/>
      <c r="BH350" s="66"/>
      <c r="BI350" s="189" t="s">
        <v>1</v>
      </c>
      <c r="BJ350" s="204"/>
    </row>
    <row r="351" spans="2:62" ht="12.75" customHeight="1" x14ac:dyDescent="0.35">
      <c r="B351" s="126" t="s">
        <v>8</v>
      </c>
      <c r="C351" s="5" t="s">
        <v>5</v>
      </c>
      <c r="D351" s="127" t="s">
        <v>310</v>
      </c>
      <c r="E351" s="5" t="s">
        <v>311</v>
      </c>
      <c r="F351" s="128">
        <v>1043944</v>
      </c>
      <c r="G351" s="129" t="s">
        <v>107</v>
      </c>
      <c r="H351" s="139">
        <v>0</v>
      </c>
      <c r="I351" s="139">
        <v>0</v>
      </c>
      <c r="J351" s="125">
        <v>0</v>
      </c>
      <c r="K351" s="125">
        <v>0</v>
      </c>
      <c r="L351" s="130">
        <v>0</v>
      </c>
      <c r="M351" s="123">
        <v>0</v>
      </c>
      <c r="N351" s="130">
        <v>0</v>
      </c>
      <c r="O351" s="130">
        <v>0</v>
      </c>
      <c r="P351" s="123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125">
        <v>0</v>
      </c>
      <c r="Y351" s="125" t="s">
        <v>574</v>
      </c>
      <c r="Z351" s="125"/>
      <c r="AA351" s="112">
        <v>0</v>
      </c>
      <c r="AB351" s="112">
        <v>0</v>
      </c>
      <c r="AC351" s="8"/>
      <c r="AD351" s="109"/>
      <c r="AE351" s="66">
        <v>42.062745098037155</v>
      </c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  <c r="AR351" s="66"/>
      <c r="AS351" s="66"/>
      <c r="AT351" s="66"/>
      <c r="AU351" s="66"/>
      <c r="AV351" s="66"/>
      <c r="AW351" s="66"/>
      <c r="AX351" s="66"/>
      <c r="AY351" s="66"/>
      <c r="AZ351" s="66"/>
      <c r="BA351" s="66"/>
      <c r="BB351" s="66"/>
      <c r="BC351" s="66"/>
      <c r="BD351" s="66"/>
      <c r="BE351" s="66"/>
      <c r="BF351" s="66"/>
      <c r="BG351" s="66"/>
      <c r="BH351" s="66"/>
      <c r="BI351" s="188" t="s">
        <v>1</v>
      </c>
      <c r="BJ351" s="204"/>
    </row>
    <row r="352" spans="2:62" ht="12.75" customHeight="1" x14ac:dyDescent="0.35">
      <c r="B352" s="126" t="s">
        <v>9</v>
      </c>
      <c r="C352" s="5" t="s">
        <v>5</v>
      </c>
      <c r="D352" s="127" t="s">
        <v>396</v>
      </c>
      <c r="E352" s="5" t="s">
        <v>397</v>
      </c>
      <c r="F352" s="128">
        <v>1052998</v>
      </c>
      <c r="G352" s="129" t="s">
        <v>364</v>
      </c>
      <c r="H352" s="139">
        <v>0</v>
      </c>
      <c r="I352" s="139">
        <v>0</v>
      </c>
      <c r="J352" s="125">
        <v>0</v>
      </c>
      <c r="K352" s="125">
        <v>0</v>
      </c>
      <c r="L352" s="130">
        <v>0</v>
      </c>
      <c r="M352" s="123">
        <v>0</v>
      </c>
      <c r="N352" s="130">
        <v>0</v>
      </c>
      <c r="O352" s="130">
        <v>0</v>
      </c>
      <c r="P352" s="123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125">
        <v>0</v>
      </c>
      <c r="Y352" s="125" t="s">
        <v>574</v>
      </c>
      <c r="Z352" s="125"/>
      <c r="AA352" s="112">
        <v>0</v>
      </c>
      <c r="AB352" s="112">
        <v>0</v>
      </c>
      <c r="AC352" s="8"/>
      <c r="AD352" s="67"/>
      <c r="AE352" s="66">
        <v>37.841521980413759</v>
      </c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  <c r="AR352" s="66"/>
      <c r="AS352" s="66"/>
      <c r="AT352" s="66"/>
      <c r="AU352" s="66"/>
      <c r="AV352" s="66"/>
      <c r="AW352" s="66"/>
      <c r="AX352" s="66"/>
      <c r="AY352" s="66"/>
      <c r="AZ352" s="66"/>
      <c r="BA352" s="66"/>
      <c r="BB352" s="66"/>
      <c r="BC352" s="66"/>
      <c r="BD352" s="66"/>
      <c r="BE352" s="66"/>
      <c r="BF352" s="66"/>
      <c r="BG352" s="66"/>
      <c r="BH352" s="66"/>
      <c r="BI352" s="189" t="s">
        <v>1</v>
      </c>
      <c r="BJ352" s="204"/>
    </row>
    <row r="353" spans="2:62" ht="12.75" customHeight="1" x14ac:dyDescent="0.35">
      <c r="B353" s="126" t="s">
        <v>4</v>
      </c>
      <c r="C353" s="5" t="s">
        <v>5</v>
      </c>
      <c r="D353" s="127" t="s">
        <v>308</v>
      </c>
      <c r="E353" s="5" t="s">
        <v>407</v>
      </c>
      <c r="F353" s="128">
        <v>1031077</v>
      </c>
      <c r="G353" s="129" t="s">
        <v>177</v>
      </c>
      <c r="H353" s="139">
        <v>0</v>
      </c>
      <c r="I353" s="139">
        <v>0</v>
      </c>
      <c r="J353" s="125">
        <v>0</v>
      </c>
      <c r="K353" s="125">
        <v>0</v>
      </c>
      <c r="L353" s="130">
        <v>0</v>
      </c>
      <c r="M353" s="123">
        <v>0</v>
      </c>
      <c r="N353" s="130">
        <v>0</v>
      </c>
      <c r="O353" s="130">
        <v>0</v>
      </c>
      <c r="P353" s="123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125">
        <v>0</v>
      </c>
      <c r="Y353" s="125" t="s">
        <v>574</v>
      </c>
      <c r="Z353" s="125"/>
      <c r="AA353" s="112">
        <v>0</v>
      </c>
      <c r="AB353" s="112">
        <v>0</v>
      </c>
      <c r="AC353" s="8"/>
      <c r="AD353" s="67"/>
      <c r="AE353" s="66" t="s">
        <v>574</v>
      </c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  <c r="AP353" s="66"/>
      <c r="AQ353" s="66"/>
      <c r="AR353" s="66"/>
      <c r="AS353" s="66"/>
      <c r="AT353" s="66"/>
      <c r="AU353" s="66"/>
      <c r="AV353" s="66"/>
      <c r="AW353" s="66"/>
      <c r="AX353" s="66"/>
      <c r="AY353" s="66"/>
      <c r="AZ353" s="66"/>
      <c r="BA353" s="66"/>
      <c r="BB353" s="66"/>
      <c r="BC353" s="66"/>
      <c r="BD353" s="66"/>
      <c r="BE353" s="66"/>
      <c r="BF353" s="66"/>
      <c r="BG353" s="66"/>
      <c r="BH353" s="66"/>
      <c r="BI353" s="189" t="s">
        <v>1</v>
      </c>
      <c r="BJ353" s="204"/>
    </row>
    <row r="354" spans="2:62" ht="12.75" customHeight="1" x14ac:dyDescent="0.35">
      <c r="B354" s="126" t="s">
        <v>4</v>
      </c>
      <c r="C354" s="5" t="s">
        <v>5</v>
      </c>
      <c r="D354" s="127" t="s">
        <v>308</v>
      </c>
      <c r="E354" s="5" t="s">
        <v>314</v>
      </c>
      <c r="F354" s="128">
        <v>1052762</v>
      </c>
      <c r="G354" s="129" t="s">
        <v>185</v>
      </c>
      <c r="H354" s="139">
        <v>0</v>
      </c>
      <c r="I354" s="139">
        <v>0</v>
      </c>
      <c r="J354" s="125">
        <v>0</v>
      </c>
      <c r="K354" s="125">
        <v>0</v>
      </c>
      <c r="L354" s="130">
        <v>0</v>
      </c>
      <c r="M354" s="123">
        <v>0</v>
      </c>
      <c r="N354" s="130">
        <v>0</v>
      </c>
      <c r="O354" s="130">
        <v>0</v>
      </c>
      <c r="P354" s="123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125">
        <v>0</v>
      </c>
      <c r="Y354" s="125" t="s">
        <v>574</v>
      </c>
      <c r="Z354" s="125"/>
      <c r="AA354" s="112">
        <v>0</v>
      </c>
      <c r="AB354" s="112">
        <v>0</v>
      </c>
      <c r="AC354" s="8"/>
      <c r="AD354" s="109"/>
      <c r="AE354" s="66" t="s">
        <v>574</v>
      </c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66"/>
      <c r="AU354" s="66"/>
      <c r="AV354" s="66"/>
      <c r="AW354" s="66"/>
      <c r="AX354" s="66"/>
      <c r="AY354" s="66"/>
      <c r="AZ354" s="66"/>
      <c r="BA354" s="66"/>
      <c r="BB354" s="66"/>
      <c r="BC354" s="66"/>
      <c r="BD354" s="66"/>
      <c r="BE354" s="66"/>
      <c r="BF354" s="66"/>
      <c r="BG354" s="66"/>
      <c r="BH354" s="66"/>
      <c r="BI354" s="188" t="s">
        <v>1</v>
      </c>
      <c r="BJ354" s="204"/>
    </row>
    <row r="355" spans="2:62" ht="12.75" customHeight="1" x14ac:dyDescent="0.35">
      <c r="B355" s="126" t="s">
        <v>4</v>
      </c>
      <c r="C355" s="5" t="s">
        <v>5</v>
      </c>
      <c r="D355" s="127" t="s">
        <v>308</v>
      </c>
      <c r="E355" s="5" t="s">
        <v>314</v>
      </c>
      <c r="F355" s="128">
        <v>1052761</v>
      </c>
      <c r="G355" s="129" t="s">
        <v>199</v>
      </c>
      <c r="H355" s="139">
        <v>0</v>
      </c>
      <c r="I355" s="139">
        <v>0</v>
      </c>
      <c r="J355" s="125">
        <v>0</v>
      </c>
      <c r="K355" s="125">
        <v>0</v>
      </c>
      <c r="L355" s="130">
        <v>0</v>
      </c>
      <c r="M355" s="123">
        <v>0</v>
      </c>
      <c r="N355" s="130">
        <v>0</v>
      </c>
      <c r="O355" s="130">
        <v>0</v>
      </c>
      <c r="P355" s="123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125">
        <v>0</v>
      </c>
      <c r="Y355" s="125" t="s">
        <v>574</v>
      </c>
      <c r="Z355" s="125"/>
      <c r="AA355" s="112">
        <v>0</v>
      </c>
      <c r="AB355" s="112">
        <v>0</v>
      </c>
      <c r="AC355" s="8"/>
      <c r="AD355" s="109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66"/>
      <c r="AU355" s="66"/>
      <c r="AV355" s="66"/>
      <c r="AW355" s="66"/>
      <c r="AX355" s="66"/>
      <c r="AY355" s="66"/>
      <c r="AZ355" s="66"/>
      <c r="BA355" s="66"/>
      <c r="BB355" s="66"/>
      <c r="BC355" s="66"/>
      <c r="BD355" s="66"/>
      <c r="BE355" s="66"/>
      <c r="BF355" s="66"/>
      <c r="BG355" s="66"/>
      <c r="BH355" s="66"/>
      <c r="BI355" s="188"/>
      <c r="BJ355" s="204"/>
    </row>
    <row r="356" spans="2:62" ht="12.75" customHeight="1" x14ac:dyDescent="0.35">
      <c r="B356" s="126" t="s">
        <v>1</v>
      </c>
      <c r="C356" s="5" t="s">
        <v>2</v>
      </c>
      <c r="D356" s="127" t="s">
        <v>308</v>
      </c>
      <c r="E356" s="5" t="s">
        <v>395</v>
      </c>
      <c r="F356" s="128">
        <v>1057451</v>
      </c>
      <c r="G356" s="129" t="s">
        <v>247</v>
      </c>
      <c r="H356" s="139">
        <v>0</v>
      </c>
      <c r="I356" s="139">
        <v>0</v>
      </c>
      <c r="J356" s="125">
        <v>0</v>
      </c>
      <c r="K356" s="125">
        <v>0</v>
      </c>
      <c r="L356" s="130">
        <v>0</v>
      </c>
      <c r="M356" s="123">
        <v>0</v>
      </c>
      <c r="N356" s="130">
        <v>0</v>
      </c>
      <c r="O356" s="130">
        <v>0</v>
      </c>
      <c r="P356" s="123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125">
        <v>0</v>
      </c>
      <c r="Y356" s="125" t="s">
        <v>574</v>
      </c>
      <c r="Z356" s="125"/>
      <c r="AA356" s="112">
        <v>0</v>
      </c>
      <c r="AB356" s="112">
        <v>0</v>
      </c>
      <c r="AC356" s="8"/>
      <c r="AD356" s="109"/>
      <c r="AE356" s="66" t="s">
        <v>574</v>
      </c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66"/>
      <c r="AU356" s="66"/>
      <c r="AV356" s="66"/>
      <c r="AW356" s="66"/>
      <c r="AX356" s="66"/>
      <c r="AY356" s="66"/>
      <c r="AZ356" s="66"/>
      <c r="BA356" s="66"/>
      <c r="BB356" s="66"/>
      <c r="BC356" s="66"/>
      <c r="BD356" s="66"/>
      <c r="BE356" s="66"/>
      <c r="BF356" s="66"/>
      <c r="BG356" s="66"/>
      <c r="BH356" s="66"/>
      <c r="BI356" s="189" t="s">
        <v>1</v>
      </c>
      <c r="BJ356" s="204"/>
    </row>
    <row r="357" spans="2:62" ht="12.75" customHeight="1" x14ac:dyDescent="0.35">
      <c r="B357" s="126" t="s">
        <v>1</v>
      </c>
      <c r="C357" s="5" t="s">
        <v>2</v>
      </c>
      <c r="D357" s="127" t="s">
        <v>308</v>
      </c>
      <c r="E357" s="5" t="s">
        <v>395</v>
      </c>
      <c r="F357" s="128">
        <v>1057482</v>
      </c>
      <c r="G357" s="129" t="s">
        <v>256</v>
      </c>
      <c r="H357" s="139">
        <v>0</v>
      </c>
      <c r="I357" s="139">
        <v>0</v>
      </c>
      <c r="J357" s="125">
        <v>0</v>
      </c>
      <c r="K357" s="125">
        <v>0</v>
      </c>
      <c r="L357" s="130">
        <v>0</v>
      </c>
      <c r="M357" s="123">
        <v>0</v>
      </c>
      <c r="N357" s="130">
        <v>0</v>
      </c>
      <c r="O357" s="130">
        <v>0</v>
      </c>
      <c r="P357" s="123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125">
        <v>0</v>
      </c>
      <c r="Y357" s="125" t="s">
        <v>574</v>
      </c>
      <c r="Z357" s="125"/>
      <c r="AA357" s="112">
        <v>0</v>
      </c>
      <c r="AB357" s="112">
        <v>0</v>
      </c>
      <c r="AC357" s="8"/>
      <c r="AD357" s="109"/>
      <c r="AE357" s="66" t="s">
        <v>574</v>
      </c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6"/>
      <c r="AS357" s="66"/>
      <c r="AT357" s="66"/>
      <c r="AU357" s="66"/>
      <c r="AV357" s="66"/>
      <c r="AW357" s="66"/>
      <c r="AX357" s="66"/>
      <c r="AY357" s="66"/>
      <c r="AZ357" s="66"/>
      <c r="BA357" s="66"/>
      <c r="BB357" s="66"/>
      <c r="BC357" s="66"/>
      <c r="BD357" s="66"/>
      <c r="BE357" s="66"/>
      <c r="BF357" s="66"/>
      <c r="BG357" s="66"/>
      <c r="BH357" s="66"/>
      <c r="BI357" s="189" t="s">
        <v>1</v>
      </c>
      <c r="BJ357" s="204"/>
    </row>
    <row r="358" spans="2:62" ht="12.75" customHeight="1" x14ac:dyDescent="0.35">
      <c r="B358" s="126" t="s">
        <v>1</v>
      </c>
      <c r="C358" s="5" t="s">
        <v>2</v>
      </c>
      <c r="D358" s="127" t="s">
        <v>308</v>
      </c>
      <c r="E358" s="5" t="s">
        <v>395</v>
      </c>
      <c r="F358" s="128">
        <v>1057450</v>
      </c>
      <c r="G358" s="129" t="s">
        <v>255</v>
      </c>
      <c r="H358" s="139">
        <v>0</v>
      </c>
      <c r="I358" s="139">
        <v>0</v>
      </c>
      <c r="J358" s="125">
        <v>0</v>
      </c>
      <c r="K358" s="125">
        <v>0</v>
      </c>
      <c r="L358" s="130">
        <v>0</v>
      </c>
      <c r="M358" s="123">
        <v>0</v>
      </c>
      <c r="N358" s="130">
        <v>0</v>
      </c>
      <c r="O358" s="130">
        <v>0</v>
      </c>
      <c r="P358" s="123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125">
        <v>0</v>
      </c>
      <c r="Y358" s="125" t="s">
        <v>574</v>
      </c>
      <c r="Z358" s="125"/>
      <c r="AA358" s="112">
        <v>0</v>
      </c>
      <c r="AB358" s="112">
        <v>0</v>
      </c>
      <c r="AC358" s="8"/>
      <c r="AD358" s="109"/>
      <c r="AE358" s="66">
        <v>37.490270146520146</v>
      </c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6"/>
      <c r="AS358" s="66"/>
      <c r="AT358" s="66"/>
      <c r="AU358" s="66"/>
      <c r="AV358" s="66"/>
      <c r="AW358" s="66"/>
      <c r="AX358" s="66"/>
      <c r="AY358" s="66"/>
      <c r="AZ358" s="66"/>
      <c r="BA358" s="66"/>
      <c r="BB358" s="66"/>
      <c r="BC358" s="66"/>
      <c r="BD358" s="66"/>
      <c r="BE358" s="66"/>
      <c r="BF358" s="66"/>
      <c r="BG358" s="66"/>
      <c r="BH358" s="66"/>
      <c r="BI358" s="188" t="s">
        <v>1</v>
      </c>
      <c r="BJ358" s="204"/>
    </row>
    <row r="359" spans="2:62" ht="12.75" customHeight="1" x14ac:dyDescent="0.35">
      <c r="B359" s="126" t="s">
        <v>21</v>
      </c>
      <c r="C359" s="5" t="s">
        <v>5</v>
      </c>
      <c r="D359" s="127" t="s">
        <v>308</v>
      </c>
      <c r="E359" s="5" t="s">
        <v>395</v>
      </c>
      <c r="F359" s="128">
        <v>1071370</v>
      </c>
      <c r="G359" s="129" t="s">
        <v>583</v>
      </c>
      <c r="H359" s="139">
        <v>0</v>
      </c>
      <c r="I359" s="139">
        <v>0</v>
      </c>
      <c r="J359" s="125">
        <v>0</v>
      </c>
      <c r="K359" s="125">
        <v>0</v>
      </c>
      <c r="L359" s="130">
        <v>0</v>
      </c>
      <c r="M359" s="123">
        <v>0</v>
      </c>
      <c r="N359" s="130">
        <v>0</v>
      </c>
      <c r="O359" s="130">
        <v>0</v>
      </c>
      <c r="P359" s="123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125">
        <v>0</v>
      </c>
      <c r="Y359" s="125" t="s">
        <v>574</v>
      </c>
      <c r="Z359" s="125"/>
      <c r="AA359" s="112">
        <v>0</v>
      </c>
      <c r="AB359" s="112">
        <v>0</v>
      </c>
      <c r="AC359" s="8"/>
      <c r="AD359" s="109"/>
      <c r="AE359" s="66" t="s">
        <v>574</v>
      </c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  <c r="AS359" s="66"/>
      <c r="AT359" s="66"/>
      <c r="AU359" s="66"/>
      <c r="AV359" s="66"/>
      <c r="AW359" s="66"/>
      <c r="AX359" s="66"/>
      <c r="AY359" s="66"/>
      <c r="AZ359" s="66"/>
      <c r="BA359" s="66"/>
      <c r="BB359" s="66"/>
      <c r="BC359" s="66"/>
      <c r="BD359" s="66"/>
      <c r="BE359" s="66"/>
      <c r="BF359" s="66"/>
      <c r="BG359" s="66"/>
      <c r="BH359" s="66"/>
      <c r="BI359" s="188" t="s">
        <v>1</v>
      </c>
      <c r="BJ359" s="204"/>
    </row>
    <row r="360" spans="2:62" ht="12.75" customHeight="1" x14ac:dyDescent="0.35">
      <c r="B360" s="126" t="s">
        <v>21</v>
      </c>
      <c r="C360" s="5" t="s">
        <v>5</v>
      </c>
      <c r="D360" s="127" t="s">
        <v>308</v>
      </c>
      <c r="E360" s="5" t="s">
        <v>395</v>
      </c>
      <c r="F360" s="128">
        <v>1071371</v>
      </c>
      <c r="G360" s="129" t="s">
        <v>584</v>
      </c>
      <c r="H360" s="139">
        <v>0</v>
      </c>
      <c r="I360" s="139">
        <v>0</v>
      </c>
      <c r="J360" s="125">
        <v>0</v>
      </c>
      <c r="K360" s="125">
        <v>0</v>
      </c>
      <c r="L360" s="130">
        <v>0</v>
      </c>
      <c r="M360" s="123">
        <v>0</v>
      </c>
      <c r="N360" s="130">
        <v>0</v>
      </c>
      <c r="O360" s="130">
        <v>0</v>
      </c>
      <c r="P360" s="123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125">
        <v>0</v>
      </c>
      <c r="Y360" s="125" t="s">
        <v>574</v>
      </c>
      <c r="Z360" s="125"/>
      <c r="AA360" s="112">
        <v>0</v>
      </c>
      <c r="AB360" s="112">
        <v>0</v>
      </c>
      <c r="AC360" s="8"/>
      <c r="AD360" s="109"/>
      <c r="AE360" s="66" t="s">
        <v>574</v>
      </c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  <c r="AR360" s="66"/>
      <c r="AS360" s="66"/>
      <c r="AT360" s="66"/>
      <c r="AU360" s="66"/>
      <c r="AV360" s="66"/>
      <c r="AW360" s="66"/>
      <c r="AX360" s="66"/>
      <c r="AY360" s="66"/>
      <c r="AZ360" s="66"/>
      <c r="BA360" s="66"/>
      <c r="BB360" s="66"/>
      <c r="BC360" s="66"/>
      <c r="BD360" s="66"/>
      <c r="BE360" s="66"/>
      <c r="BF360" s="66"/>
      <c r="BG360" s="66"/>
      <c r="BH360" s="66"/>
      <c r="BI360" s="188" t="s">
        <v>1</v>
      </c>
      <c r="BJ360" s="204"/>
    </row>
    <row r="361" spans="2:62" ht="12.75" customHeight="1" x14ac:dyDescent="0.35">
      <c r="B361" s="126" t="s">
        <v>781</v>
      </c>
      <c r="C361" s="5" t="s">
        <v>2</v>
      </c>
      <c r="D361" s="127" t="s">
        <v>308</v>
      </c>
      <c r="E361" s="5" t="s">
        <v>395</v>
      </c>
      <c r="F361" s="161">
        <v>1079795</v>
      </c>
      <c r="G361" s="162" t="s">
        <v>750</v>
      </c>
      <c r="H361" s="139">
        <v>0</v>
      </c>
      <c r="I361" s="139">
        <v>0</v>
      </c>
      <c r="J361" s="125">
        <v>0</v>
      </c>
      <c r="K361" s="125">
        <v>0</v>
      </c>
      <c r="L361" s="130">
        <v>0</v>
      </c>
      <c r="M361" s="123">
        <v>0</v>
      </c>
      <c r="N361" s="130">
        <v>0</v>
      </c>
      <c r="O361" s="130">
        <v>0</v>
      </c>
      <c r="P361" s="123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125">
        <v>0</v>
      </c>
      <c r="Y361" s="125" t="s">
        <v>574</v>
      </c>
      <c r="Z361" s="125"/>
      <c r="AA361" s="112">
        <v>0</v>
      </c>
      <c r="AB361" s="112">
        <v>0</v>
      </c>
      <c r="AC361" s="8"/>
      <c r="AD361" s="109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  <c r="AS361" s="66"/>
      <c r="AT361" s="66"/>
      <c r="AU361" s="66"/>
      <c r="AV361" s="66"/>
      <c r="AW361" s="66"/>
      <c r="AX361" s="66"/>
      <c r="AY361" s="66"/>
      <c r="AZ361" s="66"/>
      <c r="BA361" s="66"/>
      <c r="BB361" s="66"/>
      <c r="BC361" s="66"/>
      <c r="BD361" s="66"/>
      <c r="BE361" s="66"/>
      <c r="BF361" s="66"/>
      <c r="BG361" s="66"/>
      <c r="BH361" s="66"/>
      <c r="BI361" s="189" t="s">
        <v>1</v>
      </c>
      <c r="BJ361" s="204"/>
    </row>
    <row r="362" spans="2:62" ht="12.75" customHeight="1" x14ac:dyDescent="0.35">
      <c r="B362" s="126" t="s">
        <v>1</v>
      </c>
      <c r="C362" s="5" t="s">
        <v>2</v>
      </c>
      <c r="D362" s="127" t="s">
        <v>308</v>
      </c>
      <c r="E362" s="5" t="s">
        <v>395</v>
      </c>
      <c r="F362" s="132">
        <v>1079796</v>
      </c>
      <c r="G362" s="133" t="s">
        <v>751</v>
      </c>
      <c r="H362" s="139">
        <v>0</v>
      </c>
      <c r="I362" s="139">
        <v>0</v>
      </c>
      <c r="J362" s="125">
        <v>0</v>
      </c>
      <c r="K362" s="125">
        <v>0</v>
      </c>
      <c r="L362" s="130">
        <v>0</v>
      </c>
      <c r="M362" s="123">
        <v>0</v>
      </c>
      <c r="N362" s="130">
        <v>0</v>
      </c>
      <c r="O362" s="130">
        <v>0</v>
      </c>
      <c r="P362" s="123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125">
        <v>0</v>
      </c>
      <c r="Y362" s="125" t="s">
        <v>574</v>
      </c>
      <c r="Z362" s="125"/>
      <c r="AA362" s="112">
        <v>0</v>
      </c>
      <c r="AB362" s="112">
        <v>0</v>
      </c>
      <c r="AC362" s="8"/>
      <c r="AD362" s="109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6"/>
      <c r="AS362" s="66"/>
      <c r="AT362" s="66"/>
      <c r="AU362" s="66"/>
      <c r="AV362" s="66"/>
      <c r="AW362" s="66"/>
      <c r="AX362" s="66"/>
      <c r="AY362" s="66"/>
      <c r="AZ362" s="66"/>
      <c r="BA362" s="66"/>
      <c r="BB362" s="66"/>
      <c r="BC362" s="66"/>
      <c r="BD362" s="66"/>
      <c r="BE362" s="66"/>
      <c r="BF362" s="66"/>
      <c r="BG362" s="66"/>
      <c r="BH362" s="66"/>
      <c r="BI362" s="188" t="s">
        <v>1</v>
      </c>
      <c r="BJ362" s="204"/>
    </row>
    <row r="363" spans="2:62" ht="12.75" customHeight="1" x14ac:dyDescent="0.35">
      <c r="B363" s="126" t="s">
        <v>1</v>
      </c>
      <c r="C363" s="5" t="s">
        <v>2</v>
      </c>
      <c r="D363" s="127" t="s">
        <v>308</v>
      </c>
      <c r="E363" s="5" t="s">
        <v>395</v>
      </c>
      <c r="F363" s="128">
        <v>1076518</v>
      </c>
      <c r="G363" s="129" t="s">
        <v>681</v>
      </c>
      <c r="H363" s="139">
        <v>0</v>
      </c>
      <c r="I363" s="139">
        <v>0</v>
      </c>
      <c r="J363" s="125">
        <v>0</v>
      </c>
      <c r="K363" s="125">
        <v>0</v>
      </c>
      <c r="L363" s="130">
        <v>0</v>
      </c>
      <c r="M363" s="123">
        <v>0</v>
      </c>
      <c r="N363" s="130">
        <v>0</v>
      </c>
      <c r="O363" s="130">
        <v>0</v>
      </c>
      <c r="P363" s="123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125">
        <v>0</v>
      </c>
      <c r="Y363" s="125" t="s">
        <v>574</v>
      </c>
      <c r="Z363" s="125"/>
      <c r="AA363" s="112">
        <v>0</v>
      </c>
      <c r="AB363" s="112">
        <v>0</v>
      </c>
      <c r="AC363" s="8"/>
      <c r="AD363" s="109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/>
      <c r="AQ363" s="66"/>
      <c r="AR363" s="66"/>
      <c r="AS363" s="66"/>
      <c r="AT363" s="66"/>
      <c r="AU363" s="66"/>
      <c r="AV363" s="66"/>
      <c r="AW363" s="66"/>
      <c r="AX363" s="66"/>
      <c r="AY363" s="66"/>
      <c r="AZ363" s="66"/>
      <c r="BA363" s="66"/>
      <c r="BB363" s="66"/>
      <c r="BC363" s="66"/>
      <c r="BD363" s="66"/>
      <c r="BE363" s="66"/>
      <c r="BF363" s="66"/>
      <c r="BG363" s="66"/>
      <c r="BH363" s="66"/>
      <c r="BI363" s="188"/>
      <c r="BJ363" s="204"/>
    </row>
    <row r="364" spans="2:62" ht="12.75" customHeight="1" x14ac:dyDescent="0.35">
      <c r="B364" s="126" t="s">
        <v>1</v>
      </c>
      <c r="C364" s="5" t="s">
        <v>2</v>
      </c>
      <c r="D364" s="127" t="s">
        <v>308</v>
      </c>
      <c r="E364" s="5" t="s">
        <v>395</v>
      </c>
      <c r="F364" s="128">
        <v>1076519</v>
      </c>
      <c r="G364" s="129" t="s">
        <v>679</v>
      </c>
      <c r="H364" s="139">
        <v>0</v>
      </c>
      <c r="I364" s="139">
        <v>0</v>
      </c>
      <c r="J364" s="125">
        <v>0</v>
      </c>
      <c r="K364" s="125">
        <v>86</v>
      </c>
      <c r="L364" s="130">
        <v>4.6440000000000001</v>
      </c>
      <c r="M364" s="123">
        <v>0</v>
      </c>
      <c r="N364" s="130">
        <v>4.6440000000000001</v>
      </c>
      <c r="O364" s="130">
        <v>0</v>
      </c>
      <c r="P364" s="123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125">
        <v>0</v>
      </c>
      <c r="Y364" s="125" t="s">
        <v>574</v>
      </c>
      <c r="Z364" s="125"/>
      <c r="AA364" s="112">
        <v>0</v>
      </c>
      <c r="AB364" s="112">
        <v>0</v>
      </c>
      <c r="AC364" s="8"/>
      <c r="AD364" s="109"/>
      <c r="AE364" s="66">
        <v>25.572868927589369</v>
      </c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  <c r="AP364" s="66"/>
      <c r="AQ364" s="66"/>
      <c r="AR364" s="66"/>
      <c r="AS364" s="66"/>
      <c r="AT364" s="66"/>
      <c r="AU364" s="66"/>
      <c r="AV364" s="66"/>
      <c r="AW364" s="66"/>
      <c r="AX364" s="66"/>
      <c r="AY364" s="66"/>
      <c r="AZ364" s="66"/>
      <c r="BA364" s="66"/>
      <c r="BB364" s="66"/>
      <c r="BC364" s="66"/>
      <c r="BD364" s="66"/>
      <c r="BE364" s="66"/>
      <c r="BF364" s="66"/>
      <c r="BG364" s="66"/>
      <c r="BH364" s="66"/>
      <c r="BI364" s="188" t="s">
        <v>1</v>
      </c>
      <c r="BJ364" s="204"/>
    </row>
    <row r="365" spans="2:62" ht="12.75" customHeight="1" x14ac:dyDescent="0.35">
      <c r="B365" s="126" t="s">
        <v>21</v>
      </c>
      <c r="C365" s="5" t="s">
        <v>2</v>
      </c>
      <c r="D365" s="127" t="s">
        <v>308</v>
      </c>
      <c r="E365" s="5" t="s">
        <v>395</v>
      </c>
      <c r="F365" s="128">
        <v>1070483</v>
      </c>
      <c r="G365" s="129" t="s">
        <v>614</v>
      </c>
      <c r="H365" s="139">
        <v>0</v>
      </c>
      <c r="I365" s="139">
        <v>0</v>
      </c>
      <c r="J365" s="125">
        <v>0</v>
      </c>
      <c r="K365" s="125">
        <v>16</v>
      </c>
      <c r="L365" s="130">
        <v>1.512</v>
      </c>
      <c r="M365" s="123">
        <v>0</v>
      </c>
      <c r="N365" s="130">
        <v>1.512</v>
      </c>
      <c r="O365" s="130">
        <v>0</v>
      </c>
      <c r="P365" s="123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240</v>
      </c>
      <c r="X365" s="125">
        <v>0</v>
      </c>
      <c r="Y365" s="125" t="s">
        <v>574</v>
      </c>
      <c r="Z365" s="125"/>
      <c r="AA365" s="112">
        <v>0</v>
      </c>
      <c r="AB365" s="112">
        <v>1404</v>
      </c>
      <c r="AC365" s="8"/>
      <c r="AD365" s="109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  <c r="AS365" s="66"/>
      <c r="AT365" s="66"/>
      <c r="AU365" s="66"/>
      <c r="AV365" s="66"/>
      <c r="AW365" s="66"/>
      <c r="AX365" s="66"/>
      <c r="AY365" s="66"/>
      <c r="AZ365" s="66"/>
      <c r="BA365" s="66"/>
      <c r="BB365" s="66"/>
      <c r="BC365" s="66"/>
      <c r="BD365" s="66"/>
      <c r="BE365" s="66"/>
      <c r="BF365" s="66"/>
      <c r="BG365" s="66"/>
      <c r="BH365" s="66"/>
      <c r="BI365" s="189" t="s">
        <v>1</v>
      </c>
      <c r="BJ365" s="204"/>
    </row>
    <row r="366" spans="2:62" ht="12.75" customHeight="1" x14ac:dyDescent="0.35">
      <c r="B366" s="126" t="s">
        <v>1</v>
      </c>
      <c r="C366" s="5" t="s">
        <v>2</v>
      </c>
      <c r="D366" s="127" t="s">
        <v>308</v>
      </c>
      <c r="E366" s="5" t="s">
        <v>395</v>
      </c>
      <c r="F366" s="128">
        <v>1070485</v>
      </c>
      <c r="G366" s="129" t="s">
        <v>625</v>
      </c>
      <c r="H366" s="139">
        <v>0</v>
      </c>
      <c r="I366" s="139">
        <v>0</v>
      </c>
      <c r="J366" s="125">
        <v>0</v>
      </c>
      <c r="K366" s="125">
        <v>-24</v>
      </c>
      <c r="L366" s="130">
        <v>-2.2679999999999998</v>
      </c>
      <c r="M366" s="123">
        <v>0</v>
      </c>
      <c r="N366" s="130">
        <v>2.2679999999999998</v>
      </c>
      <c r="O366" s="130">
        <v>0</v>
      </c>
      <c r="P366" s="123">
        <v>0</v>
      </c>
      <c r="Q366" s="5">
        <v>2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125">
        <v>0</v>
      </c>
      <c r="Y366" s="125" t="s">
        <v>574</v>
      </c>
      <c r="Z366" s="125"/>
      <c r="AA366" s="112">
        <v>0</v>
      </c>
      <c r="AB366" s="112">
        <v>0</v>
      </c>
      <c r="AC366" s="8"/>
      <c r="AD366" s="109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  <c r="AR366" s="66"/>
      <c r="AS366" s="66"/>
      <c r="AT366" s="66"/>
      <c r="AU366" s="66"/>
      <c r="AV366" s="66"/>
      <c r="AW366" s="66"/>
      <c r="AX366" s="66"/>
      <c r="AY366" s="66"/>
      <c r="AZ366" s="66"/>
      <c r="BA366" s="66"/>
      <c r="BB366" s="66"/>
      <c r="BC366" s="66"/>
      <c r="BD366" s="66"/>
      <c r="BE366" s="66"/>
      <c r="BF366" s="66"/>
      <c r="BG366" s="66"/>
      <c r="BH366" s="66"/>
      <c r="BI366" s="189"/>
      <c r="BJ366" s="204"/>
    </row>
    <row r="367" spans="2:62" ht="12.75" customHeight="1" x14ac:dyDescent="0.35">
      <c r="B367" s="126" t="s">
        <v>1</v>
      </c>
      <c r="C367" s="5" t="s">
        <v>2</v>
      </c>
      <c r="D367" s="127" t="s">
        <v>308</v>
      </c>
      <c r="E367" s="5" t="s">
        <v>395</v>
      </c>
      <c r="F367" s="128">
        <v>1070620</v>
      </c>
      <c r="G367" s="129" t="s">
        <v>578</v>
      </c>
      <c r="H367" s="139">
        <v>0</v>
      </c>
      <c r="I367" s="139">
        <v>0</v>
      </c>
      <c r="J367" s="125">
        <v>0</v>
      </c>
      <c r="K367" s="125">
        <v>0</v>
      </c>
      <c r="L367" s="130">
        <v>0</v>
      </c>
      <c r="M367" s="123">
        <v>0</v>
      </c>
      <c r="N367" s="130">
        <v>0</v>
      </c>
      <c r="O367" s="130">
        <v>0</v>
      </c>
      <c r="P367" s="123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125">
        <v>0</v>
      </c>
      <c r="Y367" s="125" t="s">
        <v>574</v>
      </c>
      <c r="Z367" s="125"/>
      <c r="AA367" s="112">
        <v>0</v>
      </c>
      <c r="AB367" s="112">
        <v>0</v>
      </c>
      <c r="AC367" s="8"/>
      <c r="AD367" s="109"/>
      <c r="AE367" s="66" t="s">
        <v>574</v>
      </c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  <c r="AP367" s="66"/>
      <c r="AQ367" s="66"/>
      <c r="AR367" s="66"/>
      <c r="AS367" s="66"/>
      <c r="AT367" s="66"/>
      <c r="AU367" s="66"/>
      <c r="AV367" s="66"/>
      <c r="AW367" s="66"/>
      <c r="AX367" s="66"/>
      <c r="AY367" s="66"/>
      <c r="AZ367" s="66"/>
      <c r="BA367" s="66"/>
      <c r="BB367" s="66"/>
      <c r="BC367" s="66"/>
      <c r="BD367" s="66"/>
      <c r="BE367" s="66"/>
      <c r="BF367" s="66"/>
      <c r="BG367" s="66"/>
      <c r="BH367" s="66"/>
      <c r="BI367" s="189" t="s">
        <v>1</v>
      </c>
      <c r="BJ367" s="204"/>
    </row>
    <row r="368" spans="2:62" ht="12.75" customHeight="1" x14ac:dyDescent="0.35">
      <c r="B368" s="126" t="s">
        <v>1</v>
      </c>
      <c r="C368" s="5" t="s">
        <v>2</v>
      </c>
      <c r="D368" s="127" t="s">
        <v>308</v>
      </c>
      <c r="E368" s="5" t="s">
        <v>395</v>
      </c>
      <c r="F368" s="128">
        <v>1070621</v>
      </c>
      <c r="G368" s="129" t="s">
        <v>579</v>
      </c>
      <c r="H368" s="139">
        <v>0</v>
      </c>
      <c r="I368" s="139">
        <v>0</v>
      </c>
      <c r="J368" s="125">
        <v>0</v>
      </c>
      <c r="K368" s="125">
        <v>0</v>
      </c>
      <c r="L368" s="130">
        <v>0</v>
      </c>
      <c r="M368" s="123">
        <v>0</v>
      </c>
      <c r="N368" s="130">
        <v>0</v>
      </c>
      <c r="O368" s="130">
        <v>0</v>
      </c>
      <c r="P368" s="123">
        <v>0</v>
      </c>
      <c r="Q368" s="5">
        <v>7150</v>
      </c>
      <c r="R368" s="5">
        <v>0</v>
      </c>
      <c r="S368" s="5">
        <v>7150</v>
      </c>
      <c r="T368" s="5">
        <v>0</v>
      </c>
      <c r="U368" s="5">
        <v>0</v>
      </c>
      <c r="V368" s="5">
        <v>0</v>
      </c>
      <c r="W368" s="5">
        <v>0</v>
      </c>
      <c r="X368" s="125">
        <v>0</v>
      </c>
      <c r="Y368" s="125" t="s">
        <v>574</v>
      </c>
      <c r="Z368" s="125"/>
      <c r="AA368" s="112">
        <v>0</v>
      </c>
      <c r="AB368" s="112">
        <v>95881.5</v>
      </c>
      <c r="AC368" s="8"/>
      <c r="AD368" s="109"/>
      <c r="AE368" s="66" t="s">
        <v>574</v>
      </c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  <c r="AR368" s="66"/>
      <c r="AS368" s="66"/>
      <c r="AT368" s="66"/>
      <c r="AU368" s="66"/>
      <c r="AV368" s="66"/>
      <c r="AW368" s="66"/>
      <c r="AX368" s="66"/>
      <c r="AY368" s="66"/>
      <c r="AZ368" s="66"/>
      <c r="BA368" s="66"/>
      <c r="BB368" s="66"/>
      <c r="BC368" s="66"/>
      <c r="BD368" s="66"/>
      <c r="BE368" s="66"/>
      <c r="BF368" s="66"/>
      <c r="BG368" s="66"/>
      <c r="BH368" s="66"/>
      <c r="BI368" s="189" t="s">
        <v>1</v>
      </c>
      <c r="BJ368" s="204"/>
    </row>
    <row r="369" spans="2:62" ht="12.75" customHeight="1" x14ac:dyDescent="0.35">
      <c r="B369" s="126" t="s">
        <v>21</v>
      </c>
      <c r="C369" s="5" t="s">
        <v>5</v>
      </c>
      <c r="D369" s="127" t="s">
        <v>308</v>
      </c>
      <c r="E369" s="5" t="s">
        <v>395</v>
      </c>
      <c r="F369" s="128">
        <v>1042782</v>
      </c>
      <c r="G369" s="129" t="s">
        <v>298</v>
      </c>
      <c r="H369" s="139">
        <v>0</v>
      </c>
      <c r="I369" s="139">
        <v>0</v>
      </c>
      <c r="J369" s="125">
        <v>0</v>
      </c>
      <c r="K369" s="125">
        <v>0</v>
      </c>
      <c r="L369" s="130">
        <v>0</v>
      </c>
      <c r="M369" s="123">
        <v>0</v>
      </c>
      <c r="N369" s="130">
        <v>0</v>
      </c>
      <c r="O369" s="130">
        <v>0</v>
      </c>
      <c r="P369" s="123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125">
        <v>0</v>
      </c>
      <c r="Y369" s="125" t="s">
        <v>574</v>
      </c>
      <c r="Z369" s="125"/>
      <c r="AA369" s="112">
        <v>0</v>
      </c>
      <c r="AB369" s="112">
        <v>0</v>
      </c>
      <c r="AC369" s="8"/>
      <c r="AD369" s="109"/>
      <c r="AE369" s="66" t="s">
        <v>574</v>
      </c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  <c r="AR369" s="66"/>
      <c r="AS369" s="66"/>
      <c r="AT369" s="66"/>
      <c r="AU369" s="66"/>
      <c r="AV369" s="66"/>
      <c r="AW369" s="66"/>
      <c r="AX369" s="66"/>
      <c r="AY369" s="66"/>
      <c r="AZ369" s="66"/>
      <c r="BA369" s="66"/>
      <c r="BB369" s="66"/>
      <c r="BC369" s="66"/>
      <c r="BD369" s="66"/>
      <c r="BE369" s="66"/>
      <c r="BF369" s="66"/>
      <c r="BG369" s="66"/>
      <c r="BH369" s="66"/>
      <c r="BI369" s="189" t="s">
        <v>1</v>
      </c>
      <c r="BJ369" s="204"/>
    </row>
    <row r="370" spans="2:62" ht="12.75" customHeight="1" x14ac:dyDescent="0.35">
      <c r="B370" s="126" t="s">
        <v>21</v>
      </c>
      <c r="C370" s="5" t="s">
        <v>5</v>
      </c>
      <c r="D370" s="127" t="s">
        <v>308</v>
      </c>
      <c r="E370" s="5" t="s">
        <v>395</v>
      </c>
      <c r="F370" s="128">
        <v>1069939</v>
      </c>
      <c r="G370" s="129" t="s">
        <v>586</v>
      </c>
      <c r="H370" s="139">
        <v>0</v>
      </c>
      <c r="I370" s="139">
        <v>0</v>
      </c>
      <c r="J370" s="125">
        <v>0</v>
      </c>
      <c r="K370" s="125">
        <v>1</v>
      </c>
      <c r="L370" s="130">
        <v>0.28000000000000003</v>
      </c>
      <c r="M370" s="123">
        <v>0</v>
      </c>
      <c r="N370" s="130">
        <v>0.28000000000000003</v>
      </c>
      <c r="O370" s="130">
        <v>0</v>
      </c>
      <c r="P370" s="123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125">
        <v>0</v>
      </c>
      <c r="Y370" s="125" t="s">
        <v>574</v>
      </c>
      <c r="Z370" s="125"/>
      <c r="AA370" s="112">
        <v>0</v>
      </c>
      <c r="AB370" s="112">
        <v>0</v>
      </c>
      <c r="AC370" s="8"/>
      <c r="AD370" s="109"/>
      <c r="AE370" s="66">
        <v>27.627033090297253</v>
      </c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  <c r="AR370" s="66"/>
      <c r="AS370" s="66"/>
      <c r="AT370" s="66"/>
      <c r="AU370" s="66"/>
      <c r="AV370" s="66"/>
      <c r="AW370" s="66"/>
      <c r="AX370" s="66"/>
      <c r="AY370" s="66"/>
      <c r="AZ370" s="66"/>
      <c r="BA370" s="66"/>
      <c r="BB370" s="66"/>
      <c r="BC370" s="66"/>
      <c r="BD370" s="66"/>
      <c r="BE370" s="66"/>
      <c r="BF370" s="66"/>
      <c r="BG370" s="66"/>
      <c r="BH370" s="66"/>
      <c r="BI370" s="188" t="s">
        <v>1</v>
      </c>
      <c r="BJ370" s="204"/>
    </row>
    <row r="371" spans="2:62" ht="12.75" customHeight="1" x14ac:dyDescent="0.35">
      <c r="B371" s="126" t="s">
        <v>21</v>
      </c>
      <c r="C371" s="5" t="s">
        <v>5</v>
      </c>
      <c r="D371" s="127" t="s">
        <v>308</v>
      </c>
      <c r="E371" s="5" t="s">
        <v>395</v>
      </c>
      <c r="F371" s="128">
        <v>1042785</v>
      </c>
      <c r="G371" s="129" t="s">
        <v>301</v>
      </c>
      <c r="H371" s="139">
        <v>0</v>
      </c>
      <c r="I371" s="139">
        <v>0</v>
      </c>
      <c r="J371" s="125">
        <v>0</v>
      </c>
      <c r="K371" s="125">
        <v>0</v>
      </c>
      <c r="L371" s="130">
        <v>0</v>
      </c>
      <c r="M371" s="123">
        <v>0</v>
      </c>
      <c r="N371" s="130">
        <v>0</v>
      </c>
      <c r="O371" s="130">
        <v>0</v>
      </c>
      <c r="P371" s="123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125">
        <v>0</v>
      </c>
      <c r="Y371" s="125" t="s">
        <v>574</v>
      </c>
      <c r="Z371" s="125"/>
      <c r="AA371" s="112">
        <v>0</v>
      </c>
      <c r="AB371" s="112">
        <v>0</v>
      </c>
      <c r="AC371" s="8"/>
      <c r="AD371" s="109"/>
      <c r="AE371" s="66">
        <v>19.286341222879685</v>
      </c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  <c r="AS371" s="66"/>
      <c r="AT371" s="66"/>
      <c r="AU371" s="66"/>
      <c r="AV371" s="66"/>
      <c r="AW371" s="66"/>
      <c r="AX371" s="66"/>
      <c r="AY371" s="66"/>
      <c r="AZ371" s="66"/>
      <c r="BA371" s="66"/>
      <c r="BB371" s="66"/>
      <c r="BC371" s="66"/>
      <c r="BD371" s="66"/>
      <c r="BE371" s="66"/>
      <c r="BF371" s="66"/>
      <c r="BG371" s="66"/>
      <c r="BH371" s="66"/>
      <c r="BI371" s="189" t="s">
        <v>1</v>
      </c>
      <c r="BJ371" s="204"/>
    </row>
    <row r="372" spans="2:62" ht="12.75" customHeight="1" x14ac:dyDescent="0.35">
      <c r="B372" s="126" t="s">
        <v>21</v>
      </c>
      <c r="C372" s="5" t="s">
        <v>5</v>
      </c>
      <c r="D372" s="127" t="s">
        <v>308</v>
      </c>
      <c r="E372" s="5" t="s">
        <v>395</v>
      </c>
      <c r="F372" s="128">
        <v>1042786</v>
      </c>
      <c r="G372" s="129" t="s">
        <v>302</v>
      </c>
      <c r="H372" s="139">
        <v>0</v>
      </c>
      <c r="I372" s="139">
        <v>0</v>
      </c>
      <c r="J372" s="125">
        <v>0</v>
      </c>
      <c r="K372" s="125">
        <v>0</v>
      </c>
      <c r="L372" s="130">
        <v>0</v>
      </c>
      <c r="M372" s="123">
        <v>0</v>
      </c>
      <c r="N372" s="130">
        <v>0</v>
      </c>
      <c r="O372" s="130">
        <v>0</v>
      </c>
      <c r="P372" s="123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125">
        <v>0</v>
      </c>
      <c r="Y372" s="125" t="s">
        <v>574</v>
      </c>
      <c r="Z372" s="125"/>
      <c r="AA372" s="112">
        <v>0</v>
      </c>
      <c r="AB372" s="112">
        <v>0</v>
      </c>
      <c r="AC372" s="8"/>
      <c r="AD372" s="109"/>
      <c r="AE372" s="66">
        <v>0</v>
      </c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  <c r="AP372" s="66"/>
      <c r="AQ372" s="66"/>
      <c r="AR372" s="66"/>
      <c r="AS372" s="66"/>
      <c r="AT372" s="66"/>
      <c r="AU372" s="66"/>
      <c r="AV372" s="66"/>
      <c r="AW372" s="66"/>
      <c r="AX372" s="66"/>
      <c r="AY372" s="66"/>
      <c r="AZ372" s="66"/>
      <c r="BA372" s="66"/>
      <c r="BB372" s="66"/>
      <c r="BC372" s="66"/>
      <c r="BD372" s="66"/>
      <c r="BE372" s="66"/>
      <c r="BF372" s="66"/>
      <c r="BG372" s="66"/>
      <c r="BH372" s="66"/>
      <c r="BI372" s="189" t="s">
        <v>1</v>
      </c>
      <c r="BJ372" s="204"/>
    </row>
    <row r="373" spans="2:62" ht="12.75" customHeight="1" x14ac:dyDescent="0.35">
      <c r="B373" s="126" t="s">
        <v>21</v>
      </c>
      <c r="C373" s="5" t="s">
        <v>5</v>
      </c>
      <c r="D373" s="127" t="s">
        <v>308</v>
      </c>
      <c r="E373" s="5" t="s">
        <v>395</v>
      </c>
      <c r="F373" s="128">
        <v>1033041</v>
      </c>
      <c r="G373" s="129" t="s">
        <v>178</v>
      </c>
      <c r="H373" s="139">
        <v>0</v>
      </c>
      <c r="I373" s="139">
        <v>0</v>
      </c>
      <c r="J373" s="125">
        <v>0</v>
      </c>
      <c r="K373" s="125">
        <v>0</v>
      </c>
      <c r="L373" s="130">
        <v>0</v>
      </c>
      <c r="M373" s="123">
        <v>0</v>
      </c>
      <c r="N373" s="130">
        <v>0</v>
      </c>
      <c r="O373" s="130">
        <v>0</v>
      </c>
      <c r="P373" s="123">
        <v>0</v>
      </c>
      <c r="Q373" s="5">
        <v>0</v>
      </c>
      <c r="R373" s="5">
        <v>0</v>
      </c>
      <c r="S373" s="5">
        <v>0</v>
      </c>
      <c r="T373" s="5">
        <v>0</v>
      </c>
      <c r="U373" s="5">
        <v>2</v>
      </c>
      <c r="V373" s="5">
        <v>0</v>
      </c>
      <c r="W373" s="5">
        <v>0</v>
      </c>
      <c r="X373" s="125">
        <v>0</v>
      </c>
      <c r="Y373" s="125" t="s">
        <v>574</v>
      </c>
      <c r="Z373" s="125"/>
      <c r="AA373" s="112">
        <v>0</v>
      </c>
      <c r="AB373" s="112">
        <v>8.7799999999999994</v>
      </c>
      <c r="AC373" s="8"/>
      <c r="AD373" s="109"/>
      <c r="AE373" s="66" t="s">
        <v>574</v>
      </c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  <c r="AP373" s="66"/>
      <c r="AQ373" s="66"/>
      <c r="AR373" s="66"/>
      <c r="AS373" s="66"/>
      <c r="AT373" s="66"/>
      <c r="AU373" s="66"/>
      <c r="AV373" s="66"/>
      <c r="AW373" s="66"/>
      <c r="AX373" s="66"/>
      <c r="AY373" s="66"/>
      <c r="AZ373" s="66"/>
      <c r="BA373" s="66"/>
      <c r="BB373" s="66"/>
      <c r="BC373" s="66"/>
      <c r="BD373" s="66"/>
      <c r="BE373" s="66"/>
      <c r="BF373" s="66"/>
      <c r="BG373" s="66"/>
      <c r="BH373" s="66"/>
      <c r="BI373" s="189" t="s">
        <v>1</v>
      </c>
      <c r="BJ373" s="204"/>
    </row>
    <row r="374" spans="2:62" ht="12.75" customHeight="1" x14ac:dyDescent="0.35">
      <c r="B374" s="126" t="s">
        <v>1</v>
      </c>
      <c r="C374" s="5" t="s">
        <v>2</v>
      </c>
      <c r="D374" s="127" t="s">
        <v>308</v>
      </c>
      <c r="E374" s="5" t="s">
        <v>395</v>
      </c>
      <c r="F374" s="128">
        <v>1070619</v>
      </c>
      <c r="G374" s="129" t="s">
        <v>577</v>
      </c>
      <c r="H374" s="139">
        <v>0</v>
      </c>
      <c r="I374" s="139">
        <v>0</v>
      </c>
      <c r="J374" s="125">
        <v>0</v>
      </c>
      <c r="K374" s="125">
        <v>0</v>
      </c>
      <c r="L374" s="130">
        <v>0</v>
      </c>
      <c r="M374" s="123">
        <v>0</v>
      </c>
      <c r="N374" s="130">
        <v>0</v>
      </c>
      <c r="O374" s="130">
        <v>0</v>
      </c>
      <c r="P374" s="123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125">
        <v>0</v>
      </c>
      <c r="Y374" s="125" t="s">
        <v>574</v>
      </c>
      <c r="Z374" s="125"/>
      <c r="AA374" s="112">
        <v>0</v>
      </c>
      <c r="AB374" s="112">
        <v>0</v>
      </c>
      <c r="AC374" s="8"/>
      <c r="AD374" s="109"/>
      <c r="AE374" s="66" t="s">
        <v>574</v>
      </c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66"/>
      <c r="AU374" s="66"/>
      <c r="AV374" s="66"/>
      <c r="AW374" s="66"/>
      <c r="AX374" s="66"/>
      <c r="AY374" s="66"/>
      <c r="AZ374" s="66"/>
      <c r="BA374" s="66"/>
      <c r="BB374" s="66"/>
      <c r="BC374" s="66"/>
      <c r="BD374" s="66"/>
      <c r="BE374" s="66"/>
      <c r="BF374" s="66"/>
      <c r="BG374" s="66"/>
      <c r="BH374" s="66"/>
      <c r="BI374" s="189" t="s">
        <v>1</v>
      </c>
      <c r="BJ374" s="204"/>
    </row>
    <row r="375" spans="2:62" ht="12.75" customHeight="1" x14ac:dyDescent="0.35">
      <c r="B375" s="126" t="s">
        <v>21</v>
      </c>
      <c r="C375" s="5" t="s">
        <v>5</v>
      </c>
      <c r="D375" s="127" t="s">
        <v>308</v>
      </c>
      <c r="E375" s="5" t="s">
        <v>372</v>
      </c>
      <c r="F375" s="128">
        <v>1015838</v>
      </c>
      <c r="G375" s="129" t="s">
        <v>286</v>
      </c>
      <c r="H375" s="139">
        <v>0</v>
      </c>
      <c r="I375" s="139">
        <v>0</v>
      </c>
      <c r="J375" s="125">
        <v>0</v>
      </c>
      <c r="K375" s="125">
        <v>0</v>
      </c>
      <c r="L375" s="130">
        <v>0</v>
      </c>
      <c r="M375" s="123">
        <v>0</v>
      </c>
      <c r="N375" s="130">
        <v>0</v>
      </c>
      <c r="O375" s="130">
        <v>0</v>
      </c>
      <c r="P375" s="123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125">
        <v>0</v>
      </c>
      <c r="Y375" s="125" t="s">
        <v>574</v>
      </c>
      <c r="Z375" s="125"/>
      <c r="AA375" s="112">
        <v>0</v>
      </c>
      <c r="AB375" s="112">
        <v>0</v>
      </c>
      <c r="AC375" s="8"/>
      <c r="AD375" s="109"/>
      <c r="AE375" s="66" t="s">
        <v>574</v>
      </c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66"/>
      <c r="AU375" s="66"/>
      <c r="AV375" s="66"/>
      <c r="AW375" s="66"/>
      <c r="AX375" s="66"/>
      <c r="AY375" s="66"/>
      <c r="AZ375" s="66"/>
      <c r="BA375" s="66"/>
      <c r="BB375" s="66"/>
      <c r="BC375" s="66"/>
      <c r="BD375" s="66"/>
      <c r="BE375" s="66"/>
      <c r="BF375" s="66"/>
      <c r="BG375" s="66"/>
      <c r="BH375" s="66"/>
      <c r="BI375" s="189" t="s">
        <v>1</v>
      </c>
      <c r="BJ375" s="204"/>
    </row>
    <row r="376" spans="2:62" ht="12.75" customHeight="1" x14ac:dyDescent="0.35">
      <c r="B376" s="126" t="s">
        <v>8</v>
      </c>
      <c r="C376" s="5" t="s">
        <v>5</v>
      </c>
      <c r="D376" s="127" t="s">
        <v>308</v>
      </c>
      <c r="E376" s="5" t="s">
        <v>309</v>
      </c>
      <c r="F376" s="128">
        <v>1062484</v>
      </c>
      <c r="G376" s="129" t="s">
        <v>511</v>
      </c>
      <c r="H376" s="139">
        <v>0</v>
      </c>
      <c r="I376" s="139">
        <v>0</v>
      </c>
      <c r="J376" s="125">
        <v>0</v>
      </c>
      <c r="K376" s="125">
        <v>3</v>
      </c>
      <c r="L376" s="130">
        <v>1.1520000000000001</v>
      </c>
      <c r="M376" s="123">
        <v>0</v>
      </c>
      <c r="N376" s="130">
        <v>1.1520000000000001</v>
      </c>
      <c r="O376" s="130">
        <v>0</v>
      </c>
      <c r="P376" s="123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125">
        <v>0</v>
      </c>
      <c r="Y376" s="125" t="s">
        <v>574</v>
      </c>
      <c r="Z376" s="125"/>
      <c r="AA376" s="112">
        <v>0</v>
      </c>
      <c r="AB376" s="112">
        <v>0</v>
      </c>
      <c r="AC376" s="8"/>
      <c r="AD376" s="109"/>
      <c r="AE376" s="66">
        <v>572.44600000000003</v>
      </c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66"/>
      <c r="AU376" s="66"/>
      <c r="AV376" s="66"/>
      <c r="AW376" s="66"/>
      <c r="AX376" s="66"/>
      <c r="AY376" s="66"/>
      <c r="AZ376" s="66"/>
      <c r="BA376" s="66"/>
      <c r="BB376" s="66"/>
      <c r="BC376" s="66"/>
      <c r="BD376" s="66"/>
      <c r="BE376" s="66"/>
      <c r="BF376" s="66"/>
      <c r="BG376" s="66"/>
      <c r="BH376" s="66"/>
      <c r="BI376" s="188" t="s">
        <v>1</v>
      </c>
      <c r="BJ376" s="204"/>
    </row>
    <row r="377" spans="2:62" ht="12.75" customHeight="1" x14ac:dyDescent="0.35">
      <c r="B377" s="126" t="s">
        <v>8</v>
      </c>
      <c r="C377" s="5" t="s">
        <v>5</v>
      </c>
      <c r="D377" s="127" t="s">
        <v>308</v>
      </c>
      <c r="E377" s="5" t="s">
        <v>309</v>
      </c>
      <c r="F377" s="128">
        <v>1016002</v>
      </c>
      <c r="G377" s="129" t="s">
        <v>287</v>
      </c>
      <c r="H377" s="139">
        <v>0</v>
      </c>
      <c r="I377" s="139">
        <v>0</v>
      </c>
      <c r="J377" s="125">
        <v>0</v>
      </c>
      <c r="K377" s="125">
        <v>0</v>
      </c>
      <c r="L377" s="130">
        <v>0</v>
      </c>
      <c r="M377" s="123">
        <v>0</v>
      </c>
      <c r="N377" s="130">
        <v>0</v>
      </c>
      <c r="O377" s="130">
        <v>0</v>
      </c>
      <c r="P377" s="123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125">
        <v>0</v>
      </c>
      <c r="Y377" s="125" t="s">
        <v>574</v>
      </c>
      <c r="Z377" s="125"/>
      <c r="AA377" s="112">
        <v>0</v>
      </c>
      <c r="AB377" s="112">
        <v>0</v>
      </c>
      <c r="AC377" s="8"/>
      <c r="AD377" s="109"/>
      <c r="AE377" s="66" t="s">
        <v>574</v>
      </c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  <c r="AP377" s="66"/>
      <c r="AQ377" s="66"/>
      <c r="AR377" s="66"/>
      <c r="AS377" s="66"/>
      <c r="AT377" s="66"/>
      <c r="AU377" s="66"/>
      <c r="AV377" s="66"/>
      <c r="AW377" s="66"/>
      <c r="AX377" s="66"/>
      <c r="AY377" s="66"/>
      <c r="AZ377" s="66"/>
      <c r="BA377" s="66"/>
      <c r="BB377" s="66"/>
      <c r="BC377" s="66"/>
      <c r="BD377" s="66"/>
      <c r="BE377" s="66"/>
      <c r="BF377" s="66"/>
      <c r="BG377" s="66"/>
      <c r="BH377" s="66"/>
      <c r="BI377" s="189" t="s">
        <v>1</v>
      </c>
      <c r="BJ377" s="204"/>
    </row>
    <row r="378" spans="2:62" ht="12.75" customHeight="1" x14ac:dyDescent="0.35">
      <c r="B378" s="126" t="s">
        <v>1</v>
      </c>
      <c r="C378" s="5" t="s">
        <v>2</v>
      </c>
      <c r="D378" s="127" t="s">
        <v>308</v>
      </c>
      <c r="E378" s="5" t="s">
        <v>315</v>
      </c>
      <c r="F378" s="128">
        <v>1079693</v>
      </c>
      <c r="G378" s="129" t="s">
        <v>730</v>
      </c>
      <c r="H378" s="139">
        <v>0</v>
      </c>
      <c r="I378" s="139">
        <v>0</v>
      </c>
      <c r="J378" s="125">
        <v>0</v>
      </c>
      <c r="K378" s="125">
        <v>0</v>
      </c>
      <c r="L378" s="130">
        <v>0</v>
      </c>
      <c r="M378" s="123">
        <v>0</v>
      </c>
      <c r="N378" s="130">
        <v>0</v>
      </c>
      <c r="O378" s="130">
        <v>0</v>
      </c>
      <c r="P378" s="123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125">
        <v>0</v>
      </c>
      <c r="Y378" s="125" t="s">
        <v>574</v>
      </c>
      <c r="Z378" s="125"/>
      <c r="AA378" s="112">
        <v>0</v>
      </c>
      <c r="AB378" s="112">
        <v>0</v>
      </c>
      <c r="AC378" s="8"/>
      <c r="AD378" s="109"/>
      <c r="AE378" s="66">
        <v>3.856263736263736</v>
      </c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  <c r="AR378" s="66"/>
      <c r="AS378" s="66"/>
      <c r="AT378" s="66"/>
      <c r="AU378" s="66"/>
      <c r="AV378" s="66"/>
      <c r="AW378" s="66"/>
      <c r="AX378" s="66"/>
      <c r="AY378" s="66"/>
      <c r="AZ378" s="66"/>
      <c r="BA378" s="66"/>
      <c r="BB378" s="66"/>
      <c r="BC378" s="66"/>
      <c r="BD378" s="66"/>
      <c r="BE378" s="66"/>
      <c r="BF378" s="66"/>
      <c r="BG378" s="66"/>
      <c r="BH378" s="66"/>
      <c r="BI378" s="188" t="s">
        <v>1</v>
      </c>
      <c r="BJ378" s="204"/>
    </row>
    <row r="379" spans="2:62" ht="12.75" customHeight="1" x14ac:dyDescent="0.35">
      <c r="B379" s="126" t="s">
        <v>1</v>
      </c>
      <c r="C379" s="5" t="s">
        <v>2</v>
      </c>
      <c r="D379" s="127" t="s">
        <v>308</v>
      </c>
      <c r="E379" s="5" t="s">
        <v>315</v>
      </c>
      <c r="F379" s="128">
        <v>1079401</v>
      </c>
      <c r="G379" s="129" t="s">
        <v>710</v>
      </c>
      <c r="H379" s="139">
        <v>0</v>
      </c>
      <c r="I379" s="139">
        <v>0</v>
      </c>
      <c r="J379" s="125">
        <v>0</v>
      </c>
      <c r="K379" s="125">
        <v>55</v>
      </c>
      <c r="L379" s="130">
        <v>5.9399999999999995</v>
      </c>
      <c r="M379" s="123">
        <v>0</v>
      </c>
      <c r="N379" s="130">
        <v>5.9399999999999995</v>
      </c>
      <c r="O379" s="130">
        <v>0</v>
      </c>
      <c r="P379" s="123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125">
        <v>0</v>
      </c>
      <c r="Y379" s="125" t="s">
        <v>574</v>
      </c>
      <c r="Z379" s="125"/>
      <c r="AA379" s="112">
        <v>0</v>
      </c>
      <c r="AB379" s="112">
        <v>0</v>
      </c>
      <c r="AC379" s="8"/>
      <c r="AD379" s="109"/>
      <c r="AE379" s="66">
        <v>17.247968069666182</v>
      </c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  <c r="AR379" s="66"/>
      <c r="AS379" s="66"/>
      <c r="AT379" s="66"/>
      <c r="AU379" s="66"/>
      <c r="AV379" s="66"/>
      <c r="AW379" s="66"/>
      <c r="AX379" s="66"/>
      <c r="AY379" s="66"/>
      <c r="AZ379" s="66"/>
      <c r="BA379" s="66"/>
      <c r="BB379" s="66"/>
      <c r="BC379" s="66"/>
      <c r="BD379" s="66"/>
      <c r="BE379" s="66"/>
      <c r="BF379" s="66"/>
      <c r="BG379" s="66"/>
      <c r="BH379" s="66"/>
      <c r="BI379" s="188" t="s">
        <v>1</v>
      </c>
      <c r="BJ379" s="204"/>
    </row>
    <row r="380" spans="2:62" ht="12.75" customHeight="1" x14ac:dyDescent="0.35">
      <c r="B380" s="126" t="s">
        <v>15</v>
      </c>
      <c r="C380" s="5" t="s">
        <v>5</v>
      </c>
      <c r="D380" s="127" t="s">
        <v>308</v>
      </c>
      <c r="E380" s="5" t="s">
        <v>315</v>
      </c>
      <c r="F380" s="174">
        <v>1083253</v>
      </c>
      <c r="G380" s="175" t="s">
        <v>780</v>
      </c>
      <c r="H380" s="139">
        <v>0</v>
      </c>
      <c r="I380" s="139">
        <v>0</v>
      </c>
      <c r="J380" s="125">
        <v>0</v>
      </c>
      <c r="K380" s="125">
        <v>8</v>
      </c>
      <c r="L380" s="130">
        <v>2.1280000000000001</v>
      </c>
      <c r="M380" s="123">
        <v>0</v>
      </c>
      <c r="N380" s="130">
        <v>2.1280000000000001</v>
      </c>
      <c r="O380" s="130">
        <v>0</v>
      </c>
      <c r="P380" s="123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125">
        <v>0</v>
      </c>
      <c r="Y380" s="125" t="s">
        <v>574</v>
      </c>
      <c r="Z380" s="125"/>
      <c r="AA380" s="112">
        <v>0</v>
      </c>
      <c r="AB380" s="112">
        <v>0</v>
      </c>
      <c r="AC380" s="8"/>
      <c r="AD380" s="109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  <c r="AP380" s="66"/>
      <c r="AQ380" s="66"/>
      <c r="AR380" s="66"/>
      <c r="AS380" s="66"/>
      <c r="AT380" s="66"/>
      <c r="AU380" s="66"/>
      <c r="AV380" s="66"/>
      <c r="AW380" s="66"/>
      <c r="AX380" s="66"/>
      <c r="AY380" s="66"/>
      <c r="AZ380" s="66"/>
      <c r="BA380" s="66"/>
      <c r="BB380" s="66"/>
      <c r="BC380" s="66"/>
      <c r="BD380" s="66"/>
      <c r="BE380" s="66"/>
      <c r="BF380" s="66"/>
      <c r="BG380" s="66"/>
      <c r="BH380" s="66"/>
      <c r="BI380" s="189" t="s">
        <v>1</v>
      </c>
      <c r="BJ380" s="204"/>
    </row>
    <row r="381" spans="2:62" ht="12.75" customHeight="1" x14ac:dyDescent="0.35">
      <c r="B381" s="126" t="s">
        <v>9</v>
      </c>
      <c r="C381" s="5" t="s">
        <v>5</v>
      </c>
      <c r="D381" s="127" t="s">
        <v>308</v>
      </c>
      <c r="E381" s="5" t="s">
        <v>315</v>
      </c>
      <c r="F381" s="161">
        <v>1082486</v>
      </c>
      <c r="G381" s="162" t="s">
        <v>758</v>
      </c>
      <c r="H381" s="139">
        <v>0</v>
      </c>
      <c r="I381" s="139">
        <v>0</v>
      </c>
      <c r="J381" s="125">
        <v>0</v>
      </c>
      <c r="K381" s="125">
        <v>0</v>
      </c>
      <c r="L381" s="130">
        <v>0</v>
      </c>
      <c r="M381" s="123">
        <v>0</v>
      </c>
      <c r="N381" s="130">
        <v>0</v>
      </c>
      <c r="O381" s="130">
        <v>0</v>
      </c>
      <c r="P381" s="123">
        <v>0</v>
      </c>
      <c r="Q381" s="5">
        <v>84</v>
      </c>
      <c r="R381" s="5">
        <v>0</v>
      </c>
      <c r="S381" s="5">
        <v>84</v>
      </c>
      <c r="T381" s="5">
        <v>0</v>
      </c>
      <c r="U381" s="5">
        <v>0</v>
      </c>
      <c r="V381" s="5">
        <v>0</v>
      </c>
      <c r="W381" s="5">
        <v>0</v>
      </c>
      <c r="X381" s="125">
        <v>0</v>
      </c>
      <c r="Y381" s="125" t="s">
        <v>574</v>
      </c>
      <c r="Z381" s="125"/>
      <c r="AA381" s="112">
        <v>0</v>
      </c>
      <c r="AB381" s="112">
        <v>557.76</v>
      </c>
      <c r="AC381" s="8"/>
      <c r="AD381" s="109"/>
      <c r="AE381" s="66" t="s">
        <v>574</v>
      </c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  <c r="AS381" s="66"/>
      <c r="AT381" s="66"/>
      <c r="AU381" s="66"/>
      <c r="AV381" s="66"/>
      <c r="AW381" s="66"/>
      <c r="AX381" s="66"/>
      <c r="AY381" s="66"/>
      <c r="AZ381" s="66"/>
      <c r="BA381" s="66"/>
      <c r="BB381" s="66"/>
      <c r="BC381" s="66"/>
      <c r="BD381" s="66"/>
      <c r="BE381" s="66"/>
      <c r="BF381" s="66"/>
      <c r="BG381" s="66"/>
      <c r="BH381" s="66"/>
      <c r="BI381" s="188" t="s">
        <v>1</v>
      </c>
      <c r="BJ381" s="204"/>
    </row>
    <row r="382" spans="2:62" ht="12.75" customHeight="1" x14ac:dyDescent="0.35">
      <c r="B382" s="126" t="s">
        <v>9</v>
      </c>
      <c r="C382" s="5" t="s">
        <v>5</v>
      </c>
      <c r="D382" s="127" t="s">
        <v>308</v>
      </c>
      <c r="E382" s="5" t="s">
        <v>315</v>
      </c>
      <c r="F382" s="128">
        <v>1068115</v>
      </c>
      <c r="G382" s="129" t="s">
        <v>550</v>
      </c>
      <c r="H382" s="139">
        <v>0</v>
      </c>
      <c r="I382" s="139">
        <v>0</v>
      </c>
      <c r="J382" s="125">
        <v>0</v>
      </c>
      <c r="K382" s="125">
        <v>0</v>
      </c>
      <c r="L382" s="130">
        <v>0</v>
      </c>
      <c r="M382" s="123">
        <v>0</v>
      </c>
      <c r="N382" s="130">
        <v>0</v>
      </c>
      <c r="O382" s="130">
        <v>0</v>
      </c>
      <c r="P382" s="123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125">
        <v>0</v>
      </c>
      <c r="Y382" s="125" t="s">
        <v>574</v>
      </c>
      <c r="Z382" s="125"/>
      <c r="AA382" s="112">
        <v>0</v>
      </c>
      <c r="AB382" s="112">
        <v>0</v>
      </c>
      <c r="AC382" s="8"/>
      <c r="AD382" s="109"/>
      <c r="AE382" s="66" t="s">
        <v>574</v>
      </c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  <c r="AR382" s="66"/>
      <c r="AS382" s="66"/>
      <c r="AT382" s="66"/>
      <c r="AU382" s="66"/>
      <c r="AV382" s="66"/>
      <c r="AW382" s="66"/>
      <c r="AX382" s="66"/>
      <c r="AY382" s="66"/>
      <c r="AZ382" s="66"/>
      <c r="BA382" s="66"/>
      <c r="BB382" s="66"/>
      <c r="BC382" s="66"/>
      <c r="BD382" s="66"/>
      <c r="BE382" s="66"/>
      <c r="BF382" s="66"/>
      <c r="BG382" s="66"/>
      <c r="BH382" s="66"/>
      <c r="BI382" s="189" t="s">
        <v>1</v>
      </c>
      <c r="BJ382" s="204"/>
    </row>
    <row r="383" spans="2:62" ht="12.75" customHeight="1" x14ac:dyDescent="0.35">
      <c r="B383" s="126" t="s">
        <v>9</v>
      </c>
      <c r="C383" s="5" t="s">
        <v>5</v>
      </c>
      <c r="D383" s="127" t="s">
        <v>308</v>
      </c>
      <c r="E383" s="5" t="s">
        <v>315</v>
      </c>
      <c r="F383" s="128">
        <v>1066851</v>
      </c>
      <c r="G383" s="129" t="s">
        <v>532</v>
      </c>
      <c r="H383" s="139">
        <v>0</v>
      </c>
      <c r="I383" s="139">
        <v>0</v>
      </c>
      <c r="J383" s="125">
        <v>0</v>
      </c>
      <c r="K383" s="125">
        <v>0</v>
      </c>
      <c r="L383" s="130">
        <v>0</v>
      </c>
      <c r="M383" s="123">
        <v>0</v>
      </c>
      <c r="N383" s="130">
        <v>0</v>
      </c>
      <c r="O383" s="130">
        <v>0</v>
      </c>
      <c r="P383" s="123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125">
        <v>0</v>
      </c>
      <c r="Y383" s="125" t="s">
        <v>574</v>
      </c>
      <c r="Z383" s="125"/>
      <c r="AA383" s="112">
        <v>0</v>
      </c>
      <c r="AB383" s="112">
        <v>0</v>
      </c>
      <c r="AC383" s="8"/>
      <c r="AD383" s="109"/>
      <c r="AE383" s="66" t="s">
        <v>574</v>
      </c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6"/>
      <c r="AS383" s="66"/>
      <c r="AT383" s="66"/>
      <c r="AU383" s="66"/>
      <c r="AV383" s="66"/>
      <c r="AW383" s="66"/>
      <c r="AX383" s="66"/>
      <c r="AY383" s="66"/>
      <c r="AZ383" s="66"/>
      <c r="BA383" s="66"/>
      <c r="BB383" s="66"/>
      <c r="BC383" s="66"/>
      <c r="BD383" s="66"/>
      <c r="BE383" s="66"/>
      <c r="BF383" s="66"/>
      <c r="BG383" s="66"/>
      <c r="BH383" s="66"/>
      <c r="BI383" s="189" t="s">
        <v>1</v>
      </c>
      <c r="BJ383" s="204"/>
    </row>
    <row r="384" spans="2:62" ht="12.75" customHeight="1" x14ac:dyDescent="0.35">
      <c r="B384" s="126" t="s">
        <v>9</v>
      </c>
      <c r="C384" s="5" t="s">
        <v>5</v>
      </c>
      <c r="D384" s="127" t="s">
        <v>308</v>
      </c>
      <c r="E384" s="5" t="s">
        <v>315</v>
      </c>
      <c r="F384" s="128">
        <v>1066852</v>
      </c>
      <c r="G384" s="129" t="s">
        <v>531</v>
      </c>
      <c r="H384" s="139">
        <v>0</v>
      </c>
      <c r="I384" s="139">
        <v>0</v>
      </c>
      <c r="J384" s="125">
        <v>0</v>
      </c>
      <c r="K384" s="125">
        <v>0</v>
      </c>
      <c r="L384" s="130">
        <v>0</v>
      </c>
      <c r="M384" s="123">
        <v>0</v>
      </c>
      <c r="N384" s="130">
        <v>0</v>
      </c>
      <c r="O384" s="130">
        <v>0</v>
      </c>
      <c r="P384" s="123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125">
        <v>0</v>
      </c>
      <c r="Y384" s="125" t="s">
        <v>574</v>
      </c>
      <c r="Z384" s="125"/>
      <c r="AA384" s="112">
        <v>0</v>
      </c>
      <c r="AB384" s="112">
        <v>0</v>
      </c>
      <c r="AC384" s="8"/>
      <c r="AD384" s="109"/>
      <c r="AE384" s="66" t="s">
        <v>574</v>
      </c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  <c r="AP384" s="66"/>
      <c r="AQ384" s="66"/>
      <c r="AR384" s="66"/>
      <c r="AS384" s="66"/>
      <c r="AT384" s="66"/>
      <c r="AU384" s="66"/>
      <c r="AV384" s="66"/>
      <c r="AW384" s="66"/>
      <c r="AX384" s="66"/>
      <c r="AY384" s="66"/>
      <c r="AZ384" s="66"/>
      <c r="BA384" s="66"/>
      <c r="BB384" s="66"/>
      <c r="BC384" s="66"/>
      <c r="BD384" s="66"/>
      <c r="BE384" s="66"/>
      <c r="BF384" s="66"/>
      <c r="BG384" s="66"/>
      <c r="BH384" s="66"/>
      <c r="BI384" s="189" t="s">
        <v>1</v>
      </c>
      <c r="BJ384" s="204"/>
    </row>
    <row r="385" spans="2:62" ht="12.75" customHeight="1" x14ac:dyDescent="0.35">
      <c r="B385" s="126" t="s">
        <v>9</v>
      </c>
      <c r="C385" s="5" t="s">
        <v>5</v>
      </c>
      <c r="D385" s="127" t="s">
        <v>308</v>
      </c>
      <c r="E385" s="5" t="s">
        <v>315</v>
      </c>
      <c r="F385" s="128">
        <v>1068117</v>
      </c>
      <c r="G385" s="129" t="s">
        <v>553</v>
      </c>
      <c r="H385" s="139">
        <v>0</v>
      </c>
      <c r="I385" s="139">
        <v>0</v>
      </c>
      <c r="J385" s="125">
        <v>0</v>
      </c>
      <c r="K385" s="125">
        <v>0</v>
      </c>
      <c r="L385" s="130">
        <v>0</v>
      </c>
      <c r="M385" s="123">
        <v>0</v>
      </c>
      <c r="N385" s="130">
        <v>0</v>
      </c>
      <c r="O385" s="130">
        <v>0</v>
      </c>
      <c r="P385" s="123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125">
        <v>0</v>
      </c>
      <c r="Y385" s="125" t="s">
        <v>574</v>
      </c>
      <c r="Z385" s="125"/>
      <c r="AA385" s="112">
        <v>0</v>
      </c>
      <c r="AB385" s="112">
        <v>0</v>
      </c>
      <c r="AC385" s="8"/>
      <c r="AD385" s="109"/>
      <c r="AE385" s="66" t="s">
        <v>574</v>
      </c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  <c r="AS385" s="66"/>
      <c r="AT385" s="66"/>
      <c r="AU385" s="66"/>
      <c r="AV385" s="66"/>
      <c r="AW385" s="66"/>
      <c r="AX385" s="66"/>
      <c r="AY385" s="66"/>
      <c r="AZ385" s="66"/>
      <c r="BA385" s="66"/>
      <c r="BB385" s="66"/>
      <c r="BC385" s="66"/>
      <c r="BD385" s="66"/>
      <c r="BE385" s="66"/>
      <c r="BF385" s="66"/>
      <c r="BG385" s="66"/>
      <c r="BH385" s="66"/>
      <c r="BI385" s="189" t="s">
        <v>1</v>
      </c>
      <c r="BJ385" s="204"/>
    </row>
    <row r="386" spans="2:62" ht="12.75" customHeight="1" x14ac:dyDescent="0.35">
      <c r="B386" s="126" t="s">
        <v>9</v>
      </c>
      <c r="C386" s="5" t="s">
        <v>5</v>
      </c>
      <c r="D386" s="127" t="s">
        <v>308</v>
      </c>
      <c r="E386" s="5" t="s">
        <v>315</v>
      </c>
      <c r="F386" s="128">
        <v>1066853</v>
      </c>
      <c r="G386" s="129" t="s">
        <v>529</v>
      </c>
      <c r="H386" s="139">
        <v>0</v>
      </c>
      <c r="I386" s="139">
        <v>0</v>
      </c>
      <c r="J386" s="125">
        <v>0</v>
      </c>
      <c r="K386" s="125">
        <v>0</v>
      </c>
      <c r="L386" s="130">
        <v>0</v>
      </c>
      <c r="M386" s="123">
        <v>0</v>
      </c>
      <c r="N386" s="130">
        <v>0</v>
      </c>
      <c r="O386" s="130">
        <v>0</v>
      </c>
      <c r="P386" s="123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125">
        <v>0</v>
      </c>
      <c r="Y386" s="125" t="s">
        <v>574</v>
      </c>
      <c r="Z386" s="125"/>
      <c r="AA386" s="112">
        <v>0</v>
      </c>
      <c r="AB386" s="112">
        <v>0</v>
      </c>
      <c r="AC386" s="8"/>
      <c r="AD386" s="109"/>
      <c r="AE386" s="66" t="s">
        <v>574</v>
      </c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  <c r="AR386" s="66"/>
      <c r="AS386" s="66"/>
      <c r="AT386" s="66"/>
      <c r="AU386" s="66"/>
      <c r="AV386" s="66"/>
      <c r="AW386" s="66"/>
      <c r="AX386" s="66"/>
      <c r="AY386" s="66"/>
      <c r="AZ386" s="66"/>
      <c r="BA386" s="66"/>
      <c r="BB386" s="66"/>
      <c r="BC386" s="66"/>
      <c r="BD386" s="66"/>
      <c r="BE386" s="66"/>
      <c r="BF386" s="66"/>
      <c r="BG386" s="66"/>
      <c r="BH386" s="66"/>
      <c r="BI386" s="189" t="s">
        <v>1</v>
      </c>
      <c r="BJ386" s="204"/>
    </row>
    <row r="387" spans="2:62" ht="12.75" customHeight="1" x14ac:dyDescent="0.35">
      <c r="B387" s="126" t="s">
        <v>4</v>
      </c>
      <c r="C387" s="5" t="s">
        <v>5</v>
      </c>
      <c r="D387" s="127" t="s">
        <v>308</v>
      </c>
      <c r="E387" s="5" t="s">
        <v>315</v>
      </c>
      <c r="F387" s="128">
        <v>1069541</v>
      </c>
      <c r="G387" s="129" t="s">
        <v>548</v>
      </c>
      <c r="H387" s="139">
        <v>0</v>
      </c>
      <c r="I387" s="139">
        <v>0</v>
      </c>
      <c r="J387" s="125">
        <v>0</v>
      </c>
      <c r="K387" s="125">
        <v>0</v>
      </c>
      <c r="L387" s="130">
        <v>0</v>
      </c>
      <c r="M387" s="123">
        <v>0</v>
      </c>
      <c r="N387" s="130">
        <v>0</v>
      </c>
      <c r="O387" s="130">
        <v>0</v>
      </c>
      <c r="P387" s="123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125">
        <v>0</v>
      </c>
      <c r="Y387" s="125" t="s">
        <v>574</v>
      </c>
      <c r="Z387" s="125"/>
      <c r="AA387" s="112">
        <v>0</v>
      </c>
      <c r="AB387" s="112">
        <v>0</v>
      </c>
      <c r="AC387" s="8"/>
      <c r="AD387" s="109"/>
      <c r="AE387" s="66" t="s">
        <v>574</v>
      </c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6"/>
      <c r="AS387" s="66"/>
      <c r="AT387" s="66"/>
      <c r="AU387" s="66"/>
      <c r="AV387" s="66"/>
      <c r="AW387" s="66"/>
      <c r="AX387" s="66"/>
      <c r="AY387" s="66"/>
      <c r="AZ387" s="66"/>
      <c r="BA387" s="66"/>
      <c r="BB387" s="66"/>
      <c r="BC387" s="66"/>
      <c r="BD387" s="66"/>
      <c r="BE387" s="66"/>
      <c r="BF387" s="66"/>
      <c r="BG387" s="66"/>
      <c r="BH387" s="66"/>
      <c r="BI387" s="189" t="s">
        <v>1</v>
      </c>
      <c r="BJ387" s="204"/>
    </row>
    <row r="388" spans="2:62" ht="12.75" customHeight="1" x14ac:dyDescent="0.35">
      <c r="B388" s="126" t="s">
        <v>15</v>
      </c>
      <c r="C388" s="5" t="s">
        <v>5</v>
      </c>
      <c r="D388" s="127" t="s">
        <v>308</v>
      </c>
      <c r="E388" s="5" t="s">
        <v>315</v>
      </c>
      <c r="F388" s="128">
        <v>1076971</v>
      </c>
      <c r="G388" s="129" t="s">
        <v>672</v>
      </c>
      <c r="H388" s="139">
        <v>0</v>
      </c>
      <c r="I388" s="139">
        <v>0</v>
      </c>
      <c r="J388" s="125">
        <v>0</v>
      </c>
      <c r="K388" s="125">
        <v>6</v>
      </c>
      <c r="L388" s="130">
        <v>1.08</v>
      </c>
      <c r="M388" s="123">
        <v>0</v>
      </c>
      <c r="N388" s="130">
        <v>1.08</v>
      </c>
      <c r="O388" s="130">
        <v>0</v>
      </c>
      <c r="P388" s="123">
        <v>0</v>
      </c>
      <c r="Q388" s="5">
        <v>969</v>
      </c>
      <c r="R388" s="5">
        <v>0</v>
      </c>
      <c r="S388" s="5">
        <v>969</v>
      </c>
      <c r="T388" s="5">
        <v>0</v>
      </c>
      <c r="U388" s="5">
        <v>0</v>
      </c>
      <c r="V388" s="5">
        <v>0</v>
      </c>
      <c r="W388" s="5">
        <v>0</v>
      </c>
      <c r="X388" s="125">
        <v>0</v>
      </c>
      <c r="Y388" s="125" t="s">
        <v>574</v>
      </c>
      <c r="Z388" s="125"/>
      <c r="AA388" s="112">
        <v>0</v>
      </c>
      <c r="AB388" s="112">
        <v>3682.2</v>
      </c>
      <c r="AC388" s="8"/>
      <c r="AD388" s="109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6"/>
      <c r="AS388" s="66"/>
      <c r="AT388" s="66"/>
      <c r="AU388" s="66"/>
      <c r="AV388" s="66"/>
      <c r="AW388" s="66"/>
      <c r="AX388" s="66"/>
      <c r="AY388" s="66"/>
      <c r="AZ388" s="66"/>
      <c r="BA388" s="66"/>
      <c r="BB388" s="66"/>
      <c r="BC388" s="66"/>
      <c r="BD388" s="66"/>
      <c r="BE388" s="66"/>
      <c r="BF388" s="66"/>
      <c r="BG388" s="66"/>
      <c r="BH388" s="66"/>
      <c r="BI388" s="188" t="s">
        <v>1</v>
      </c>
      <c r="BJ388" s="204"/>
    </row>
    <row r="389" spans="2:62" ht="12.75" customHeight="1" x14ac:dyDescent="0.35">
      <c r="B389" s="126" t="s">
        <v>4</v>
      </c>
      <c r="C389" s="5" t="s">
        <v>5</v>
      </c>
      <c r="D389" s="127" t="s">
        <v>308</v>
      </c>
      <c r="E389" s="5" t="s">
        <v>315</v>
      </c>
      <c r="F389" s="128">
        <v>1073817</v>
      </c>
      <c r="G389" s="129" t="s">
        <v>621</v>
      </c>
      <c r="H389" s="139">
        <v>0</v>
      </c>
      <c r="I389" s="139">
        <v>0</v>
      </c>
      <c r="J389" s="125">
        <v>0</v>
      </c>
      <c r="K389" s="125">
        <v>0</v>
      </c>
      <c r="L389" s="130">
        <v>0</v>
      </c>
      <c r="M389" s="123">
        <v>0</v>
      </c>
      <c r="N389" s="130">
        <v>0</v>
      </c>
      <c r="O389" s="130">
        <v>0</v>
      </c>
      <c r="P389" s="123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125">
        <v>0</v>
      </c>
      <c r="Y389" s="125" t="s">
        <v>574</v>
      </c>
      <c r="Z389" s="125"/>
      <c r="AA389" s="112">
        <v>0</v>
      </c>
      <c r="AB389" s="112">
        <v>0</v>
      </c>
      <c r="AC389" s="8"/>
      <c r="AD389" s="109"/>
      <c r="AE389" s="66">
        <v>4.6103582516138566</v>
      </c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  <c r="AP389" s="66"/>
      <c r="AQ389" s="66"/>
      <c r="AR389" s="66"/>
      <c r="AS389" s="66"/>
      <c r="AT389" s="66"/>
      <c r="AU389" s="66"/>
      <c r="AV389" s="66"/>
      <c r="AW389" s="66"/>
      <c r="AX389" s="66"/>
      <c r="AY389" s="66"/>
      <c r="AZ389" s="66"/>
      <c r="BA389" s="66"/>
      <c r="BB389" s="66"/>
      <c r="BC389" s="66"/>
      <c r="BD389" s="66"/>
      <c r="BE389" s="66"/>
      <c r="BF389" s="66"/>
      <c r="BG389" s="66"/>
      <c r="BH389" s="66"/>
      <c r="BI389" s="188" t="s">
        <v>1</v>
      </c>
      <c r="BJ389" s="204"/>
    </row>
    <row r="390" spans="2:62" ht="12.75" customHeight="1" x14ac:dyDescent="0.35">
      <c r="B390" s="126" t="s">
        <v>4</v>
      </c>
      <c r="C390" s="5" t="s">
        <v>5</v>
      </c>
      <c r="D390" s="127" t="s">
        <v>308</v>
      </c>
      <c r="E390" s="5" t="s">
        <v>315</v>
      </c>
      <c r="F390" s="128">
        <v>1066854</v>
      </c>
      <c r="G390" s="129" t="s">
        <v>530</v>
      </c>
      <c r="H390" s="139">
        <v>0</v>
      </c>
      <c r="I390" s="139">
        <v>0</v>
      </c>
      <c r="J390" s="125">
        <v>0</v>
      </c>
      <c r="K390" s="125">
        <v>0</v>
      </c>
      <c r="L390" s="130">
        <v>0</v>
      </c>
      <c r="M390" s="123">
        <v>0</v>
      </c>
      <c r="N390" s="130">
        <v>0</v>
      </c>
      <c r="O390" s="130">
        <v>0</v>
      </c>
      <c r="P390" s="123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125">
        <v>0</v>
      </c>
      <c r="Y390" s="125" t="s">
        <v>574</v>
      </c>
      <c r="Z390" s="125"/>
      <c r="AA390" s="112">
        <v>0</v>
      </c>
      <c r="AB390" s="112">
        <v>0</v>
      </c>
      <c r="AC390" s="8"/>
      <c r="AD390" s="109"/>
      <c r="AE390" s="66" t="s">
        <v>574</v>
      </c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  <c r="AR390" s="66"/>
      <c r="AS390" s="66"/>
      <c r="AT390" s="66"/>
      <c r="AU390" s="66"/>
      <c r="AV390" s="66"/>
      <c r="AW390" s="66"/>
      <c r="AX390" s="66"/>
      <c r="AY390" s="66"/>
      <c r="AZ390" s="66"/>
      <c r="BA390" s="66"/>
      <c r="BB390" s="66"/>
      <c r="BC390" s="66"/>
      <c r="BD390" s="66"/>
      <c r="BE390" s="66"/>
      <c r="BF390" s="66"/>
      <c r="BG390" s="66"/>
      <c r="BH390" s="66"/>
      <c r="BI390" s="189" t="s">
        <v>1</v>
      </c>
      <c r="BJ390" s="204"/>
    </row>
    <row r="391" spans="2:62" ht="12.75" customHeight="1" x14ac:dyDescent="0.35">
      <c r="B391" s="126" t="s">
        <v>9</v>
      </c>
      <c r="C391" s="5" t="s">
        <v>5</v>
      </c>
      <c r="D391" s="127" t="s">
        <v>308</v>
      </c>
      <c r="E391" s="5" t="s">
        <v>315</v>
      </c>
      <c r="F391" s="128">
        <v>1069926</v>
      </c>
      <c r="G391" s="129" t="s">
        <v>576</v>
      </c>
      <c r="H391" s="139">
        <v>0</v>
      </c>
      <c r="I391" s="139">
        <v>0</v>
      </c>
      <c r="J391" s="125">
        <v>0</v>
      </c>
      <c r="K391" s="125">
        <v>0</v>
      </c>
      <c r="L391" s="130">
        <v>0</v>
      </c>
      <c r="M391" s="123">
        <v>0</v>
      </c>
      <c r="N391" s="130">
        <v>0</v>
      </c>
      <c r="O391" s="130">
        <v>0</v>
      </c>
      <c r="P391" s="123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125">
        <v>0</v>
      </c>
      <c r="Y391" s="125" t="s">
        <v>574</v>
      </c>
      <c r="Z391" s="125"/>
      <c r="AA391" s="112">
        <v>0</v>
      </c>
      <c r="AB391" s="112">
        <v>0</v>
      </c>
      <c r="AC391" s="8"/>
      <c r="AD391" s="109"/>
      <c r="AE391" s="66">
        <v>29.24054054054054</v>
      </c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6"/>
      <c r="AS391" s="66"/>
      <c r="AT391" s="66"/>
      <c r="AU391" s="66"/>
      <c r="AV391" s="66"/>
      <c r="AW391" s="66"/>
      <c r="AX391" s="66"/>
      <c r="AY391" s="66"/>
      <c r="AZ391" s="66"/>
      <c r="BA391" s="66"/>
      <c r="BB391" s="66"/>
      <c r="BC391" s="66"/>
      <c r="BD391" s="66"/>
      <c r="BE391" s="66"/>
      <c r="BF391" s="66"/>
      <c r="BG391" s="66"/>
      <c r="BH391" s="66"/>
      <c r="BI391" s="189" t="s">
        <v>1</v>
      </c>
      <c r="BJ391" s="204"/>
    </row>
    <row r="392" spans="2:62" ht="12.75" customHeight="1" x14ac:dyDescent="0.35">
      <c r="B392" s="126" t="s">
        <v>9</v>
      </c>
      <c r="C392" s="5" t="s">
        <v>5</v>
      </c>
      <c r="D392" s="127" t="s">
        <v>308</v>
      </c>
      <c r="E392" s="5" t="s">
        <v>315</v>
      </c>
      <c r="F392" s="128">
        <v>1058418</v>
      </c>
      <c r="G392" s="129" t="s">
        <v>235</v>
      </c>
      <c r="H392" s="139">
        <v>0</v>
      </c>
      <c r="I392" s="139">
        <v>0</v>
      </c>
      <c r="J392" s="125">
        <v>0</v>
      </c>
      <c r="K392" s="125">
        <v>0</v>
      </c>
      <c r="L392" s="130">
        <v>0</v>
      </c>
      <c r="M392" s="123">
        <v>0</v>
      </c>
      <c r="N392" s="130">
        <v>0</v>
      </c>
      <c r="O392" s="130">
        <v>0</v>
      </c>
      <c r="P392" s="123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125">
        <v>0</v>
      </c>
      <c r="Y392" s="125" t="s">
        <v>574</v>
      </c>
      <c r="Z392" s="125"/>
      <c r="AA392" s="112">
        <v>0</v>
      </c>
      <c r="AB392" s="112">
        <v>0</v>
      </c>
      <c r="AC392" s="8"/>
      <c r="AD392" s="109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6"/>
      <c r="AS392" s="66"/>
      <c r="AT392" s="66"/>
      <c r="AU392" s="66"/>
      <c r="AV392" s="66"/>
      <c r="AW392" s="66"/>
      <c r="AX392" s="66"/>
      <c r="AY392" s="66"/>
      <c r="AZ392" s="66"/>
      <c r="BA392" s="66"/>
      <c r="BB392" s="66"/>
      <c r="BC392" s="66"/>
      <c r="BD392" s="66"/>
      <c r="BE392" s="66"/>
      <c r="BF392" s="66"/>
      <c r="BG392" s="66"/>
      <c r="BH392" s="66"/>
      <c r="BI392" s="189" t="s">
        <v>1</v>
      </c>
      <c r="BJ392" s="204"/>
    </row>
    <row r="393" spans="2:62" ht="12.75" customHeight="1" x14ac:dyDescent="0.35">
      <c r="B393" s="126" t="s">
        <v>9</v>
      </c>
      <c r="C393" s="5" t="s">
        <v>5</v>
      </c>
      <c r="D393" s="127" t="s">
        <v>308</v>
      </c>
      <c r="E393" s="5" t="s">
        <v>315</v>
      </c>
      <c r="F393" s="128">
        <v>1065134</v>
      </c>
      <c r="G393" s="129" t="s">
        <v>517</v>
      </c>
      <c r="H393" s="139">
        <v>0</v>
      </c>
      <c r="I393" s="139">
        <v>0</v>
      </c>
      <c r="J393" s="125">
        <v>0</v>
      </c>
      <c r="K393" s="125">
        <v>0</v>
      </c>
      <c r="L393" s="130">
        <v>0</v>
      </c>
      <c r="M393" s="123">
        <v>0</v>
      </c>
      <c r="N393" s="130">
        <v>0</v>
      </c>
      <c r="O393" s="130">
        <v>0</v>
      </c>
      <c r="P393" s="123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125">
        <v>0</v>
      </c>
      <c r="Y393" s="125" t="s">
        <v>574</v>
      </c>
      <c r="Z393" s="125"/>
      <c r="AA393" s="112">
        <v>0</v>
      </c>
      <c r="AB393" s="112">
        <v>0</v>
      </c>
      <c r="AC393" s="8"/>
      <c r="AD393" s="109"/>
      <c r="AE393" s="66" t="s">
        <v>574</v>
      </c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  <c r="AR393" s="66"/>
      <c r="AS393" s="66"/>
      <c r="AT393" s="66"/>
      <c r="AU393" s="66"/>
      <c r="AV393" s="66"/>
      <c r="AW393" s="66"/>
      <c r="AX393" s="66"/>
      <c r="AY393" s="66"/>
      <c r="AZ393" s="66"/>
      <c r="BA393" s="66"/>
      <c r="BB393" s="66"/>
      <c r="BC393" s="66"/>
      <c r="BD393" s="66"/>
      <c r="BE393" s="66"/>
      <c r="BF393" s="66"/>
      <c r="BG393" s="66"/>
      <c r="BH393" s="66"/>
      <c r="BI393" s="188" t="s">
        <v>1</v>
      </c>
      <c r="BJ393" s="204"/>
    </row>
    <row r="394" spans="2:62" ht="12.75" customHeight="1" x14ac:dyDescent="0.35">
      <c r="B394" s="126" t="s">
        <v>9</v>
      </c>
      <c r="C394" s="5" t="s">
        <v>5</v>
      </c>
      <c r="D394" s="127" t="s">
        <v>308</v>
      </c>
      <c r="E394" s="5" t="s">
        <v>315</v>
      </c>
      <c r="F394" s="128">
        <v>1068116</v>
      </c>
      <c r="G394" s="129" t="s">
        <v>551</v>
      </c>
      <c r="H394" s="139">
        <v>0</v>
      </c>
      <c r="I394" s="139">
        <v>0</v>
      </c>
      <c r="J394" s="125">
        <v>0</v>
      </c>
      <c r="K394" s="125">
        <v>0</v>
      </c>
      <c r="L394" s="130">
        <v>0</v>
      </c>
      <c r="M394" s="123">
        <v>0</v>
      </c>
      <c r="N394" s="130">
        <v>0</v>
      </c>
      <c r="O394" s="130">
        <v>0</v>
      </c>
      <c r="P394" s="123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125">
        <v>0</v>
      </c>
      <c r="Y394" s="125" t="s">
        <v>574</v>
      </c>
      <c r="Z394" s="125"/>
      <c r="AA394" s="112">
        <v>0</v>
      </c>
      <c r="AB394" s="112">
        <v>0</v>
      </c>
      <c r="AC394" s="8"/>
      <c r="AD394" s="109"/>
      <c r="AE394" s="66" t="s">
        <v>574</v>
      </c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66"/>
      <c r="AU394" s="66"/>
      <c r="AV394" s="66"/>
      <c r="AW394" s="66"/>
      <c r="AX394" s="66"/>
      <c r="AY394" s="66"/>
      <c r="AZ394" s="66"/>
      <c r="BA394" s="66"/>
      <c r="BB394" s="66"/>
      <c r="BC394" s="66"/>
      <c r="BD394" s="66"/>
      <c r="BE394" s="66"/>
      <c r="BF394" s="66"/>
      <c r="BG394" s="66"/>
      <c r="BH394" s="66"/>
      <c r="BI394" s="189" t="s">
        <v>1</v>
      </c>
      <c r="BJ394" s="204"/>
    </row>
    <row r="395" spans="2:62" ht="12.75" customHeight="1" x14ac:dyDescent="0.35">
      <c r="B395" s="126" t="s">
        <v>15</v>
      </c>
      <c r="C395" s="5" t="s">
        <v>5</v>
      </c>
      <c r="D395" s="127" t="s">
        <v>308</v>
      </c>
      <c r="E395" s="5" t="s">
        <v>315</v>
      </c>
      <c r="F395" s="128">
        <v>1058340</v>
      </c>
      <c r="G395" s="129" t="s">
        <v>233</v>
      </c>
      <c r="H395" s="139">
        <v>0</v>
      </c>
      <c r="I395" s="139">
        <v>0</v>
      </c>
      <c r="J395" s="125">
        <v>0</v>
      </c>
      <c r="K395" s="125">
        <v>0</v>
      </c>
      <c r="L395" s="130">
        <v>0</v>
      </c>
      <c r="M395" s="123">
        <v>0</v>
      </c>
      <c r="N395" s="130">
        <v>0</v>
      </c>
      <c r="O395" s="130">
        <v>0</v>
      </c>
      <c r="P395" s="123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125">
        <v>0</v>
      </c>
      <c r="Y395" s="125" t="s">
        <v>574</v>
      </c>
      <c r="Z395" s="125"/>
      <c r="AA395" s="112">
        <v>0</v>
      </c>
      <c r="AB395" s="112">
        <v>0</v>
      </c>
      <c r="AC395" s="8"/>
      <c r="AD395" s="109"/>
      <c r="AE395" s="66">
        <v>11.890168795620438</v>
      </c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  <c r="AP395" s="66"/>
      <c r="AQ395" s="66"/>
      <c r="AR395" s="66"/>
      <c r="AS395" s="66"/>
      <c r="AT395" s="66"/>
      <c r="AU395" s="66"/>
      <c r="AV395" s="66"/>
      <c r="AW395" s="66"/>
      <c r="AX395" s="66"/>
      <c r="AY395" s="66"/>
      <c r="AZ395" s="66"/>
      <c r="BA395" s="66"/>
      <c r="BB395" s="66"/>
      <c r="BC395" s="66"/>
      <c r="BD395" s="66"/>
      <c r="BE395" s="66"/>
      <c r="BF395" s="66"/>
      <c r="BG395" s="66"/>
      <c r="BH395" s="66"/>
      <c r="BI395" s="188" t="s">
        <v>1</v>
      </c>
      <c r="BJ395" s="204"/>
    </row>
    <row r="396" spans="2:62" ht="12.75" customHeight="1" x14ac:dyDescent="0.35">
      <c r="B396" s="126" t="s">
        <v>15</v>
      </c>
      <c r="C396" s="5" t="s">
        <v>5</v>
      </c>
      <c r="D396" s="127" t="s">
        <v>308</v>
      </c>
      <c r="E396" s="5" t="s">
        <v>315</v>
      </c>
      <c r="F396" s="128">
        <v>1036068</v>
      </c>
      <c r="G396" s="129" t="s">
        <v>384</v>
      </c>
      <c r="H396" s="139">
        <v>0</v>
      </c>
      <c r="I396" s="139">
        <v>0</v>
      </c>
      <c r="J396" s="125">
        <v>0</v>
      </c>
      <c r="K396" s="125">
        <v>0</v>
      </c>
      <c r="L396" s="130">
        <v>0</v>
      </c>
      <c r="M396" s="123">
        <v>0</v>
      </c>
      <c r="N396" s="130">
        <v>0</v>
      </c>
      <c r="O396" s="130">
        <v>0</v>
      </c>
      <c r="P396" s="123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125">
        <v>0</v>
      </c>
      <c r="Y396" s="125" t="s">
        <v>574</v>
      </c>
      <c r="Z396" s="125"/>
      <c r="AA396" s="112">
        <v>0</v>
      </c>
      <c r="AB396" s="112">
        <v>0</v>
      </c>
      <c r="AC396" s="8"/>
      <c r="AD396" s="109"/>
      <c r="AE396" s="66" t="s">
        <v>574</v>
      </c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66"/>
      <c r="AU396" s="66"/>
      <c r="AV396" s="66"/>
      <c r="AW396" s="66"/>
      <c r="AX396" s="66"/>
      <c r="AY396" s="66"/>
      <c r="AZ396" s="66"/>
      <c r="BA396" s="66"/>
      <c r="BB396" s="66"/>
      <c r="BC396" s="66"/>
      <c r="BD396" s="66"/>
      <c r="BE396" s="66"/>
      <c r="BF396" s="66"/>
      <c r="BG396" s="66"/>
      <c r="BH396" s="66"/>
      <c r="BI396" s="189" t="s">
        <v>1</v>
      </c>
      <c r="BJ396" s="204"/>
    </row>
    <row r="397" spans="2:62" ht="12.75" customHeight="1" x14ac:dyDescent="0.35">
      <c r="B397" s="126" t="s">
        <v>9</v>
      </c>
      <c r="C397" s="5" t="s">
        <v>5</v>
      </c>
      <c r="D397" s="127" t="s">
        <v>308</v>
      </c>
      <c r="E397" s="5" t="s">
        <v>315</v>
      </c>
      <c r="F397" s="128">
        <v>1069927</v>
      </c>
      <c r="G397" s="129" t="s">
        <v>580</v>
      </c>
      <c r="H397" s="139">
        <v>0</v>
      </c>
      <c r="I397" s="139">
        <v>0</v>
      </c>
      <c r="J397" s="125">
        <v>0</v>
      </c>
      <c r="K397" s="125">
        <v>0</v>
      </c>
      <c r="L397" s="130">
        <v>0</v>
      </c>
      <c r="M397" s="123">
        <v>0</v>
      </c>
      <c r="N397" s="130">
        <v>0</v>
      </c>
      <c r="O397" s="130">
        <v>0</v>
      </c>
      <c r="P397" s="123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125">
        <v>0</v>
      </c>
      <c r="Y397" s="125" t="s">
        <v>574</v>
      </c>
      <c r="Z397" s="125"/>
      <c r="AA397" s="112">
        <v>0</v>
      </c>
      <c r="AB397" s="112">
        <v>0</v>
      </c>
      <c r="AC397" s="8"/>
      <c r="AD397" s="109"/>
      <c r="AE397" s="66" t="s">
        <v>574</v>
      </c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  <c r="AR397" s="66"/>
      <c r="AS397" s="66"/>
      <c r="AT397" s="66"/>
      <c r="AU397" s="66"/>
      <c r="AV397" s="66"/>
      <c r="AW397" s="66"/>
      <c r="AX397" s="66"/>
      <c r="AY397" s="66"/>
      <c r="AZ397" s="66"/>
      <c r="BA397" s="66"/>
      <c r="BB397" s="66"/>
      <c r="BC397" s="66"/>
      <c r="BD397" s="66"/>
      <c r="BE397" s="66"/>
      <c r="BF397" s="66"/>
      <c r="BG397" s="66"/>
      <c r="BH397" s="66"/>
      <c r="BI397" s="189" t="s">
        <v>1</v>
      </c>
      <c r="BJ397" s="204"/>
    </row>
    <row r="398" spans="2:62" ht="12.75" customHeight="1" x14ac:dyDescent="0.35">
      <c r="B398" s="126" t="s">
        <v>1</v>
      </c>
      <c r="C398" s="5" t="s">
        <v>5</v>
      </c>
      <c r="D398" s="127" t="s">
        <v>308</v>
      </c>
      <c r="E398" s="5" t="s">
        <v>315</v>
      </c>
      <c r="F398" s="128">
        <v>1059094</v>
      </c>
      <c r="G398" s="129" t="s">
        <v>265</v>
      </c>
      <c r="H398" s="139">
        <v>0</v>
      </c>
      <c r="I398" s="139">
        <v>0</v>
      </c>
      <c r="J398" s="125">
        <v>0</v>
      </c>
      <c r="K398" s="125">
        <v>0</v>
      </c>
      <c r="L398" s="130">
        <v>0</v>
      </c>
      <c r="M398" s="123">
        <v>0</v>
      </c>
      <c r="N398" s="130">
        <v>0</v>
      </c>
      <c r="O398" s="130">
        <v>0</v>
      </c>
      <c r="P398" s="123">
        <v>0</v>
      </c>
      <c r="Q398" s="5">
        <v>0</v>
      </c>
      <c r="R398" s="5">
        <v>0</v>
      </c>
      <c r="S398" s="5">
        <v>0</v>
      </c>
      <c r="T398" s="5">
        <v>4800</v>
      </c>
      <c r="U398" s="5">
        <v>0</v>
      </c>
      <c r="V398" s="5">
        <v>0</v>
      </c>
      <c r="W398" s="5">
        <v>0</v>
      </c>
      <c r="X398" s="125">
        <v>0</v>
      </c>
      <c r="Y398" s="125" t="s">
        <v>574</v>
      </c>
      <c r="Z398" s="125"/>
      <c r="AA398" s="112">
        <v>0</v>
      </c>
      <c r="AB398" s="112">
        <v>28272</v>
      </c>
      <c r="AC398" s="8"/>
      <c r="AD398" s="109"/>
      <c r="AE398" s="66">
        <v>72.740287386907923</v>
      </c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6"/>
      <c r="AS398" s="66"/>
      <c r="AT398" s="66"/>
      <c r="AU398" s="66"/>
      <c r="AV398" s="66"/>
      <c r="AW398" s="66"/>
      <c r="AX398" s="66"/>
      <c r="AY398" s="66"/>
      <c r="AZ398" s="66"/>
      <c r="BA398" s="66"/>
      <c r="BB398" s="66"/>
      <c r="BC398" s="66"/>
      <c r="BD398" s="66"/>
      <c r="BE398" s="66"/>
      <c r="BF398" s="66"/>
      <c r="BG398" s="66"/>
      <c r="BH398" s="66"/>
      <c r="BI398" s="188" t="s">
        <v>1</v>
      </c>
      <c r="BJ398" s="204"/>
    </row>
    <row r="399" spans="2:62" ht="12.75" customHeight="1" x14ac:dyDescent="0.35">
      <c r="B399" s="126" t="s">
        <v>9</v>
      </c>
      <c r="C399" s="5" t="s">
        <v>5</v>
      </c>
      <c r="D399" s="127" t="s">
        <v>308</v>
      </c>
      <c r="E399" s="5" t="s">
        <v>315</v>
      </c>
      <c r="F399" s="128">
        <v>1059095</v>
      </c>
      <c r="G399" s="129" t="s">
        <v>266</v>
      </c>
      <c r="H399" s="139">
        <v>0</v>
      </c>
      <c r="I399" s="139">
        <v>0</v>
      </c>
      <c r="J399" s="125">
        <v>0</v>
      </c>
      <c r="K399" s="125">
        <v>0</v>
      </c>
      <c r="L399" s="130">
        <v>0</v>
      </c>
      <c r="M399" s="123">
        <v>0</v>
      </c>
      <c r="N399" s="130">
        <v>0</v>
      </c>
      <c r="O399" s="130">
        <v>0</v>
      </c>
      <c r="P399" s="123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125">
        <v>0</v>
      </c>
      <c r="Y399" s="125" t="s">
        <v>574</v>
      </c>
      <c r="Z399" s="125"/>
      <c r="AA399" s="112">
        <v>0</v>
      </c>
      <c r="AB399" s="112">
        <v>0</v>
      </c>
      <c r="AC399" s="8"/>
      <c r="AD399" s="109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  <c r="AP399" s="66"/>
      <c r="AQ399" s="66"/>
      <c r="AR399" s="66"/>
      <c r="AS399" s="66"/>
      <c r="AT399" s="66"/>
      <c r="AU399" s="66"/>
      <c r="AV399" s="66"/>
      <c r="AW399" s="66"/>
      <c r="AX399" s="66"/>
      <c r="AY399" s="66"/>
      <c r="AZ399" s="66"/>
      <c r="BA399" s="66"/>
      <c r="BB399" s="66"/>
      <c r="BC399" s="66"/>
      <c r="BD399" s="66"/>
      <c r="BE399" s="66"/>
      <c r="BF399" s="66"/>
      <c r="BG399" s="66"/>
      <c r="BH399" s="66"/>
      <c r="BI399" s="188"/>
      <c r="BJ399" s="204"/>
    </row>
    <row r="400" spans="2:62" ht="12.75" customHeight="1" x14ac:dyDescent="0.35">
      <c r="B400" s="126" t="s">
        <v>4</v>
      </c>
      <c r="C400" s="5" t="s">
        <v>5</v>
      </c>
      <c r="D400" s="127" t="s">
        <v>308</v>
      </c>
      <c r="E400" s="5" t="s">
        <v>315</v>
      </c>
      <c r="F400" s="128">
        <v>1056709</v>
      </c>
      <c r="G400" s="129" t="s">
        <v>219</v>
      </c>
      <c r="H400" s="139">
        <v>0</v>
      </c>
      <c r="I400" s="139">
        <v>0</v>
      </c>
      <c r="J400" s="125">
        <v>0</v>
      </c>
      <c r="K400" s="125">
        <v>0</v>
      </c>
      <c r="L400" s="130">
        <v>0</v>
      </c>
      <c r="M400" s="123">
        <v>0</v>
      </c>
      <c r="N400" s="130">
        <v>0</v>
      </c>
      <c r="O400" s="130">
        <v>0</v>
      </c>
      <c r="P400" s="123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125">
        <v>0</v>
      </c>
      <c r="Y400" s="125" t="s">
        <v>574</v>
      </c>
      <c r="Z400" s="125"/>
      <c r="AA400" s="112">
        <v>0</v>
      </c>
      <c r="AB400" s="112">
        <v>0</v>
      </c>
      <c r="AC400" s="8"/>
      <c r="AD400" s="109"/>
      <c r="AE400" s="66">
        <v>42.023612895332477</v>
      </c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  <c r="AP400" s="66"/>
      <c r="AQ400" s="66"/>
      <c r="AR400" s="66"/>
      <c r="AS400" s="66"/>
      <c r="AT400" s="66"/>
      <c r="AU400" s="66"/>
      <c r="AV400" s="66"/>
      <c r="AW400" s="66"/>
      <c r="AX400" s="66"/>
      <c r="AY400" s="66"/>
      <c r="AZ400" s="66"/>
      <c r="BA400" s="66"/>
      <c r="BB400" s="66"/>
      <c r="BC400" s="66"/>
      <c r="BD400" s="66"/>
      <c r="BE400" s="66"/>
      <c r="BF400" s="66"/>
      <c r="BG400" s="66"/>
      <c r="BH400" s="66"/>
      <c r="BI400" s="189" t="s">
        <v>1</v>
      </c>
      <c r="BJ400" s="204"/>
    </row>
    <row r="401" spans="2:62" ht="12.75" customHeight="1" x14ac:dyDescent="0.3">
      <c r="B401" s="126">
        <v>0</v>
      </c>
      <c r="C401" s="5" t="s">
        <v>5</v>
      </c>
      <c r="D401" s="127" t="s">
        <v>308</v>
      </c>
      <c r="E401" s="5" t="s">
        <v>315</v>
      </c>
      <c r="F401" s="5">
        <v>1083107</v>
      </c>
      <c r="G401" s="170" t="s">
        <v>777</v>
      </c>
      <c r="H401" s="139">
        <v>0</v>
      </c>
      <c r="I401" s="139">
        <v>0</v>
      </c>
      <c r="J401" s="125">
        <v>0</v>
      </c>
      <c r="K401" s="125">
        <v>0</v>
      </c>
      <c r="L401" s="130">
        <v>0</v>
      </c>
      <c r="M401" s="123">
        <v>0</v>
      </c>
      <c r="N401" s="130">
        <v>0</v>
      </c>
      <c r="O401" s="130">
        <v>0</v>
      </c>
      <c r="P401" s="123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6</v>
      </c>
      <c r="X401" s="125">
        <v>0</v>
      </c>
      <c r="Y401" s="125" t="s">
        <v>574</v>
      </c>
      <c r="Z401" s="125"/>
      <c r="AA401" s="112">
        <v>0</v>
      </c>
      <c r="AB401" s="112">
        <v>13.26</v>
      </c>
      <c r="AC401" s="8"/>
      <c r="AD401" s="109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  <c r="AR401" s="66"/>
      <c r="AS401" s="66"/>
      <c r="AT401" s="66"/>
      <c r="AU401" s="66"/>
      <c r="AV401" s="66"/>
      <c r="AW401" s="66"/>
      <c r="AX401" s="66"/>
      <c r="AY401" s="66"/>
      <c r="AZ401" s="66"/>
      <c r="BA401" s="66"/>
      <c r="BB401" s="66"/>
      <c r="BC401" s="66"/>
      <c r="BD401" s="66"/>
      <c r="BE401" s="66"/>
      <c r="BF401" s="66"/>
      <c r="BG401" s="66"/>
      <c r="BH401" s="66"/>
      <c r="BI401" s="189" t="s">
        <v>1</v>
      </c>
      <c r="BJ401" s="204"/>
    </row>
    <row r="402" spans="2:62" ht="12.75" customHeight="1" x14ac:dyDescent="0.35">
      <c r="B402" s="126" t="s">
        <v>1</v>
      </c>
      <c r="C402" s="5" t="s">
        <v>2</v>
      </c>
      <c r="D402" s="127" t="s">
        <v>308</v>
      </c>
      <c r="E402" s="5" t="s">
        <v>307</v>
      </c>
      <c r="F402" s="128">
        <v>1041905</v>
      </c>
      <c r="G402" s="129" t="s">
        <v>446</v>
      </c>
      <c r="H402" s="139">
        <v>0</v>
      </c>
      <c r="I402" s="139">
        <v>0</v>
      </c>
      <c r="J402" s="125">
        <v>0</v>
      </c>
      <c r="K402" s="125">
        <v>0</v>
      </c>
      <c r="L402" s="130">
        <v>0</v>
      </c>
      <c r="M402" s="123">
        <v>0</v>
      </c>
      <c r="N402" s="130">
        <v>0</v>
      </c>
      <c r="O402" s="130">
        <v>0</v>
      </c>
      <c r="P402" s="123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125">
        <v>0</v>
      </c>
      <c r="Y402" s="125" t="s">
        <v>574</v>
      </c>
      <c r="Z402" s="125"/>
      <c r="AA402" s="112">
        <v>0</v>
      </c>
      <c r="AB402" s="112">
        <v>0</v>
      </c>
      <c r="AC402" s="8"/>
      <c r="AD402" s="109"/>
      <c r="AE402" s="66">
        <v>10.153990484487016</v>
      </c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  <c r="AP402" s="66"/>
      <c r="AQ402" s="66"/>
      <c r="AR402" s="66"/>
      <c r="AS402" s="66"/>
      <c r="AT402" s="66"/>
      <c r="AU402" s="66"/>
      <c r="AV402" s="66"/>
      <c r="AW402" s="66"/>
      <c r="AX402" s="66"/>
      <c r="AY402" s="66"/>
      <c r="AZ402" s="66"/>
      <c r="BA402" s="66"/>
      <c r="BB402" s="66"/>
      <c r="BC402" s="66"/>
      <c r="BD402" s="66"/>
      <c r="BE402" s="66"/>
      <c r="BF402" s="66"/>
      <c r="BG402" s="66"/>
      <c r="BH402" s="66"/>
      <c r="BI402" s="189" t="s">
        <v>1</v>
      </c>
      <c r="BJ402" s="204"/>
    </row>
    <row r="403" spans="2:62" ht="12.75" customHeight="1" x14ac:dyDescent="0.35">
      <c r="B403" s="126" t="s">
        <v>1</v>
      </c>
      <c r="C403" s="5" t="s">
        <v>2</v>
      </c>
      <c r="D403" s="127" t="s">
        <v>308</v>
      </c>
      <c r="E403" s="5" t="s">
        <v>307</v>
      </c>
      <c r="F403" s="128">
        <v>1046506</v>
      </c>
      <c r="G403" s="129" t="s">
        <v>130</v>
      </c>
      <c r="H403" s="139">
        <v>0</v>
      </c>
      <c r="I403" s="139">
        <v>0</v>
      </c>
      <c r="J403" s="125">
        <v>0</v>
      </c>
      <c r="K403" s="125">
        <v>0</v>
      </c>
      <c r="L403" s="130">
        <v>0</v>
      </c>
      <c r="M403" s="123">
        <v>0</v>
      </c>
      <c r="N403" s="130">
        <v>0</v>
      </c>
      <c r="O403" s="130">
        <v>0</v>
      </c>
      <c r="P403" s="123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125">
        <v>0</v>
      </c>
      <c r="Y403" s="125" t="s">
        <v>574</v>
      </c>
      <c r="Z403" s="125"/>
      <c r="AA403" s="112">
        <v>0</v>
      </c>
      <c r="AB403" s="112">
        <v>0</v>
      </c>
      <c r="AC403" s="8"/>
      <c r="AD403" s="109"/>
      <c r="AE403" s="66" t="s">
        <v>574</v>
      </c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  <c r="AP403" s="66"/>
      <c r="AQ403" s="66"/>
      <c r="AR403" s="66"/>
      <c r="AS403" s="66"/>
      <c r="AT403" s="66"/>
      <c r="AU403" s="66"/>
      <c r="AV403" s="66"/>
      <c r="AW403" s="66"/>
      <c r="AX403" s="66"/>
      <c r="AY403" s="66"/>
      <c r="AZ403" s="66"/>
      <c r="BA403" s="66"/>
      <c r="BB403" s="66"/>
      <c r="BC403" s="66"/>
      <c r="BD403" s="66"/>
      <c r="BE403" s="66"/>
      <c r="BF403" s="66"/>
      <c r="BG403" s="66"/>
      <c r="BH403" s="66"/>
      <c r="BI403" s="189" t="s">
        <v>1</v>
      </c>
      <c r="BJ403" s="204"/>
    </row>
    <row r="404" spans="2:62" ht="12.75" customHeight="1" x14ac:dyDescent="0.35">
      <c r="B404" s="126" t="s">
        <v>1</v>
      </c>
      <c r="C404" s="5" t="s">
        <v>2</v>
      </c>
      <c r="D404" s="127" t="s">
        <v>308</v>
      </c>
      <c r="E404" s="5" t="s">
        <v>307</v>
      </c>
      <c r="F404" s="128">
        <v>1045151</v>
      </c>
      <c r="G404" s="129" t="s">
        <v>162</v>
      </c>
      <c r="H404" s="139">
        <v>0</v>
      </c>
      <c r="I404" s="139">
        <v>0</v>
      </c>
      <c r="J404" s="125">
        <v>0</v>
      </c>
      <c r="K404" s="125">
        <v>0</v>
      </c>
      <c r="L404" s="130">
        <v>0</v>
      </c>
      <c r="M404" s="123">
        <v>0</v>
      </c>
      <c r="N404" s="130">
        <v>0</v>
      </c>
      <c r="O404" s="130">
        <v>0</v>
      </c>
      <c r="P404" s="123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125">
        <v>0</v>
      </c>
      <c r="Y404" s="125" t="s">
        <v>574</v>
      </c>
      <c r="Z404" s="125"/>
      <c r="AA404" s="112">
        <v>0</v>
      </c>
      <c r="AB404" s="112">
        <v>0</v>
      </c>
      <c r="AC404" s="8"/>
      <c r="AD404" s="109"/>
      <c r="AE404" s="66" t="s">
        <v>574</v>
      </c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  <c r="AP404" s="66"/>
      <c r="AQ404" s="66"/>
      <c r="AR404" s="66"/>
      <c r="AS404" s="66"/>
      <c r="AT404" s="66"/>
      <c r="AU404" s="66"/>
      <c r="AV404" s="66"/>
      <c r="AW404" s="66"/>
      <c r="AX404" s="66"/>
      <c r="AY404" s="66"/>
      <c r="AZ404" s="66"/>
      <c r="BA404" s="66"/>
      <c r="BB404" s="66"/>
      <c r="BC404" s="66"/>
      <c r="BD404" s="66"/>
      <c r="BE404" s="66"/>
      <c r="BF404" s="66"/>
      <c r="BG404" s="66"/>
      <c r="BH404" s="66"/>
      <c r="BI404" s="189" t="s">
        <v>1</v>
      </c>
      <c r="BJ404" s="204"/>
    </row>
    <row r="405" spans="2:62" ht="12.75" customHeight="1" x14ac:dyDescent="0.35">
      <c r="B405" s="126" t="s">
        <v>1</v>
      </c>
      <c r="C405" s="5" t="s">
        <v>2</v>
      </c>
      <c r="D405" s="127" t="s">
        <v>308</v>
      </c>
      <c r="E405" s="5" t="s">
        <v>307</v>
      </c>
      <c r="F405" s="128">
        <v>1038132</v>
      </c>
      <c r="G405" s="129" t="s">
        <v>293</v>
      </c>
      <c r="H405" s="139">
        <v>0</v>
      </c>
      <c r="I405" s="139">
        <v>0</v>
      </c>
      <c r="J405" s="125">
        <v>0</v>
      </c>
      <c r="K405" s="125">
        <v>0</v>
      </c>
      <c r="L405" s="130">
        <v>0</v>
      </c>
      <c r="M405" s="123">
        <v>0</v>
      </c>
      <c r="N405" s="130">
        <v>0</v>
      </c>
      <c r="O405" s="130">
        <v>0</v>
      </c>
      <c r="P405" s="123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125">
        <v>0</v>
      </c>
      <c r="Y405" s="125" t="s">
        <v>574</v>
      </c>
      <c r="Z405" s="125"/>
      <c r="AA405" s="112">
        <v>0</v>
      </c>
      <c r="AB405" s="112">
        <v>0</v>
      </c>
      <c r="AC405" s="8"/>
      <c r="AD405" s="109"/>
      <c r="AE405" s="66">
        <v>28.496218260399786</v>
      </c>
      <c r="AF405" s="66"/>
      <c r="AG405" s="66"/>
      <c r="AH405" s="66"/>
      <c r="AI405" s="66"/>
      <c r="AJ405" s="66"/>
      <c r="AK405" s="66"/>
      <c r="AL405" s="66"/>
      <c r="AM405" s="66"/>
      <c r="AN405" s="66"/>
      <c r="AO405" s="66"/>
      <c r="AP405" s="66"/>
      <c r="AQ405" s="66"/>
      <c r="AR405" s="66"/>
      <c r="AS405" s="66"/>
      <c r="AT405" s="66"/>
      <c r="AU405" s="66"/>
      <c r="AV405" s="66"/>
      <c r="AW405" s="66"/>
      <c r="AX405" s="66"/>
      <c r="AY405" s="66"/>
      <c r="AZ405" s="66"/>
      <c r="BA405" s="66"/>
      <c r="BB405" s="66"/>
      <c r="BC405" s="66"/>
      <c r="BD405" s="66"/>
      <c r="BE405" s="66"/>
      <c r="BF405" s="66"/>
      <c r="BG405" s="66"/>
      <c r="BH405" s="66"/>
      <c r="BI405" s="188" t="s">
        <v>1</v>
      </c>
      <c r="BJ405" s="204"/>
    </row>
    <row r="406" spans="2:62" ht="12.75" customHeight="1" x14ac:dyDescent="0.35">
      <c r="B406" s="126" t="s">
        <v>1</v>
      </c>
      <c r="C406" s="5" t="s">
        <v>2</v>
      </c>
      <c r="D406" s="127" t="s">
        <v>308</v>
      </c>
      <c r="E406" s="5" t="s">
        <v>307</v>
      </c>
      <c r="F406" s="128">
        <v>1038131</v>
      </c>
      <c r="G406" s="129" t="s">
        <v>75</v>
      </c>
      <c r="H406" s="139">
        <v>0</v>
      </c>
      <c r="I406" s="139">
        <v>0</v>
      </c>
      <c r="J406" s="125">
        <v>0</v>
      </c>
      <c r="K406" s="125">
        <v>0</v>
      </c>
      <c r="L406" s="130">
        <v>0</v>
      </c>
      <c r="M406" s="123">
        <v>0</v>
      </c>
      <c r="N406" s="130">
        <v>0</v>
      </c>
      <c r="O406" s="130">
        <v>0</v>
      </c>
      <c r="P406" s="123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125">
        <v>0</v>
      </c>
      <c r="Y406" s="125" t="s">
        <v>574</v>
      </c>
      <c r="Z406" s="125"/>
      <c r="AA406" s="112">
        <v>0</v>
      </c>
      <c r="AB406" s="112">
        <v>0</v>
      </c>
      <c r="AC406" s="8"/>
      <c r="AD406" s="109"/>
      <c r="AE406" s="66">
        <v>13.184134164266615</v>
      </c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  <c r="AP406" s="66"/>
      <c r="AQ406" s="66"/>
      <c r="AR406" s="66"/>
      <c r="AS406" s="66"/>
      <c r="AT406" s="66"/>
      <c r="AU406" s="66"/>
      <c r="AV406" s="66"/>
      <c r="AW406" s="66"/>
      <c r="AX406" s="66"/>
      <c r="AY406" s="66"/>
      <c r="AZ406" s="66"/>
      <c r="BA406" s="66"/>
      <c r="BB406" s="66"/>
      <c r="BC406" s="66"/>
      <c r="BD406" s="66"/>
      <c r="BE406" s="66"/>
      <c r="BF406" s="66"/>
      <c r="BG406" s="66"/>
      <c r="BH406" s="66"/>
      <c r="BI406" s="188" t="s">
        <v>1</v>
      </c>
      <c r="BJ406" s="204"/>
    </row>
    <row r="407" spans="2:62" ht="12.75" customHeight="1" x14ac:dyDescent="0.35">
      <c r="B407" s="126" t="s">
        <v>1</v>
      </c>
      <c r="C407" s="5" t="s">
        <v>2</v>
      </c>
      <c r="D407" s="127" t="s">
        <v>308</v>
      </c>
      <c r="E407" s="5" t="s">
        <v>307</v>
      </c>
      <c r="F407" s="128">
        <v>1043642</v>
      </c>
      <c r="G407" s="129" t="s">
        <v>6</v>
      </c>
      <c r="H407" s="139">
        <v>0</v>
      </c>
      <c r="I407" s="139">
        <v>0</v>
      </c>
      <c r="J407" s="125">
        <v>0</v>
      </c>
      <c r="K407" s="125">
        <v>0</v>
      </c>
      <c r="L407" s="130">
        <v>0</v>
      </c>
      <c r="M407" s="123">
        <v>0</v>
      </c>
      <c r="N407" s="130">
        <v>0</v>
      </c>
      <c r="O407" s="130">
        <v>0</v>
      </c>
      <c r="P407" s="123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125">
        <v>0</v>
      </c>
      <c r="Y407" s="125" t="s">
        <v>574</v>
      </c>
      <c r="Z407" s="125"/>
      <c r="AA407" s="112">
        <v>0</v>
      </c>
      <c r="AB407" s="112">
        <v>0</v>
      </c>
      <c r="AC407" s="8"/>
      <c r="AD407" s="109"/>
      <c r="AE407" s="66" t="s">
        <v>574</v>
      </c>
      <c r="AF407" s="66"/>
      <c r="AG407" s="66"/>
      <c r="AH407" s="66"/>
      <c r="AI407" s="66"/>
      <c r="AJ407" s="66"/>
      <c r="AK407" s="66"/>
      <c r="AL407" s="66"/>
      <c r="AM407" s="66"/>
      <c r="AN407" s="66"/>
      <c r="AO407" s="66"/>
      <c r="AP407" s="66"/>
      <c r="AQ407" s="66"/>
      <c r="AR407" s="66"/>
      <c r="AS407" s="66"/>
      <c r="AT407" s="66"/>
      <c r="AU407" s="66"/>
      <c r="AV407" s="66"/>
      <c r="AW407" s="66"/>
      <c r="AX407" s="66"/>
      <c r="AY407" s="66"/>
      <c r="AZ407" s="66"/>
      <c r="BA407" s="66"/>
      <c r="BB407" s="66"/>
      <c r="BC407" s="66"/>
      <c r="BD407" s="66"/>
      <c r="BE407" s="66"/>
      <c r="BF407" s="66"/>
      <c r="BG407" s="66"/>
      <c r="BH407" s="66"/>
      <c r="BI407" s="189" t="s">
        <v>1</v>
      </c>
      <c r="BJ407" s="204"/>
    </row>
    <row r="408" spans="2:62" ht="12.75" customHeight="1" x14ac:dyDescent="0.35">
      <c r="B408" s="126" t="s">
        <v>1</v>
      </c>
      <c r="C408" s="5" t="s">
        <v>2</v>
      </c>
      <c r="D408" s="127" t="s">
        <v>308</v>
      </c>
      <c r="E408" s="5" t="s">
        <v>307</v>
      </c>
      <c r="F408" s="128">
        <v>1047344</v>
      </c>
      <c r="G408" s="129" t="s">
        <v>144</v>
      </c>
      <c r="H408" s="139">
        <v>0</v>
      </c>
      <c r="I408" s="139">
        <v>0</v>
      </c>
      <c r="J408" s="125">
        <v>0</v>
      </c>
      <c r="K408" s="125">
        <v>0</v>
      </c>
      <c r="L408" s="130">
        <v>0</v>
      </c>
      <c r="M408" s="123">
        <v>0</v>
      </c>
      <c r="N408" s="130">
        <v>0</v>
      </c>
      <c r="O408" s="130">
        <v>0</v>
      </c>
      <c r="P408" s="123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125">
        <v>0</v>
      </c>
      <c r="Y408" s="125" t="s">
        <v>574</v>
      </c>
      <c r="Z408" s="125"/>
      <c r="AA408" s="112">
        <v>0</v>
      </c>
      <c r="AB408" s="112">
        <v>0</v>
      </c>
      <c r="AC408" s="8"/>
      <c r="AD408" s="109"/>
      <c r="AE408" s="66" t="s">
        <v>574</v>
      </c>
      <c r="AF408" s="66"/>
      <c r="AG408" s="66"/>
      <c r="AH408" s="66"/>
      <c r="AI408" s="66"/>
      <c r="AJ408" s="66"/>
      <c r="AK408" s="66"/>
      <c r="AL408" s="66"/>
      <c r="AM408" s="66"/>
      <c r="AN408" s="66"/>
      <c r="AO408" s="66"/>
      <c r="AP408" s="66"/>
      <c r="AQ408" s="66"/>
      <c r="AR408" s="66"/>
      <c r="AS408" s="66"/>
      <c r="AT408" s="66"/>
      <c r="AU408" s="66"/>
      <c r="AV408" s="66"/>
      <c r="AW408" s="66"/>
      <c r="AX408" s="66"/>
      <c r="AY408" s="66"/>
      <c r="AZ408" s="66"/>
      <c r="BA408" s="66"/>
      <c r="BB408" s="66"/>
      <c r="BC408" s="66"/>
      <c r="BD408" s="66"/>
      <c r="BE408" s="66"/>
      <c r="BF408" s="66"/>
      <c r="BG408" s="66"/>
      <c r="BH408" s="66"/>
      <c r="BI408" s="189" t="s">
        <v>1</v>
      </c>
      <c r="BJ408" s="204"/>
    </row>
    <row r="409" spans="2:62" ht="12.75" customHeight="1" x14ac:dyDescent="0.35">
      <c r="B409" s="126" t="s">
        <v>38</v>
      </c>
      <c r="C409" s="5" t="s">
        <v>5</v>
      </c>
      <c r="D409" s="127" t="s">
        <v>308</v>
      </c>
      <c r="E409" s="5" t="s">
        <v>405</v>
      </c>
      <c r="F409" s="128">
        <v>1037816</v>
      </c>
      <c r="G409" s="129" t="s">
        <v>47</v>
      </c>
      <c r="H409" s="139">
        <v>0</v>
      </c>
      <c r="I409" s="139">
        <v>0</v>
      </c>
      <c r="J409" s="125">
        <v>0</v>
      </c>
      <c r="K409" s="125">
        <v>0</v>
      </c>
      <c r="L409" s="130">
        <v>0</v>
      </c>
      <c r="M409" s="123">
        <v>0</v>
      </c>
      <c r="N409" s="130">
        <v>0</v>
      </c>
      <c r="O409" s="130">
        <v>0</v>
      </c>
      <c r="P409" s="123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125">
        <v>0</v>
      </c>
      <c r="Y409" s="125" t="s">
        <v>574</v>
      </c>
      <c r="Z409" s="125"/>
      <c r="AA409" s="112">
        <v>0</v>
      </c>
      <c r="AB409" s="112">
        <v>0</v>
      </c>
      <c r="AC409" s="8"/>
      <c r="AD409" s="109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  <c r="AO409" s="66"/>
      <c r="AP409" s="66"/>
      <c r="AQ409" s="66"/>
      <c r="AR409" s="66"/>
      <c r="AS409" s="66"/>
      <c r="AT409" s="66"/>
      <c r="AU409" s="66"/>
      <c r="AV409" s="66"/>
      <c r="AW409" s="66"/>
      <c r="AX409" s="66"/>
      <c r="AY409" s="66"/>
      <c r="AZ409" s="66"/>
      <c r="BA409" s="66"/>
      <c r="BB409" s="66"/>
      <c r="BC409" s="66"/>
      <c r="BD409" s="66"/>
      <c r="BE409" s="66"/>
      <c r="BF409" s="66"/>
      <c r="BG409" s="66"/>
      <c r="BH409" s="66"/>
      <c r="BI409" s="189"/>
      <c r="BJ409" s="204"/>
    </row>
    <row r="410" spans="2:62" ht="12.75" customHeight="1" x14ac:dyDescent="0.35">
      <c r="B410" s="126" t="s">
        <v>9</v>
      </c>
      <c r="C410" s="5" t="s">
        <v>5</v>
      </c>
      <c r="D410" s="127" t="s">
        <v>308</v>
      </c>
      <c r="E410" s="5" t="s">
        <v>315</v>
      </c>
      <c r="F410" s="128">
        <v>1044326</v>
      </c>
      <c r="G410" s="129" t="s">
        <v>74</v>
      </c>
      <c r="H410" s="139">
        <v>0</v>
      </c>
      <c r="I410" s="139">
        <v>0</v>
      </c>
      <c r="J410" s="125">
        <v>0</v>
      </c>
      <c r="K410" s="125">
        <v>0</v>
      </c>
      <c r="L410" s="130">
        <v>0</v>
      </c>
      <c r="M410" s="123">
        <v>0</v>
      </c>
      <c r="N410" s="130">
        <v>0</v>
      </c>
      <c r="O410" s="130">
        <v>0</v>
      </c>
      <c r="P410" s="123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125">
        <v>0</v>
      </c>
      <c r="Y410" s="125" t="s">
        <v>574</v>
      </c>
      <c r="Z410" s="125"/>
      <c r="AA410" s="112">
        <v>0</v>
      </c>
      <c r="AB410" s="112">
        <v>0</v>
      </c>
      <c r="AC410" s="8"/>
      <c r="AD410" s="109"/>
      <c r="AE410" s="66" t="s">
        <v>574</v>
      </c>
      <c r="AF410" s="66"/>
      <c r="AG410" s="66"/>
      <c r="AH410" s="66"/>
      <c r="AI410" s="66"/>
      <c r="AJ410" s="66"/>
      <c r="AK410" s="66"/>
      <c r="AL410" s="66"/>
      <c r="AM410" s="66"/>
      <c r="AN410" s="66"/>
      <c r="AO410" s="66"/>
      <c r="AP410" s="66"/>
      <c r="AQ410" s="66"/>
      <c r="AR410" s="66"/>
      <c r="AS410" s="66"/>
      <c r="AT410" s="66"/>
      <c r="AU410" s="66"/>
      <c r="AV410" s="66"/>
      <c r="AW410" s="66"/>
      <c r="AX410" s="66"/>
      <c r="AY410" s="66"/>
      <c r="AZ410" s="66"/>
      <c r="BA410" s="66"/>
      <c r="BB410" s="66"/>
      <c r="BC410" s="66"/>
      <c r="BD410" s="66"/>
      <c r="BE410" s="66"/>
      <c r="BF410" s="66"/>
      <c r="BG410" s="66"/>
      <c r="BH410" s="66"/>
      <c r="BI410" s="189" t="s">
        <v>1</v>
      </c>
      <c r="BJ410" s="204"/>
    </row>
    <row r="411" spans="2:62" ht="12.75" customHeight="1" x14ac:dyDescent="0.35">
      <c r="B411" s="126" t="s">
        <v>9</v>
      </c>
      <c r="C411" s="5" t="s">
        <v>5</v>
      </c>
      <c r="D411" s="127" t="s">
        <v>308</v>
      </c>
      <c r="E411" s="5" t="s">
        <v>315</v>
      </c>
      <c r="F411" s="128">
        <v>1057718</v>
      </c>
      <c r="G411" s="129" t="s">
        <v>262</v>
      </c>
      <c r="H411" s="139">
        <v>0</v>
      </c>
      <c r="I411" s="139">
        <v>0</v>
      </c>
      <c r="J411" s="125">
        <v>0</v>
      </c>
      <c r="K411" s="125">
        <v>0</v>
      </c>
      <c r="L411" s="130">
        <v>0</v>
      </c>
      <c r="M411" s="123">
        <v>0</v>
      </c>
      <c r="N411" s="130">
        <v>0</v>
      </c>
      <c r="O411" s="130">
        <v>0</v>
      </c>
      <c r="P411" s="123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125">
        <v>0</v>
      </c>
      <c r="Y411" s="125" t="s">
        <v>574</v>
      </c>
      <c r="Z411" s="125"/>
      <c r="AA411" s="112">
        <v>0</v>
      </c>
      <c r="AB411" s="112">
        <v>0</v>
      </c>
      <c r="AC411" s="8"/>
      <c r="AD411" s="109"/>
      <c r="AE411" s="66">
        <v>19.242521367521366</v>
      </c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  <c r="AP411" s="66"/>
      <c r="AQ411" s="66"/>
      <c r="AR411" s="66"/>
      <c r="AS411" s="66"/>
      <c r="AT411" s="66"/>
      <c r="AU411" s="66"/>
      <c r="AV411" s="66"/>
      <c r="AW411" s="66"/>
      <c r="AX411" s="66"/>
      <c r="AY411" s="66"/>
      <c r="AZ411" s="66"/>
      <c r="BA411" s="66"/>
      <c r="BB411" s="66"/>
      <c r="BC411" s="66"/>
      <c r="BD411" s="66"/>
      <c r="BE411" s="66"/>
      <c r="BF411" s="66"/>
      <c r="BG411" s="66"/>
      <c r="BH411" s="66"/>
      <c r="BI411" s="188" t="s">
        <v>1</v>
      </c>
      <c r="BJ411" s="204"/>
    </row>
    <row r="412" spans="2:62" ht="12.75" customHeight="1" x14ac:dyDescent="0.35">
      <c r="B412" s="126" t="s">
        <v>4</v>
      </c>
      <c r="C412" s="5" t="s">
        <v>5</v>
      </c>
      <c r="D412" s="127" t="s">
        <v>308</v>
      </c>
      <c r="E412" s="5" t="s">
        <v>314</v>
      </c>
      <c r="F412" s="5">
        <v>1083123</v>
      </c>
      <c r="G412" s="169" t="s">
        <v>795</v>
      </c>
      <c r="H412" s="139">
        <v>0</v>
      </c>
      <c r="I412" s="139">
        <v>0</v>
      </c>
      <c r="J412" s="125">
        <v>0</v>
      </c>
      <c r="K412" s="125">
        <v>0</v>
      </c>
      <c r="L412" s="130">
        <v>0</v>
      </c>
      <c r="M412" s="123">
        <v>0</v>
      </c>
      <c r="N412" s="130">
        <v>0</v>
      </c>
      <c r="O412" s="130">
        <v>0</v>
      </c>
      <c r="P412" s="123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125">
        <v>0</v>
      </c>
      <c r="Y412" s="125" t="s">
        <v>574</v>
      </c>
      <c r="Z412" s="125"/>
      <c r="AA412" s="112">
        <v>0</v>
      </c>
      <c r="AB412" s="112">
        <v>0</v>
      </c>
      <c r="AC412" s="8"/>
      <c r="AD412" s="109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  <c r="AP412" s="66"/>
      <c r="AQ412" s="66"/>
      <c r="AR412" s="66"/>
      <c r="AS412" s="66"/>
      <c r="AT412" s="66"/>
      <c r="AU412" s="66"/>
      <c r="AV412" s="66"/>
      <c r="AW412" s="66"/>
      <c r="AX412" s="66"/>
      <c r="AY412" s="66"/>
      <c r="AZ412" s="66"/>
      <c r="BA412" s="66"/>
      <c r="BB412" s="66"/>
      <c r="BC412" s="66"/>
      <c r="BD412" s="66"/>
      <c r="BE412" s="66"/>
      <c r="BF412" s="66"/>
      <c r="BG412" s="66"/>
      <c r="BH412" s="66"/>
      <c r="BI412" s="189"/>
      <c r="BJ412" s="204"/>
    </row>
    <row r="413" spans="2:62" ht="12.75" customHeight="1" x14ac:dyDescent="0.35">
      <c r="B413" s="126" t="s">
        <v>4</v>
      </c>
      <c r="C413" s="5" t="s">
        <v>5</v>
      </c>
      <c r="D413" s="127" t="s">
        <v>308</v>
      </c>
      <c r="E413" s="5" t="s">
        <v>314</v>
      </c>
      <c r="F413" s="128">
        <v>1029107</v>
      </c>
      <c r="G413" s="129" t="s">
        <v>34</v>
      </c>
      <c r="H413" s="139">
        <v>0</v>
      </c>
      <c r="I413" s="139">
        <v>0</v>
      </c>
      <c r="J413" s="125">
        <v>0</v>
      </c>
      <c r="K413" s="125">
        <v>0</v>
      </c>
      <c r="L413" s="130">
        <v>0</v>
      </c>
      <c r="M413" s="123">
        <v>0</v>
      </c>
      <c r="N413" s="130">
        <v>0</v>
      </c>
      <c r="O413" s="130">
        <v>0</v>
      </c>
      <c r="P413" s="123">
        <v>0</v>
      </c>
      <c r="Q413" s="5">
        <v>0</v>
      </c>
      <c r="R413" s="5">
        <v>0</v>
      </c>
      <c r="S413" s="5">
        <v>0</v>
      </c>
      <c r="T413" s="5">
        <v>0</v>
      </c>
      <c r="U413" s="5">
        <v>9</v>
      </c>
      <c r="V413" s="5">
        <v>0</v>
      </c>
      <c r="W413" s="5">
        <v>0</v>
      </c>
      <c r="X413" s="125">
        <v>0</v>
      </c>
      <c r="Y413" s="125" t="s">
        <v>574</v>
      </c>
      <c r="Z413" s="125"/>
      <c r="AA413" s="112">
        <v>0</v>
      </c>
      <c r="AB413" s="112">
        <v>26.19</v>
      </c>
      <c r="AC413" s="8"/>
      <c r="AD413" s="109"/>
      <c r="AE413" s="66" t="s">
        <v>574</v>
      </c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  <c r="AS413" s="66"/>
      <c r="AT413" s="66"/>
      <c r="AU413" s="66"/>
      <c r="AV413" s="66"/>
      <c r="AW413" s="66"/>
      <c r="AX413" s="66"/>
      <c r="AY413" s="66"/>
      <c r="AZ413" s="66"/>
      <c r="BA413" s="66"/>
      <c r="BB413" s="66"/>
      <c r="BC413" s="66"/>
      <c r="BD413" s="66"/>
      <c r="BE413" s="66"/>
      <c r="BF413" s="66"/>
      <c r="BG413" s="66"/>
      <c r="BH413" s="66"/>
      <c r="BI413" s="189" t="s">
        <v>1</v>
      </c>
      <c r="BJ413" s="204"/>
    </row>
    <row r="414" spans="2:62" ht="12.75" customHeight="1" x14ac:dyDescent="0.35">
      <c r="B414" s="126" t="s">
        <v>4</v>
      </c>
      <c r="C414" s="5" t="s">
        <v>5</v>
      </c>
      <c r="D414" s="127" t="s">
        <v>308</v>
      </c>
      <c r="E414" s="5" t="s">
        <v>314</v>
      </c>
      <c r="F414" s="128">
        <v>1068759</v>
      </c>
      <c r="G414" s="129" t="s">
        <v>546</v>
      </c>
      <c r="H414" s="139">
        <v>0</v>
      </c>
      <c r="I414" s="139">
        <v>0</v>
      </c>
      <c r="J414" s="125">
        <v>0</v>
      </c>
      <c r="K414" s="125">
        <v>0</v>
      </c>
      <c r="L414" s="130">
        <v>0</v>
      </c>
      <c r="M414" s="123">
        <v>0</v>
      </c>
      <c r="N414" s="130">
        <v>0</v>
      </c>
      <c r="O414" s="130">
        <v>0</v>
      </c>
      <c r="P414" s="123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125">
        <v>0</v>
      </c>
      <c r="Y414" s="125" t="s">
        <v>574</v>
      </c>
      <c r="Z414" s="125"/>
      <c r="AA414" s="112">
        <v>0</v>
      </c>
      <c r="AB414" s="112">
        <v>0</v>
      </c>
      <c r="AC414" s="8"/>
      <c r="AD414" s="109"/>
      <c r="AE414" s="66" t="s">
        <v>574</v>
      </c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66"/>
      <c r="AU414" s="66"/>
      <c r="AV414" s="66"/>
      <c r="AW414" s="66"/>
      <c r="AX414" s="66"/>
      <c r="AY414" s="66"/>
      <c r="AZ414" s="66"/>
      <c r="BA414" s="66"/>
      <c r="BB414" s="66"/>
      <c r="BC414" s="66"/>
      <c r="BD414" s="66"/>
      <c r="BE414" s="66"/>
      <c r="BF414" s="66"/>
      <c r="BG414" s="66"/>
      <c r="BH414" s="66"/>
      <c r="BI414" s="189" t="s">
        <v>1</v>
      </c>
      <c r="BJ414" s="204"/>
    </row>
    <row r="415" spans="2:62" ht="12.75" customHeight="1" x14ac:dyDescent="0.35">
      <c r="B415" s="126" t="s">
        <v>4</v>
      </c>
      <c r="C415" s="5" t="s">
        <v>5</v>
      </c>
      <c r="D415" s="127" t="s">
        <v>308</v>
      </c>
      <c r="E415" s="5" t="s">
        <v>314</v>
      </c>
      <c r="F415" s="128">
        <v>1050644</v>
      </c>
      <c r="G415" s="129" t="s">
        <v>283</v>
      </c>
      <c r="H415" s="139">
        <v>0</v>
      </c>
      <c r="I415" s="139">
        <v>0</v>
      </c>
      <c r="J415" s="125">
        <v>0</v>
      </c>
      <c r="K415" s="125">
        <v>0</v>
      </c>
      <c r="L415" s="130">
        <v>0</v>
      </c>
      <c r="M415" s="123">
        <v>0</v>
      </c>
      <c r="N415" s="130">
        <v>0</v>
      </c>
      <c r="O415" s="130">
        <v>0</v>
      </c>
      <c r="P415" s="123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125">
        <v>0</v>
      </c>
      <c r="Y415" s="125" t="s">
        <v>574</v>
      </c>
      <c r="Z415" s="125"/>
      <c r="AA415" s="112">
        <v>0</v>
      </c>
      <c r="AB415" s="112">
        <v>0</v>
      </c>
      <c r="AC415" s="8"/>
      <c r="AD415" s="109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/>
      <c r="AU415" s="66"/>
      <c r="AV415" s="66"/>
      <c r="AW415" s="66"/>
      <c r="AX415" s="66"/>
      <c r="AY415" s="66"/>
      <c r="AZ415" s="66"/>
      <c r="BA415" s="66"/>
      <c r="BB415" s="66"/>
      <c r="BC415" s="66"/>
      <c r="BD415" s="66"/>
      <c r="BE415" s="66"/>
      <c r="BF415" s="66"/>
      <c r="BG415" s="66"/>
      <c r="BH415" s="66"/>
      <c r="BI415" s="189" t="s">
        <v>1</v>
      </c>
      <c r="BJ415" s="204"/>
    </row>
    <row r="416" spans="2:62" ht="12.75" customHeight="1" x14ac:dyDescent="0.35">
      <c r="B416" s="126" t="s">
        <v>4</v>
      </c>
      <c r="C416" s="5" t="s">
        <v>5</v>
      </c>
      <c r="D416" s="127" t="s">
        <v>308</v>
      </c>
      <c r="E416" s="5" t="s">
        <v>314</v>
      </c>
      <c r="F416" s="132">
        <v>1068329</v>
      </c>
      <c r="G416" s="133" t="s">
        <v>554</v>
      </c>
      <c r="H416" s="139">
        <v>0</v>
      </c>
      <c r="I416" s="139">
        <v>0</v>
      </c>
      <c r="J416" s="125">
        <v>0</v>
      </c>
      <c r="K416" s="125">
        <v>-42</v>
      </c>
      <c r="L416" s="130">
        <v>-6.9300000000000006</v>
      </c>
      <c r="M416" s="123">
        <v>0</v>
      </c>
      <c r="N416" s="130">
        <v>6.9300000000000006</v>
      </c>
      <c r="O416" s="130">
        <v>0</v>
      </c>
      <c r="P416" s="123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125">
        <v>0</v>
      </c>
      <c r="Y416" s="125" t="s">
        <v>574</v>
      </c>
      <c r="Z416" s="125"/>
      <c r="AA416" s="112">
        <v>0</v>
      </c>
      <c r="AB416" s="112">
        <v>0</v>
      </c>
      <c r="AC416" s="8"/>
      <c r="AD416" s="109"/>
      <c r="AE416" s="66" t="s">
        <v>574</v>
      </c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66"/>
      <c r="AU416" s="66"/>
      <c r="AV416" s="66"/>
      <c r="AW416" s="66"/>
      <c r="AX416" s="66"/>
      <c r="AY416" s="66"/>
      <c r="AZ416" s="66"/>
      <c r="BA416" s="66"/>
      <c r="BB416" s="66"/>
      <c r="BC416" s="66"/>
      <c r="BD416" s="66"/>
      <c r="BE416" s="66"/>
      <c r="BF416" s="66"/>
      <c r="BG416" s="66"/>
      <c r="BH416" s="66"/>
      <c r="BI416" s="188" t="s">
        <v>1</v>
      </c>
      <c r="BJ416" s="204"/>
    </row>
    <row r="417" spans="2:62" ht="12.75" customHeight="1" x14ac:dyDescent="0.35">
      <c r="B417" s="126" t="s">
        <v>4</v>
      </c>
      <c r="C417" s="5" t="s">
        <v>5</v>
      </c>
      <c r="D417" s="127" t="s">
        <v>308</v>
      </c>
      <c r="E417" s="5" t="s">
        <v>314</v>
      </c>
      <c r="F417" s="128">
        <v>1013790</v>
      </c>
      <c r="G417" s="129" t="s">
        <v>285</v>
      </c>
      <c r="H417" s="139">
        <v>0</v>
      </c>
      <c r="I417" s="139">
        <v>0</v>
      </c>
      <c r="J417" s="125">
        <v>0</v>
      </c>
      <c r="K417" s="125">
        <v>0</v>
      </c>
      <c r="L417" s="130">
        <v>0</v>
      </c>
      <c r="M417" s="123">
        <v>0</v>
      </c>
      <c r="N417" s="130">
        <v>0</v>
      </c>
      <c r="O417" s="130">
        <v>0</v>
      </c>
      <c r="P417" s="123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125">
        <v>0</v>
      </c>
      <c r="Y417" s="125" t="s">
        <v>574</v>
      </c>
      <c r="Z417" s="125"/>
      <c r="AA417" s="112">
        <v>0</v>
      </c>
      <c r="AB417" s="112">
        <v>0</v>
      </c>
      <c r="AC417" s="8"/>
      <c r="AD417" s="109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  <c r="AO417" s="66"/>
      <c r="AP417" s="66"/>
      <c r="AQ417" s="66"/>
      <c r="AR417" s="66"/>
      <c r="AS417" s="66"/>
      <c r="AT417" s="66"/>
      <c r="AU417" s="66"/>
      <c r="AV417" s="66"/>
      <c r="AW417" s="66"/>
      <c r="AX417" s="66"/>
      <c r="AY417" s="66"/>
      <c r="AZ417" s="66"/>
      <c r="BA417" s="66"/>
      <c r="BB417" s="66"/>
      <c r="BC417" s="66"/>
      <c r="BD417" s="66"/>
      <c r="BE417" s="66"/>
      <c r="BF417" s="66"/>
      <c r="BG417" s="66"/>
      <c r="BH417" s="66"/>
      <c r="BI417" s="188" t="s">
        <v>1</v>
      </c>
      <c r="BJ417" s="204"/>
    </row>
    <row r="418" spans="2:62" ht="12.75" customHeight="1" x14ac:dyDescent="0.35">
      <c r="B418" s="126" t="s">
        <v>4</v>
      </c>
      <c r="C418" s="5" t="s">
        <v>5</v>
      </c>
      <c r="D418" s="127" t="s">
        <v>308</v>
      </c>
      <c r="E418" s="5" t="s">
        <v>314</v>
      </c>
      <c r="F418" s="128">
        <v>1058690</v>
      </c>
      <c r="G418" s="129" t="s">
        <v>257</v>
      </c>
      <c r="H418" s="139">
        <v>0</v>
      </c>
      <c r="I418" s="139">
        <v>0</v>
      </c>
      <c r="J418" s="125">
        <v>0</v>
      </c>
      <c r="K418" s="125">
        <v>0</v>
      </c>
      <c r="L418" s="130">
        <v>0</v>
      </c>
      <c r="M418" s="123">
        <v>0</v>
      </c>
      <c r="N418" s="130">
        <v>0</v>
      </c>
      <c r="O418" s="130">
        <v>0</v>
      </c>
      <c r="P418" s="123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125">
        <v>0</v>
      </c>
      <c r="Y418" s="125" t="s">
        <v>574</v>
      </c>
      <c r="Z418" s="125"/>
      <c r="AA418" s="112">
        <v>0</v>
      </c>
      <c r="AB418" s="112">
        <v>0</v>
      </c>
      <c r="AC418" s="8"/>
      <c r="AD418" s="109"/>
      <c r="AE418" s="66" t="s">
        <v>574</v>
      </c>
      <c r="AF418" s="66"/>
      <c r="AG418" s="66"/>
      <c r="AH418" s="66"/>
      <c r="AI418" s="66"/>
      <c r="AJ418" s="66"/>
      <c r="AK418" s="66"/>
      <c r="AL418" s="66"/>
      <c r="AM418" s="66"/>
      <c r="AN418" s="66"/>
      <c r="AO418" s="66"/>
      <c r="AP418" s="66"/>
      <c r="AQ418" s="66"/>
      <c r="AR418" s="66"/>
      <c r="AS418" s="66"/>
      <c r="AT418" s="66"/>
      <c r="AU418" s="66"/>
      <c r="AV418" s="66"/>
      <c r="AW418" s="66"/>
      <c r="AX418" s="66"/>
      <c r="AY418" s="66"/>
      <c r="AZ418" s="66"/>
      <c r="BA418" s="66"/>
      <c r="BB418" s="66"/>
      <c r="BC418" s="66"/>
      <c r="BD418" s="66"/>
      <c r="BE418" s="66"/>
      <c r="BF418" s="66"/>
      <c r="BG418" s="66"/>
      <c r="BH418" s="66"/>
      <c r="BI418" s="189" t="s">
        <v>1</v>
      </c>
      <c r="BJ418" s="204"/>
    </row>
    <row r="419" spans="2:62" ht="12.75" customHeight="1" x14ac:dyDescent="0.35">
      <c r="B419" s="126" t="s">
        <v>4</v>
      </c>
      <c r="C419" s="5" t="s">
        <v>5</v>
      </c>
      <c r="D419" s="127" t="s">
        <v>308</v>
      </c>
      <c r="E419" s="5" t="s">
        <v>314</v>
      </c>
      <c r="F419" s="128">
        <v>1058983</v>
      </c>
      <c r="G419" s="129" t="s">
        <v>258</v>
      </c>
      <c r="H419" s="139">
        <v>0</v>
      </c>
      <c r="I419" s="139">
        <v>0</v>
      </c>
      <c r="J419" s="125">
        <v>0</v>
      </c>
      <c r="K419" s="125">
        <v>0</v>
      </c>
      <c r="L419" s="130">
        <v>0</v>
      </c>
      <c r="M419" s="123">
        <v>0</v>
      </c>
      <c r="N419" s="130">
        <v>0</v>
      </c>
      <c r="O419" s="130">
        <v>0</v>
      </c>
      <c r="P419" s="123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125">
        <v>0</v>
      </c>
      <c r="Y419" s="125" t="s">
        <v>574</v>
      </c>
      <c r="Z419" s="125"/>
      <c r="AA419" s="112">
        <v>0</v>
      </c>
      <c r="AB419" s="112">
        <v>0</v>
      </c>
      <c r="AC419" s="8"/>
      <c r="AD419" s="109"/>
      <c r="AE419" s="66" t="s">
        <v>574</v>
      </c>
      <c r="AF419" s="66"/>
      <c r="AG419" s="66"/>
      <c r="AH419" s="66"/>
      <c r="AI419" s="66"/>
      <c r="AJ419" s="66"/>
      <c r="AK419" s="66"/>
      <c r="AL419" s="66"/>
      <c r="AM419" s="66"/>
      <c r="AN419" s="66"/>
      <c r="AO419" s="66"/>
      <c r="AP419" s="66"/>
      <c r="AQ419" s="66"/>
      <c r="AR419" s="66"/>
      <c r="AS419" s="66"/>
      <c r="AT419" s="66"/>
      <c r="AU419" s="66"/>
      <c r="AV419" s="66"/>
      <c r="AW419" s="66"/>
      <c r="AX419" s="66"/>
      <c r="AY419" s="66"/>
      <c r="AZ419" s="66"/>
      <c r="BA419" s="66"/>
      <c r="BB419" s="66"/>
      <c r="BC419" s="66"/>
      <c r="BD419" s="66"/>
      <c r="BE419" s="66"/>
      <c r="BF419" s="66"/>
      <c r="BG419" s="66"/>
      <c r="BH419" s="66"/>
      <c r="BI419" s="189" t="s">
        <v>1</v>
      </c>
      <c r="BJ419" s="204"/>
    </row>
    <row r="420" spans="2:62" ht="12.75" customHeight="1" x14ac:dyDescent="0.35">
      <c r="B420" s="126" t="s">
        <v>4</v>
      </c>
      <c r="C420" s="5" t="s">
        <v>5</v>
      </c>
      <c r="D420" s="127" t="s">
        <v>308</v>
      </c>
      <c r="E420" s="5" t="s">
        <v>314</v>
      </c>
      <c r="F420" s="128">
        <v>1080417</v>
      </c>
      <c r="G420" s="129" t="s">
        <v>731</v>
      </c>
      <c r="H420" s="139">
        <v>0</v>
      </c>
      <c r="I420" s="139">
        <v>0</v>
      </c>
      <c r="J420" s="125">
        <v>0</v>
      </c>
      <c r="K420" s="125">
        <v>0</v>
      </c>
      <c r="L420" s="130">
        <v>0</v>
      </c>
      <c r="M420" s="123">
        <v>0</v>
      </c>
      <c r="N420" s="130">
        <v>0</v>
      </c>
      <c r="O420" s="130">
        <v>0</v>
      </c>
      <c r="P420" s="123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125">
        <v>0</v>
      </c>
      <c r="Y420" s="125" t="s">
        <v>574</v>
      </c>
      <c r="Z420" s="125"/>
      <c r="AA420" s="112">
        <v>0</v>
      </c>
      <c r="AB420" s="112">
        <v>0</v>
      </c>
      <c r="AC420" s="8"/>
      <c r="AD420" s="109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  <c r="AP420" s="66"/>
      <c r="AQ420" s="66"/>
      <c r="AR420" s="66"/>
      <c r="AS420" s="66"/>
      <c r="AT420" s="66"/>
      <c r="AU420" s="66"/>
      <c r="AV420" s="66"/>
      <c r="AW420" s="66"/>
      <c r="AX420" s="66"/>
      <c r="AY420" s="66"/>
      <c r="AZ420" s="66"/>
      <c r="BA420" s="66"/>
      <c r="BB420" s="66"/>
      <c r="BC420" s="66"/>
      <c r="BD420" s="66"/>
      <c r="BE420" s="66"/>
      <c r="BF420" s="66"/>
      <c r="BG420" s="66"/>
      <c r="BH420" s="66"/>
      <c r="BI420" s="188" t="s">
        <v>1</v>
      </c>
      <c r="BJ420" s="204"/>
    </row>
    <row r="421" spans="2:62" ht="12.75" customHeight="1" x14ac:dyDescent="0.35">
      <c r="B421" s="126" t="s">
        <v>4</v>
      </c>
      <c r="C421" s="5" t="s">
        <v>5</v>
      </c>
      <c r="D421" s="127" t="s">
        <v>308</v>
      </c>
      <c r="E421" s="5" t="s">
        <v>314</v>
      </c>
      <c r="F421" s="132">
        <v>1080418</v>
      </c>
      <c r="G421" s="133" t="s">
        <v>729</v>
      </c>
      <c r="H421" s="139">
        <v>0</v>
      </c>
      <c r="I421" s="139">
        <v>0</v>
      </c>
      <c r="J421" s="125">
        <v>0</v>
      </c>
      <c r="K421" s="125">
        <v>0</v>
      </c>
      <c r="L421" s="130">
        <v>0</v>
      </c>
      <c r="M421" s="123">
        <v>0</v>
      </c>
      <c r="N421" s="130">
        <v>0</v>
      </c>
      <c r="O421" s="130">
        <v>0</v>
      </c>
      <c r="P421" s="123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125">
        <v>0</v>
      </c>
      <c r="Y421" s="125" t="s">
        <v>574</v>
      </c>
      <c r="Z421" s="125"/>
      <c r="AA421" s="112">
        <v>0</v>
      </c>
      <c r="AB421" s="112">
        <v>0</v>
      </c>
      <c r="AC421" s="8"/>
      <c r="AD421" s="109"/>
      <c r="AE421" s="66">
        <v>14.708510638297874</v>
      </c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  <c r="AP421" s="66"/>
      <c r="AQ421" s="66"/>
      <c r="AR421" s="66"/>
      <c r="AS421" s="66"/>
      <c r="AT421" s="66"/>
      <c r="AU421" s="66"/>
      <c r="AV421" s="66"/>
      <c r="AW421" s="66"/>
      <c r="AX421" s="66"/>
      <c r="AY421" s="66"/>
      <c r="AZ421" s="66"/>
      <c r="BA421" s="66"/>
      <c r="BB421" s="66"/>
      <c r="BC421" s="66"/>
      <c r="BD421" s="66"/>
      <c r="BE421" s="66"/>
      <c r="BF421" s="66"/>
      <c r="BG421" s="66"/>
      <c r="BH421" s="66"/>
      <c r="BI421" s="188" t="s">
        <v>1</v>
      </c>
      <c r="BJ421" s="204"/>
    </row>
    <row r="422" spans="2:62" ht="12.75" customHeight="1" x14ac:dyDescent="0.35">
      <c r="B422" s="126" t="s">
        <v>4</v>
      </c>
      <c r="C422" s="5" t="s">
        <v>5</v>
      </c>
      <c r="D422" s="127" t="s">
        <v>308</v>
      </c>
      <c r="E422" s="5" t="s">
        <v>314</v>
      </c>
      <c r="F422" s="128">
        <v>1074593</v>
      </c>
      <c r="G422" s="129" t="s">
        <v>630</v>
      </c>
      <c r="H422" s="139">
        <v>0</v>
      </c>
      <c r="I422" s="139">
        <v>0</v>
      </c>
      <c r="J422" s="125">
        <v>0</v>
      </c>
      <c r="K422" s="125">
        <v>-96</v>
      </c>
      <c r="L422" s="130">
        <v>-14.687999999999999</v>
      </c>
      <c r="M422" s="123">
        <v>0</v>
      </c>
      <c r="N422" s="130">
        <v>14.687999999999999</v>
      </c>
      <c r="O422" s="130">
        <v>0</v>
      </c>
      <c r="P422" s="123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125">
        <v>0</v>
      </c>
      <c r="Y422" s="125" t="s">
        <v>574</v>
      </c>
      <c r="Z422" s="125"/>
      <c r="AA422" s="112">
        <v>0</v>
      </c>
      <c r="AB422" s="112">
        <v>0</v>
      </c>
      <c r="AC422" s="8"/>
      <c r="AD422" s="109"/>
      <c r="AE422" s="66">
        <v>149.29599999999999</v>
      </c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  <c r="AP422" s="66"/>
      <c r="AQ422" s="66"/>
      <c r="AR422" s="66"/>
      <c r="AS422" s="66"/>
      <c r="AT422" s="66"/>
      <c r="AU422" s="66"/>
      <c r="AV422" s="66"/>
      <c r="AW422" s="66"/>
      <c r="AX422" s="66"/>
      <c r="AY422" s="66"/>
      <c r="AZ422" s="66"/>
      <c r="BA422" s="66"/>
      <c r="BB422" s="66"/>
      <c r="BC422" s="66"/>
      <c r="BD422" s="66"/>
      <c r="BE422" s="66"/>
      <c r="BF422" s="66"/>
      <c r="BG422" s="66"/>
      <c r="BH422" s="66"/>
      <c r="BI422" s="188" t="s">
        <v>1</v>
      </c>
      <c r="BJ422" s="204"/>
    </row>
    <row r="423" spans="2:62" x14ac:dyDescent="0.35">
      <c r="B423" s="126" t="s">
        <v>21</v>
      </c>
      <c r="C423" s="5" t="s">
        <v>5</v>
      </c>
      <c r="D423" s="5" t="s">
        <v>308</v>
      </c>
      <c r="E423" s="5" t="s">
        <v>395</v>
      </c>
      <c r="F423" s="128">
        <v>1057049</v>
      </c>
      <c r="G423" s="129" t="s">
        <v>223</v>
      </c>
      <c r="H423" s="139">
        <v>0</v>
      </c>
      <c r="I423" s="139">
        <v>0</v>
      </c>
      <c r="J423" s="125">
        <v>0</v>
      </c>
      <c r="K423" s="125">
        <v>0</v>
      </c>
      <c r="L423" s="130">
        <v>0</v>
      </c>
      <c r="M423" s="123">
        <v>0</v>
      </c>
      <c r="N423" s="130">
        <v>0</v>
      </c>
      <c r="O423" s="130">
        <v>0</v>
      </c>
      <c r="P423" s="123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125">
        <v>0</v>
      </c>
      <c r="Y423" s="125" t="s">
        <v>574</v>
      </c>
      <c r="Z423" s="125"/>
      <c r="AA423" s="112">
        <v>0</v>
      </c>
      <c r="AB423" s="112">
        <v>0</v>
      </c>
      <c r="AC423" s="8"/>
      <c r="AD423" s="109"/>
      <c r="AE423" s="66" t="s">
        <v>574</v>
      </c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66"/>
      <c r="AU423" s="66"/>
      <c r="AV423" s="66"/>
      <c r="AW423" s="66"/>
      <c r="AX423" s="66"/>
      <c r="AY423" s="66"/>
      <c r="AZ423" s="66"/>
      <c r="BA423" s="66"/>
      <c r="BB423" s="66"/>
      <c r="BC423" s="66"/>
      <c r="BD423" s="66"/>
      <c r="BE423" s="66"/>
      <c r="BF423" s="66"/>
      <c r="BG423" s="66"/>
      <c r="BH423" s="66"/>
      <c r="BI423" s="189" t="s">
        <v>1</v>
      </c>
      <c r="BJ423" s="204"/>
    </row>
    <row r="424" spans="2:62" x14ac:dyDescent="0.35">
      <c r="B424" s="126" t="s">
        <v>21</v>
      </c>
      <c r="C424" s="5" t="s">
        <v>5</v>
      </c>
      <c r="D424" s="5" t="s">
        <v>308</v>
      </c>
      <c r="E424" s="5" t="s">
        <v>395</v>
      </c>
      <c r="F424" s="128">
        <v>1057050</v>
      </c>
      <c r="G424" s="129" t="s">
        <v>224</v>
      </c>
      <c r="H424" s="139">
        <v>0</v>
      </c>
      <c r="I424" s="139">
        <v>0</v>
      </c>
      <c r="J424" s="125">
        <v>0</v>
      </c>
      <c r="K424" s="125">
        <v>4</v>
      </c>
      <c r="L424" s="130">
        <v>0.48</v>
      </c>
      <c r="M424" s="123">
        <v>0</v>
      </c>
      <c r="N424" s="130">
        <v>0.48</v>
      </c>
      <c r="O424" s="130">
        <v>0</v>
      </c>
      <c r="P424" s="123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125">
        <v>0</v>
      </c>
      <c r="Y424" s="125" t="s">
        <v>574</v>
      </c>
      <c r="Z424" s="125"/>
      <c r="AA424" s="112">
        <v>0</v>
      </c>
      <c r="AB424" s="112">
        <v>0</v>
      </c>
      <c r="AC424" s="8"/>
      <c r="AD424" s="67"/>
      <c r="AE424" s="66">
        <v>33.975999999999999</v>
      </c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  <c r="AP424" s="66"/>
      <c r="AQ424" s="66"/>
      <c r="AR424" s="66"/>
      <c r="AS424" s="66"/>
      <c r="AT424" s="66"/>
      <c r="AU424" s="66"/>
      <c r="AV424" s="66"/>
      <c r="AW424" s="66"/>
      <c r="AX424" s="66"/>
      <c r="AY424" s="66"/>
      <c r="AZ424" s="66"/>
      <c r="BA424" s="66"/>
      <c r="BB424" s="66"/>
      <c r="BC424" s="66"/>
      <c r="BD424" s="66"/>
      <c r="BE424" s="66"/>
      <c r="BF424" s="66"/>
      <c r="BG424" s="66"/>
      <c r="BH424" s="66"/>
      <c r="BI424" s="188" t="s">
        <v>1</v>
      </c>
      <c r="BJ424" s="204"/>
    </row>
    <row r="425" spans="2:62" x14ac:dyDescent="0.35">
      <c r="B425" s="126" t="s">
        <v>21</v>
      </c>
      <c r="C425" s="5" t="s">
        <v>5</v>
      </c>
      <c r="D425" s="5" t="s">
        <v>308</v>
      </c>
      <c r="E425" s="5" t="s">
        <v>395</v>
      </c>
      <c r="F425" s="128">
        <v>1042784</v>
      </c>
      <c r="G425" s="129" t="s">
        <v>300</v>
      </c>
      <c r="H425" s="139">
        <v>0</v>
      </c>
      <c r="I425" s="139">
        <v>0</v>
      </c>
      <c r="J425" s="125">
        <v>0</v>
      </c>
      <c r="K425" s="125">
        <v>0</v>
      </c>
      <c r="L425" s="130">
        <v>0</v>
      </c>
      <c r="M425" s="123">
        <v>0</v>
      </c>
      <c r="N425" s="130">
        <v>0</v>
      </c>
      <c r="O425" s="130">
        <v>0</v>
      </c>
      <c r="P425" s="123">
        <v>0</v>
      </c>
      <c r="Q425" s="5">
        <v>0</v>
      </c>
      <c r="R425" s="5">
        <v>0</v>
      </c>
      <c r="S425" s="5">
        <v>0</v>
      </c>
      <c r="T425" s="5">
        <v>0</v>
      </c>
      <c r="U425" s="5">
        <v>2</v>
      </c>
      <c r="V425" s="5">
        <v>0</v>
      </c>
      <c r="W425" s="5">
        <v>0</v>
      </c>
      <c r="X425" s="125">
        <v>0</v>
      </c>
      <c r="Y425" s="125" t="s">
        <v>574</v>
      </c>
      <c r="Z425" s="125"/>
      <c r="AA425" s="112">
        <v>0</v>
      </c>
      <c r="AB425" s="112">
        <v>117.14</v>
      </c>
      <c r="AC425" s="8"/>
      <c r="AD425" s="109"/>
      <c r="AE425" s="66" t="s">
        <v>574</v>
      </c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  <c r="AP425" s="66"/>
      <c r="AQ425" s="66"/>
      <c r="AR425" s="66"/>
      <c r="AS425" s="66"/>
      <c r="AT425" s="66"/>
      <c r="AU425" s="66"/>
      <c r="AV425" s="66"/>
      <c r="AW425" s="66"/>
      <c r="AX425" s="66"/>
      <c r="AY425" s="66"/>
      <c r="AZ425" s="66"/>
      <c r="BA425" s="66"/>
      <c r="BB425" s="66"/>
      <c r="BC425" s="66"/>
      <c r="BD425" s="66"/>
      <c r="BE425" s="66"/>
      <c r="BF425" s="66"/>
      <c r="BG425" s="66"/>
      <c r="BH425" s="66"/>
      <c r="BI425" s="189" t="s">
        <v>1</v>
      </c>
      <c r="BJ425" s="204"/>
    </row>
    <row r="426" spans="2:62" x14ac:dyDescent="0.35">
      <c r="B426" s="126" t="s">
        <v>21</v>
      </c>
      <c r="C426" s="5" t="s">
        <v>5</v>
      </c>
      <c r="D426" s="5" t="s">
        <v>308</v>
      </c>
      <c r="E426" s="5" t="s">
        <v>395</v>
      </c>
      <c r="F426" s="128">
        <v>1049476</v>
      </c>
      <c r="G426" s="129" t="s">
        <v>141</v>
      </c>
      <c r="H426" s="139">
        <v>0</v>
      </c>
      <c r="I426" s="139">
        <v>0</v>
      </c>
      <c r="J426" s="125">
        <v>0</v>
      </c>
      <c r="K426" s="125">
        <v>0</v>
      </c>
      <c r="L426" s="130">
        <v>0</v>
      </c>
      <c r="M426" s="123">
        <v>0</v>
      </c>
      <c r="N426" s="130">
        <v>0</v>
      </c>
      <c r="O426" s="130">
        <v>0</v>
      </c>
      <c r="P426" s="123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125">
        <v>0</v>
      </c>
      <c r="Y426" s="125" t="s">
        <v>574</v>
      </c>
      <c r="Z426" s="125"/>
      <c r="AA426" s="112">
        <v>0</v>
      </c>
      <c r="AB426" s="112">
        <v>0</v>
      </c>
      <c r="AC426" s="8"/>
      <c r="AD426" s="109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  <c r="AP426" s="66"/>
      <c r="AQ426" s="66"/>
      <c r="AR426" s="66"/>
      <c r="AS426" s="66"/>
      <c r="AT426" s="66"/>
      <c r="AU426" s="66"/>
      <c r="AV426" s="66"/>
      <c r="AW426" s="66"/>
      <c r="AX426" s="66"/>
      <c r="AY426" s="66"/>
      <c r="AZ426" s="66"/>
      <c r="BA426" s="66"/>
      <c r="BB426" s="66"/>
      <c r="BC426" s="66"/>
      <c r="BD426" s="66"/>
      <c r="BE426" s="66"/>
      <c r="BF426" s="66"/>
      <c r="BG426" s="66"/>
      <c r="BH426" s="66"/>
      <c r="BI426" s="188" t="s">
        <v>1</v>
      </c>
      <c r="BJ426" s="204"/>
    </row>
    <row r="427" spans="2:62" x14ac:dyDescent="0.35">
      <c r="B427" s="126" t="s">
        <v>21</v>
      </c>
      <c r="C427" s="5" t="s">
        <v>5</v>
      </c>
      <c r="D427" s="5" t="s">
        <v>308</v>
      </c>
      <c r="E427" s="5" t="s">
        <v>395</v>
      </c>
      <c r="F427" s="128">
        <v>1042788</v>
      </c>
      <c r="G427" s="129" t="s">
        <v>304</v>
      </c>
      <c r="H427" s="139">
        <v>0</v>
      </c>
      <c r="I427" s="139">
        <v>0</v>
      </c>
      <c r="J427" s="125">
        <v>0</v>
      </c>
      <c r="K427" s="125">
        <v>0</v>
      </c>
      <c r="L427" s="130">
        <v>0</v>
      </c>
      <c r="M427" s="123">
        <v>0</v>
      </c>
      <c r="N427" s="130">
        <v>0</v>
      </c>
      <c r="O427" s="130">
        <v>0</v>
      </c>
      <c r="P427" s="123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125">
        <v>0</v>
      </c>
      <c r="Y427" s="125" t="s">
        <v>574</v>
      </c>
      <c r="Z427" s="125"/>
      <c r="AA427" s="112">
        <v>0</v>
      </c>
      <c r="AB427" s="112">
        <v>0</v>
      </c>
      <c r="AC427" s="8"/>
      <c r="AD427" s="109"/>
      <c r="AE427" s="66" t="s">
        <v>574</v>
      </c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  <c r="AP427" s="66"/>
      <c r="AQ427" s="66"/>
      <c r="AR427" s="66"/>
      <c r="AS427" s="66"/>
      <c r="AT427" s="66"/>
      <c r="AU427" s="66"/>
      <c r="AV427" s="66"/>
      <c r="AW427" s="66"/>
      <c r="AX427" s="66"/>
      <c r="AY427" s="66"/>
      <c r="AZ427" s="66"/>
      <c r="BA427" s="66"/>
      <c r="BB427" s="66"/>
      <c r="BC427" s="66"/>
      <c r="BD427" s="66"/>
      <c r="BE427" s="66"/>
      <c r="BF427" s="66"/>
      <c r="BG427" s="66"/>
      <c r="BH427" s="66"/>
      <c r="BI427" s="189" t="s">
        <v>1</v>
      </c>
      <c r="BJ427" s="204"/>
    </row>
    <row r="428" spans="2:62" x14ac:dyDescent="0.35">
      <c r="B428" s="126" t="s">
        <v>21</v>
      </c>
      <c r="C428" s="5" t="s">
        <v>5</v>
      </c>
      <c r="D428" s="5" t="s">
        <v>308</v>
      </c>
      <c r="E428" s="5" t="s">
        <v>395</v>
      </c>
      <c r="F428" s="128">
        <v>1049036</v>
      </c>
      <c r="G428" s="129" t="s">
        <v>139</v>
      </c>
      <c r="H428" s="139">
        <v>0</v>
      </c>
      <c r="I428" s="139">
        <v>0</v>
      </c>
      <c r="J428" s="125">
        <v>0</v>
      </c>
      <c r="K428" s="125">
        <v>0</v>
      </c>
      <c r="L428" s="130">
        <v>0</v>
      </c>
      <c r="M428" s="123">
        <v>0</v>
      </c>
      <c r="N428" s="130">
        <v>0</v>
      </c>
      <c r="O428" s="130">
        <v>0</v>
      </c>
      <c r="P428" s="123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125">
        <v>0</v>
      </c>
      <c r="Y428" s="125" t="s">
        <v>574</v>
      </c>
      <c r="Z428" s="125"/>
      <c r="AA428" s="112">
        <v>0</v>
      </c>
      <c r="AB428" s="112">
        <v>0</v>
      </c>
      <c r="AC428" s="8"/>
      <c r="AD428" s="109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  <c r="AR428" s="66"/>
      <c r="AS428" s="66"/>
      <c r="AT428" s="66"/>
      <c r="AU428" s="66"/>
      <c r="AV428" s="66"/>
      <c r="AW428" s="66"/>
      <c r="AX428" s="66"/>
      <c r="AY428" s="66"/>
      <c r="AZ428" s="66"/>
      <c r="BA428" s="66"/>
      <c r="BB428" s="66"/>
      <c r="BC428" s="66"/>
      <c r="BD428" s="66"/>
      <c r="BE428" s="66"/>
      <c r="BF428" s="66"/>
      <c r="BG428" s="66"/>
      <c r="BH428" s="66"/>
      <c r="BI428" s="189"/>
      <c r="BJ428" s="204"/>
    </row>
    <row r="429" spans="2:62" x14ac:dyDescent="0.35">
      <c r="B429" s="126" t="s">
        <v>21</v>
      </c>
      <c r="C429" s="5" t="s">
        <v>5</v>
      </c>
      <c r="D429" s="5" t="s">
        <v>308</v>
      </c>
      <c r="E429" s="5" t="s">
        <v>395</v>
      </c>
      <c r="F429" s="128">
        <v>1042787</v>
      </c>
      <c r="G429" s="129" t="s">
        <v>303</v>
      </c>
      <c r="H429" s="139">
        <v>0</v>
      </c>
      <c r="I429" s="139">
        <v>0</v>
      </c>
      <c r="J429" s="125">
        <v>0</v>
      </c>
      <c r="K429" s="125">
        <v>0</v>
      </c>
      <c r="L429" s="130">
        <v>0</v>
      </c>
      <c r="M429" s="123">
        <v>0</v>
      </c>
      <c r="N429" s="130">
        <v>0</v>
      </c>
      <c r="O429" s="130">
        <v>0</v>
      </c>
      <c r="P429" s="123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125">
        <v>0</v>
      </c>
      <c r="Y429" s="125" t="s">
        <v>574</v>
      </c>
      <c r="Z429" s="125"/>
      <c r="AA429" s="112">
        <v>0</v>
      </c>
      <c r="AB429" s="112">
        <v>0</v>
      </c>
      <c r="AC429" s="8"/>
      <c r="AD429" s="109"/>
      <c r="AE429" s="66">
        <v>23.998688161691184</v>
      </c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  <c r="AS429" s="66"/>
      <c r="AT429" s="66"/>
      <c r="AU429" s="66"/>
      <c r="AV429" s="66"/>
      <c r="AW429" s="66"/>
      <c r="AX429" s="66"/>
      <c r="AY429" s="66"/>
      <c r="AZ429" s="66"/>
      <c r="BA429" s="66"/>
      <c r="BB429" s="66"/>
      <c r="BC429" s="66"/>
      <c r="BD429" s="66"/>
      <c r="BE429" s="66"/>
      <c r="BF429" s="66"/>
      <c r="BG429" s="66"/>
      <c r="BH429" s="66"/>
      <c r="BI429" s="188" t="s">
        <v>1</v>
      </c>
      <c r="BJ429" s="204"/>
    </row>
    <row r="430" spans="2:62" x14ac:dyDescent="0.35">
      <c r="B430" s="126" t="s">
        <v>21</v>
      </c>
      <c r="C430" s="5" t="s">
        <v>5</v>
      </c>
      <c r="D430" s="5" t="s">
        <v>308</v>
      </c>
      <c r="E430" s="5" t="s">
        <v>395</v>
      </c>
      <c r="F430" s="128">
        <v>1069937</v>
      </c>
      <c r="G430" s="129" t="s">
        <v>671</v>
      </c>
      <c r="H430" s="139">
        <v>0</v>
      </c>
      <c r="I430" s="139">
        <v>0</v>
      </c>
      <c r="J430" s="125">
        <v>0</v>
      </c>
      <c r="K430" s="125">
        <v>0</v>
      </c>
      <c r="L430" s="130">
        <v>0</v>
      </c>
      <c r="M430" s="123">
        <v>0</v>
      </c>
      <c r="N430" s="130">
        <v>0</v>
      </c>
      <c r="O430" s="130">
        <v>0</v>
      </c>
      <c r="P430" s="123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125">
        <v>0</v>
      </c>
      <c r="Y430" s="125" t="s">
        <v>574</v>
      </c>
      <c r="Z430" s="125"/>
      <c r="AA430" s="112">
        <v>0</v>
      </c>
      <c r="AB430" s="112">
        <v>0</v>
      </c>
      <c r="AC430" s="8"/>
      <c r="AD430" s="109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  <c r="AP430" s="66"/>
      <c r="AQ430" s="66"/>
      <c r="AR430" s="66"/>
      <c r="AS430" s="66"/>
      <c r="AT430" s="66"/>
      <c r="AU430" s="66"/>
      <c r="AV430" s="66"/>
      <c r="AW430" s="66"/>
      <c r="AX430" s="66"/>
      <c r="AY430" s="66"/>
      <c r="AZ430" s="66"/>
      <c r="BA430" s="66"/>
      <c r="BB430" s="66"/>
      <c r="BC430" s="66"/>
      <c r="BD430" s="66"/>
      <c r="BE430" s="66"/>
      <c r="BF430" s="66"/>
      <c r="BG430" s="66"/>
      <c r="BH430" s="66"/>
      <c r="BI430" s="188"/>
      <c r="BJ430" s="204"/>
    </row>
    <row r="431" spans="2:62" x14ac:dyDescent="0.35">
      <c r="B431" s="126" t="s">
        <v>21</v>
      </c>
      <c r="C431" s="5" t="s">
        <v>5</v>
      </c>
      <c r="D431" s="5" t="s">
        <v>308</v>
      </c>
      <c r="E431" s="5" t="s">
        <v>395</v>
      </c>
      <c r="F431" s="128">
        <v>1042783</v>
      </c>
      <c r="G431" s="129" t="s">
        <v>299</v>
      </c>
      <c r="H431" s="139">
        <v>0</v>
      </c>
      <c r="I431" s="139">
        <v>0</v>
      </c>
      <c r="J431" s="125">
        <v>0</v>
      </c>
      <c r="K431" s="125">
        <v>0</v>
      </c>
      <c r="L431" s="130">
        <v>0</v>
      </c>
      <c r="M431" s="123">
        <v>0</v>
      </c>
      <c r="N431" s="130">
        <v>0</v>
      </c>
      <c r="O431" s="130">
        <v>0</v>
      </c>
      <c r="P431" s="123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125">
        <v>0</v>
      </c>
      <c r="Y431" s="125" t="s">
        <v>574</v>
      </c>
      <c r="Z431" s="125"/>
      <c r="AA431" s="112">
        <v>0</v>
      </c>
      <c r="AB431" s="112">
        <v>0</v>
      </c>
      <c r="AC431" s="8"/>
      <c r="AD431" s="109"/>
      <c r="AE431" s="66" t="s">
        <v>574</v>
      </c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  <c r="AR431" s="66"/>
      <c r="AS431" s="66"/>
      <c r="AT431" s="66"/>
      <c r="AU431" s="66"/>
      <c r="AV431" s="66"/>
      <c r="AW431" s="66"/>
      <c r="AX431" s="66"/>
      <c r="AY431" s="66"/>
      <c r="AZ431" s="66"/>
      <c r="BA431" s="66"/>
      <c r="BB431" s="66"/>
      <c r="BC431" s="66"/>
      <c r="BD431" s="66"/>
      <c r="BE431" s="66"/>
      <c r="BF431" s="66"/>
      <c r="BG431" s="66"/>
      <c r="BH431" s="66"/>
      <c r="BI431" s="189" t="s">
        <v>1</v>
      </c>
      <c r="BJ431" s="204"/>
    </row>
    <row r="432" spans="2:62" x14ac:dyDescent="0.35">
      <c r="B432" s="126" t="s">
        <v>1</v>
      </c>
      <c r="C432" s="5" t="s">
        <v>2</v>
      </c>
      <c r="D432" s="5" t="s">
        <v>308</v>
      </c>
      <c r="E432" s="5" t="s">
        <v>395</v>
      </c>
      <c r="F432" s="128">
        <v>1069595</v>
      </c>
      <c r="G432" s="129" t="s">
        <v>573</v>
      </c>
      <c r="H432" s="139">
        <v>0</v>
      </c>
      <c r="I432" s="139">
        <v>0</v>
      </c>
      <c r="J432" s="125">
        <v>0</v>
      </c>
      <c r="K432" s="125">
        <v>0</v>
      </c>
      <c r="L432" s="130">
        <v>0</v>
      </c>
      <c r="M432" s="123">
        <v>0</v>
      </c>
      <c r="N432" s="130">
        <v>0</v>
      </c>
      <c r="O432" s="130">
        <v>0</v>
      </c>
      <c r="P432" s="123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125">
        <v>0</v>
      </c>
      <c r="Y432" s="125" t="s">
        <v>574</v>
      </c>
      <c r="Z432" s="125"/>
      <c r="AA432" s="112">
        <v>0</v>
      </c>
      <c r="AB432" s="112">
        <v>0</v>
      </c>
      <c r="AC432" s="8"/>
      <c r="AD432" s="109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  <c r="AR432" s="66"/>
      <c r="AS432" s="66"/>
      <c r="AT432" s="66"/>
      <c r="AU432" s="66"/>
      <c r="AV432" s="66"/>
      <c r="AW432" s="66"/>
      <c r="AX432" s="66"/>
      <c r="AY432" s="66"/>
      <c r="AZ432" s="66"/>
      <c r="BA432" s="66"/>
      <c r="BB432" s="66"/>
      <c r="BC432" s="66"/>
      <c r="BD432" s="66"/>
      <c r="BE432" s="66"/>
      <c r="BF432" s="66"/>
      <c r="BG432" s="66"/>
      <c r="BH432" s="66"/>
      <c r="BI432" s="188" t="s">
        <v>1</v>
      </c>
      <c r="BJ432" s="204"/>
    </row>
    <row r="433" spans="2:62" x14ac:dyDescent="0.35">
      <c r="B433" s="126" t="s">
        <v>1</v>
      </c>
      <c r="C433" s="5" t="s">
        <v>2</v>
      </c>
      <c r="D433" s="5" t="s">
        <v>308</v>
      </c>
      <c r="E433" s="5" t="s">
        <v>395</v>
      </c>
      <c r="F433" s="128">
        <v>1069594</v>
      </c>
      <c r="G433" s="129" t="s">
        <v>572</v>
      </c>
      <c r="H433" s="139">
        <v>0</v>
      </c>
      <c r="I433" s="139">
        <v>0</v>
      </c>
      <c r="J433" s="125">
        <v>0</v>
      </c>
      <c r="K433" s="125">
        <v>0</v>
      </c>
      <c r="L433" s="130">
        <v>0</v>
      </c>
      <c r="M433" s="123">
        <v>0</v>
      </c>
      <c r="N433" s="130">
        <v>0</v>
      </c>
      <c r="O433" s="130">
        <v>0</v>
      </c>
      <c r="P433" s="123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125">
        <v>0</v>
      </c>
      <c r="Y433" s="125" t="s">
        <v>574</v>
      </c>
      <c r="Z433" s="125"/>
      <c r="AA433" s="112">
        <v>0</v>
      </c>
      <c r="AB433" s="112">
        <v>0</v>
      </c>
      <c r="AC433" s="8"/>
      <c r="AD433" s="109"/>
      <c r="AE433" s="66">
        <v>35.932689928234694</v>
      </c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  <c r="AS433" s="66"/>
      <c r="AT433" s="66"/>
      <c r="AU433" s="66"/>
      <c r="AV433" s="66"/>
      <c r="AW433" s="66"/>
      <c r="AX433" s="66"/>
      <c r="AY433" s="66"/>
      <c r="AZ433" s="66"/>
      <c r="BA433" s="66"/>
      <c r="BB433" s="66"/>
      <c r="BC433" s="66"/>
      <c r="BD433" s="66"/>
      <c r="BE433" s="66"/>
      <c r="BF433" s="66"/>
      <c r="BG433" s="66"/>
      <c r="BH433" s="66"/>
      <c r="BI433" s="188" t="s">
        <v>1</v>
      </c>
      <c r="BJ433" s="204"/>
    </row>
    <row r="434" spans="2:62" x14ac:dyDescent="0.35">
      <c r="B434" s="126" t="s">
        <v>4</v>
      </c>
      <c r="C434" s="5" t="s">
        <v>5</v>
      </c>
      <c r="D434" s="5" t="s">
        <v>308</v>
      </c>
      <c r="E434" s="5" t="s">
        <v>407</v>
      </c>
      <c r="F434" s="128">
        <v>1009960</v>
      </c>
      <c r="G434" s="129" t="s">
        <v>69</v>
      </c>
      <c r="H434" s="139">
        <v>0</v>
      </c>
      <c r="I434" s="139">
        <v>0</v>
      </c>
      <c r="J434" s="125">
        <v>0</v>
      </c>
      <c r="K434" s="125">
        <v>0</v>
      </c>
      <c r="L434" s="130">
        <v>0</v>
      </c>
      <c r="M434" s="123">
        <v>0</v>
      </c>
      <c r="N434" s="130">
        <v>0</v>
      </c>
      <c r="O434" s="130">
        <v>0</v>
      </c>
      <c r="P434" s="123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125">
        <v>0</v>
      </c>
      <c r="Y434" s="125" t="s">
        <v>574</v>
      </c>
      <c r="Z434" s="125"/>
      <c r="AA434" s="112">
        <v>0</v>
      </c>
      <c r="AB434" s="112">
        <v>0</v>
      </c>
      <c r="AC434" s="8"/>
      <c r="AD434" s="109"/>
      <c r="AE434" s="66" t="s">
        <v>574</v>
      </c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6"/>
      <c r="AS434" s="66"/>
      <c r="AT434" s="66"/>
      <c r="AU434" s="66"/>
      <c r="AV434" s="66"/>
      <c r="AW434" s="66"/>
      <c r="AX434" s="66"/>
      <c r="AY434" s="66"/>
      <c r="AZ434" s="66"/>
      <c r="BA434" s="66"/>
      <c r="BB434" s="66"/>
      <c r="BC434" s="66"/>
      <c r="BD434" s="66"/>
      <c r="BE434" s="66"/>
      <c r="BF434" s="66"/>
      <c r="BG434" s="66"/>
      <c r="BH434" s="66"/>
      <c r="BI434" s="188" t="s">
        <v>1</v>
      </c>
      <c r="BJ434" s="204"/>
    </row>
    <row r="435" spans="2:62" x14ac:dyDescent="0.35">
      <c r="B435" s="126" t="s">
        <v>9</v>
      </c>
      <c r="C435" s="5" t="s">
        <v>5</v>
      </c>
      <c r="D435" s="5" t="s">
        <v>308</v>
      </c>
      <c r="E435" s="5" t="s">
        <v>397</v>
      </c>
      <c r="F435" s="128">
        <v>1047581</v>
      </c>
      <c r="G435" s="129" t="s">
        <v>13</v>
      </c>
      <c r="H435" s="139">
        <v>0</v>
      </c>
      <c r="I435" s="139">
        <v>0</v>
      </c>
      <c r="J435" s="125">
        <v>0</v>
      </c>
      <c r="K435" s="125">
        <v>0</v>
      </c>
      <c r="L435" s="130">
        <v>0</v>
      </c>
      <c r="M435" s="123">
        <v>0</v>
      </c>
      <c r="N435" s="130">
        <v>0</v>
      </c>
      <c r="O435" s="130">
        <v>0</v>
      </c>
      <c r="P435" s="123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125">
        <v>0</v>
      </c>
      <c r="Y435" s="125" t="s">
        <v>574</v>
      </c>
      <c r="Z435" s="125"/>
      <c r="AA435" s="112">
        <v>0</v>
      </c>
      <c r="AB435" s="112">
        <v>0</v>
      </c>
      <c r="AC435" s="8"/>
      <c r="AD435" s="109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  <c r="AR435" s="66"/>
      <c r="AS435" s="66"/>
      <c r="AT435" s="66"/>
      <c r="AU435" s="66"/>
      <c r="AV435" s="66"/>
      <c r="AW435" s="66"/>
      <c r="AX435" s="66"/>
      <c r="AY435" s="66"/>
      <c r="AZ435" s="66"/>
      <c r="BA435" s="66"/>
      <c r="BB435" s="66"/>
      <c r="BC435" s="66"/>
      <c r="BD435" s="66"/>
      <c r="BE435" s="66"/>
      <c r="BF435" s="66"/>
      <c r="BG435" s="66"/>
      <c r="BH435" s="66"/>
      <c r="BI435" s="188" t="s">
        <v>1</v>
      </c>
      <c r="BJ435" s="204"/>
    </row>
    <row r="436" spans="2:62" x14ac:dyDescent="0.35">
      <c r="B436" s="126" t="s">
        <v>15</v>
      </c>
      <c r="C436" s="5" t="s">
        <v>5</v>
      </c>
      <c r="D436" s="5" t="s">
        <v>308</v>
      </c>
      <c r="E436" s="5" t="s">
        <v>315</v>
      </c>
      <c r="F436" s="128">
        <v>1044708</v>
      </c>
      <c r="G436" s="129" t="s">
        <v>14</v>
      </c>
      <c r="H436" s="139">
        <v>0</v>
      </c>
      <c r="I436" s="139">
        <v>0</v>
      </c>
      <c r="J436" s="125">
        <v>0</v>
      </c>
      <c r="K436" s="125">
        <v>0</v>
      </c>
      <c r="L436" s="130">
        <v>0</v>
      </c>
      <c r="M436" s="123">
        <v>0</v>
      </c>
      <c r="N436" s="130">
        <v>0</v>
      </c>
      <c r="O436" s="130">
        <v>0</v>
      </c>
      <c r="P436" s="123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125">
        <v>0</v>
      </c>
      <c r="Y436" s="125" t="s">
        <v>574</v>
      </c>
      <c r="Z436" s="125"/>
      <c r="AA436" s="112">
        <v>0</v>
      </c>
      <c r="AB436" s="112">
        <v>0</v>
      </c>
      <c r="AC436" s="8"/>
      <c r="AD436" s="109"/>
      <c r="AE436" s="66" t="s">
        <v>574</v>
      </c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  <c r="AS436" s="66"/>
      <c r="AT436" s="66"/>
      <c r="AU436" s="66"/>
      <c r="AV436" s="66"/>
      <c r="AW436" s="66"/>
      <c r="AX436" s="66"/>
      <c r="AY436" s="66"/>
      <c r="AZ436" s="66"/>
      <c r="BA436" s="66"/>
      <c r="BB436" s="66"/>
      <c r="BC436" s="66"/>
      <c r="BD436" s="66"/>
      <c r="BE436" s="66"/>
      <c r="BF436" s="66"/>
      <c r="BG436" s="66"/>
      <c r="BH436" s="66"/>
      <c r="BI436" s="189" t="s">
        <v>1</v>
      </c>
      <c r="BJ436" s="204"/>
    </row>
    <row r="437" spans="2:62" x14ac:dyDescent="0.35">
      <c r="B437" s="126" t="s">
        <v>9</v>
      </c>
      <c r="C437" s="5" t="s">
        <v>5</v>
      </c>
      <c r="D437" s="5" t="s">
        <v>308</v>
      </c>
      <c r="E437" s="5" t="s">
        <v>315</v>
      </c>
      <c r="F437" s="128">
        <v>1057719</v>
      </c>
      <c r="G437" s="129" t="s">
        <v>260</v>
      </c>
      <c r="H437" s="139">
        <v>0</v>
      </c>
      <c r="I437" s="139">
        <v>0</v>
      </c>
      <c r="J437" s="125">
        <v>0</v>
      </c>
      <c r="K437" s="125">
        <v>0</v>
      </c>
      <c r="L437" s="130">
        <v>0</v>
      </c>
      <c r="M437" s="123">
        <v>0</v>
      </c>
      <c r="N437" s="130">
        <v>0</v>
      </c>
      <c r="O437" s="130">
        <v>0</v>
      </c>
      <c r="P437" s="123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125">
        <v>0</v>
      </c>
      <c r="Y437" s="125" t="s">
        <v>574</v>
      </c>
      <c r="Z437" s="125"/>
      <c r="AA437" s="112">
        <v>0</v>
      </c>
      <c r="AB437" s="112">
        <v>0</v>
      </c>
      <c r="AC437" s="8"/>
      <c r="AD437" s="109"/>
      <c r="AE437" s="66">
        <v>34.519695465077788</v>
      </c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66"/>
      <c r="AU437" s="66"/>
      <c r="AV437" s="66"/>
      <c r="AW437" s="66"/>
      <c r="AX437" s="66"/>
      <c r="AY437" s="66"/>
      <c r="AZ437" s="66"/>
      <c r="BA437" s="66"/>
      <c r="BB437" s="66"/>
      <c r="BC437" s="66"/>
      <c r="BD437" s="66"/>
      <c r="BE437" s="66"/>
      <c r="BF437" s="66"/>
      <c r="BG437" s="66"/>
      <c r="BH437" s="66"/>
      <c r="BI437" s="188" t="s">
        <v>1</v>
      </c>
      <c r="BJ437" s="204"/>
    </row>
    <row r="438" spans="2:62" x14ac:dyDescent="0.35">
      <c r="B438" s="126" t="s">
        <v>4</v>
      </c>
      <c r="C438" s="5" t="s">
        <v>5</v>
      </c>
      <c r="D438" s="5" t="s">
        <v>308</v>
      </c>
      <c r="E438" s="5" t="s">
        <v>407</v>
      </c>
      <c r="F438" s="128">
        <v>1009961</v>
      </c>
      <c r="G438" s="129" t="s">
        <v>284</v>
      </c>
      <c r="H438" s="139">
        <v>0</v>
      </c>
      <c r="I438" s="139">
        <v>0</v>
      </c>
      <c r="J438" s="125">
        <v>0</v>
      </c>
      <c r="K438" s="125">
        <v>0</v>
      </c>
      <c r="L438" s="130">
        <v>0</v>
      </c>
      <c r="M438" s="123">
        <v>0</v>
      </c>
      <c r="N438" s="130">
        <v>0</v>
      </c>
      <c r="O438" s="130">
        <v>0</v>
      </c>
      <c r="P438" s="123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125">
        <v>0</v>
      </c>
      <c r="Y438" s="125" t="s">
        <v>574</v>
      </c>
      <c r="Z438" s="125"/>
      <c r="AA438" s="112">
        <v>0</v>
      </c>
      <c r="AB438" s="112">
        <v>0</v>
      </c>
      <c r="AC438" s="8"/>
      <c r="AD438" s="109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6"/>
      <c r="AS438" s="66"/>
      <c r="AT438" s="66"/>
      <c r="AU438" s="66"/>
      <c r="AV438" s="66"/>
      <c r="AW438" s="66"/>
      <c r="AX438" s="66"/>
      <c r="AY438" s="66"/>
      <c r="AZ438" s="66"/>
      <c r="BA438" s="66"/>
      <c r="BB438" s="66"/>
      <c r="BC438" s="66"/>
      <c r="BD438" s="66"/>
      <c r="BE438" s="66"/>
      <c r="BF438" s="66"/>
      <c r="BG438" s="66"/>
      <c r="BH438" s="66"/>
      <c r="BI438" s="189" t="s">
        <v>1</v>
      </c>
      <c r="BJ438" s="204"/>
    </row>
    <row r="439" spans="2:62" x14ac:dyDescent="0.35">
      <c r="B439" s="126" t="s">
        <v>38</v>
      </c>
      <c r="C439" s="5" t="s">
        <v>5</v>
      </c>
      <c r="D439" s="5" t="s">
        <v>308</v>
      </c>
      <c r="E439" s="5" t="s">
        <v>405</v>
      </c>
      <c r="F439" s="128">
        <v>1011971</v>
      </c>
      <c r="G439" s="129" t="s">
        <v>37</v>
      </c>
      <c r="H439" s="139">
        <v>0</v>
      </c>
      <c r="I439" s="139">
        <v>0</v>
      </c>
      <c r="J439" s="125">
        <v>0</v>
      </c>
      <c r="K439" s="125">
        <v>0</v>
      </c>
      <c r="L439" s="130">
        <v>0</v>
      </c>
      <c r="M439" s="123">
        <v>0</v>
      </c>
      <c r="N439" s="130">
        <v>0</v>
      </c>
      <c r="O439" s="130">
        <v>0</v>
      </c>
      <c r="P439" s="123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125">
        <v>0</v>
      </c>
      <c r="Y439" s="125" t="s">
        <v>574</v>
      </c>
      <c r="Z439" s="125"/>
      <c r="AA439" s="112">
        <v>0</v>
      </c>
      <c r="AB439" s="112">
        <v>0</v>
      </c>
      <c r="AC439" s="8"/>
      <c r="AD439" s="109"/>
      <c r="AE439" s="66" t="s">
        <v>574</v>
      </c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  <c r="AR439" s="66"/>
      <c r="AS439" s="66"/>
      <c r="AT439" s="66"/>
      <c r="AU439" s="66"/>
      <c r="AV439" s="66"/>
      <c r="AW439" s="66"/>
      <c r="AX439" s="66"/>
      <c r="AY439" s="66"/>
      <c r="AZ439" s="66"/>
      <c r="BA439" s="66"/>
      <c r="BB439" s="66"/>
      <c r="BC439" s="66"/>
      <c r="BD439" s="66"/>
      <c r="BE439" s="66"/>
      <c r="BF439" s="66"/>
      <c r="BG439" s="66"/>
      <c r="BH439" s="66"/>
      <c r="BI439" s="189" t="s">
        <v>1</v>
      </c>
      <c r="BJ439" s="204"/>
    </row>
    <row r="440" spans="2:62" x14ac:dyDescent="0.35">
      <c r="B440" s="126" t="s">
        <v>8</v>
      </c>
      <c r="C440" s="5" t="s">
        <v>5</v>
      </c>
      <c r="D440" s="5" t="s">
        <v>308</v>
      </c>
      <c r="E440" s="5" t="s">
        <v>309</v>
      </c>
      <c r="F440" s="128">
        <v>1062485</v>
      </c>
      <c r="G440" s="129" t="s">
        <v>502</v>
      </c>
      <c r="H440" s="139">
        <v>0</v>
      </c>
      <c r="I440" s="139">
        <v>0</v>
      </c>
      <c r="J440" s="125">
        <v>0</v>
      </c>
      <c r="K440" s="125">
        <v>0</v>
      </c>
      <c r="L440" s="130">
        <v>0</v>
      </c>
      <c r="M440" s="123">
        <v>0</v>
      </c>
      <c r="N440" s="130">
        <v>0</v>
      </c>
      <c r="O440" s="130">
        <v>0</v>
      </c>
      <c r="P440" s="123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125">
        <v>0</v>
      </c>
      <c r="Y440" s="125" t="s">
        <v>574</v>
      </c>
      <c r="Z440" s="125"/>
      <c r="AA440" s="112">
        <v>0</v>
      </c>
      <c r="AB440" s="112">
        <v>0</v>
      </c>
      <c r="AC440" s="8"/>
      <c r="AD440" s="109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  <c r="AR440" s="66"/>
      <c r="AS440" s="66"/>
      <c r="AT440" s="66"/>
      <c r="AU440" s="66"/>
      <c r="AV440" s="66"/>
      <c r="AW440" s="66"/>
      <c r="AX440" s="66"/>
      <c r="AY440" s="66"/>
      <c r="AZ440" s="66"/>
      <c r="BA440" s="66"/>
      <c r="BB440" s="66"/>
      <c r="BC440" s="66"/>
      <c r="BD440" s="66"/>
      <c r="BE440" s="66"/>
      <c r="BF440" s="66"/>
      <c r="BG440" s="66"/>
      <c r="BH440" s="66"/>
      <c r="BI440" s="188"/>
      <c r="BJ440" s="204"/>
    </row>
    <row r="441" spans="2:62" x14ac:dyDescent="0.35">
      <c r="B441" s="126" t="s">
        <v>8</v>
      </c>
      <c r="C441" s="5" t="s">
        <v>5</v>
      </c>
      <c r="D441" s="5" t="s">
        <v>308</v>
      </c>
      <c r="E441" s="5" t="s">
        <v>309</v>
      </c>
      <c r="F441" s="128">
        <v>1033686</v>
      </c>
      <c r="G441" s="129" t="s">
        <v>45</v>
      </c>
      <c r="H441" s="139">
        <v>0</v>
      </c>
      <c r="I441" s="139">
        <v>0</v>
      </c>
      <c r="J441" s="125">
        <v>0</v>
      </c>
      <c r="K441" s="125">
        <v>0</v>
      </c>
      <c r="L441" s="130">
        <v>0</v>
      </c>
      <c r="M441" s="123">
        <v>0</v>
      </c>
      <c r="N441" s="130">
        <v>0</v>
      </c>
      <c r="O441" s="130">
        <v>0</v>
      </c>
      <c r="P441" s="123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125">
        <v>0</v>
      </c>
      <c r="Y441" s="125" t="s">
        <v>574</v>
      </c>
      <c r="Z441" s="125"/>
      <c r="AA441" s="112">
        <v>0</v>
      </c>
      <c r="AB441" s="112">
        <v>0</v>
      </c>
      <c r="AC441" s="8"/>
      <c r="AD441" s="109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  <c r="AR441" s="66"/>
      <c r="AS441" s="66"/>
      <c r="AT441" s="66"/>
      <c r="AU441" s="66"/>
      <c r="AV441" s="66"/>
      <c r="AW441" s="66"/>
      <c r="AX441" s="66"/>
      <c r="AY441" s="66"/>
      <c r="AZ441" s="66"/>
      <c r="BA441" s="66"/>
      <c r="BB441" s="66"/>
      <c r="BC441" s="66"/>
      <c r="BD441" s="66"/>
      <c r="BE441" s="66"/>
      <c r="BF441" s="66"/>
      <c r="BG441" s="66"/>
      <c r="BH441" s="66"/>
      <c r="BI441" s="188"/>
      <c r="BJ441" s="204"/>
    </row>
    <row r="442" spans="2:62" x14ac:dyDescent="0.35">
      <c r="B442" s="126" t="s">
        <v>8</v>
      </c>
      <c r="C442" s="5" t="s">
        <v>5</v>
      </c>
      <c r="D442" s="5" t="s">
        <v>308</v>
      </c>
      <c r="E442" s="5" t="s">
        <v>309</v>
      </c>
      <c r="F442" s="128">
        <v>1010076</v>
      </c>
      <c r="G442" s="129" t="s">
        <v>7</v>
      </c>
      <c r="H442" s="139">
        <v>0</v>
      </c>
      <c r="I442" s="139">
        <v>0</v>
      </c>
      <c r="J442" s="125">
        <v>0</v>
      </c>
      <c r="K442" s="125">
        <v>0</v>
      </c>
      <c r="L442" s="130">
        <v>0</v>
      </c>
      <c r="M442" s="123">
        <v>0</v>
      </c>
      <c r="N442" s="130">
        <v>0</v>
      </c>
      <c r="O442" s="130">
        <v>0</v>
      </c>
      <c r="P442" s="123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125">
        <v>0</v>
      </c>
      <c r="Y442" s="125" t="s">
        <v>574</v>
      </c>
      <c r="Z442" s="125"/>
      <c r="AA442" s="112">
        <v>0</v>
      </c>
      <c r="AB442" s="112">
        <v>0</v>
      </c>
      <c r="AC442" s="8"/>
      <c r="AD442" s="109"/>
      <c r="AE442" s="66">
        <v>22.401247384911553</v>
      </c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  <c r="AR442" s="66"/>
      <c r="AS442" s="66"/>
      <c r="AT442" s="66"/>
      <c r="AU442" s="66"/>
      <c r="AV442" s="66"/>
      <c r="AW442" s="66"/>
      <c r="AX442" s="66"/>
      <c r="AY442" s="66"/>
      <c r="AZ442" s="66"/>
      <c r="BA442" s="66"/>
      <c r="BB442" s="66"/>
      <c r="BC442" s="66"/>
      <c r="BD442" s="66"/>
      <c r="BE442" s="66"/>
      <c r="BF442" s="66"/>
      <c r="BG442" s="66"/>
      <c r="BH442" s="66"/>
      <c r="BI442" s="188" t="s">
        <v>1</v>
      </c>
      <c r="BJ442" s="204"/>
    </row>
    <row r="443" spans="2:62" x14ac:dyDescent="0.35">
      <c r="B443" s="126" t="s">
        <v>21</v>
      </c>
      <c r="C443" s="5" t="s">
        <v>5</v>
      </c>
      <c r="D443" s="5" t="s">
        <v>308</v>
      </c>
      <c r="E443" s="5" t="s">
        <v>372</v>
      </c>
      <c r="F443" s="128">
        <v>1013133</v>
      </c>
      <c r="G443" s="129" t="s">
        <v>54</v>
      </c>
      <c r="H443" s="139">
        <v>0</v>
      </c>
      <c r="I443" s="139">
        <v>0</v>
      </c>
      <c r="J443" s="125">
        <v>0</v>
      </c>
      <c r="K443" s="125">
        <v>0</v>
      </c>
      <c r="L443" s="130">
        <v>0</v>
      </c>
      <c r="M443" s="123">
        <v>0</v>
      </c>
      <c r="N443" s="130">
        <v>0</v>
      </c>
      <c r="O443" s="130">
        <v>0</v>
      </c>
      <c r="P443" s="123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125">
        <v>0</v>
      </c>
      <c r="Y443" s="125" t="s">
        <v>574</v>
      </c>
      <c r="Z443" s="125"/>
      <c r="AA443" s="112">
        <v>0</v>
      </c>
      <c r="AB443" s="112">
        <v>0</v>
      </c>
      <c r="AC443" s="8"/>
      <c r="AD443" s="109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  <c r="AR443" s="66"/>
      <c r="AS443" s="66"/>
      <c r="AT443" s="66"/>
      <c r="AU443" s="66"/>
      <c r="AV443" s="66"/>
      <c r="AW443" s="66"/>
      <c r="AX443" s="66"/>
      <c r="AY443" s="66"/>
      <c r="AZ443" s="66"/>
      <c r="BA443" s="66"/>
      <c r="BB443" s="66"/>
      <c r="BC443" s="66"/>
      <c r="BD443" s="66"/>
      <c r="BE443" s="66"/>
      <c r="BF443" s="66"/>
      <c r="BG443" s="66"/>
      <c r="BH443" s="66"/>
      <c r="BI443" s="188" t="s">
        <v>1</v>
      </c>
      <c r="BJ443" s="204"/>
    </row>
    <row r="444" spans="2:62" x14ac:dyDescent="0.35">
      <c r="B444" s="126" t="s">
        <v>21</v>
      </c>
      <c r="C444" s="5" t="s">
        <v>5</v>
      </c>
      <c r="D444" s="5" t="s">
        <v>308</v>
      </c>
      <c r="E444" s="5" t="s">
        <v>372</v>
      </c>
      <c r="F444" s="128">
        <v>1037571</v>
      </c>
      <c r="G444" s="129" t="s">
        <v>32</v>
      </c>
      <c r="H444" s="139">
        <v>0</v>
      </c>
      <c r="I444" s="139">
        <v>0</v>
      </c>
      <c r="J444" s="125">
        <v>0</v>
      </c>
      <c r="K444" s="125">
        <v>0</v>
      </c>
      <c r="L444" s="130">
        <v>0</v>
      </c>
      <c r="M444" s="123">
        <v>0</v>
      </c>
      <c r="N444" s="130">
        <v>0</v>
      </c>
      <c r="O444" s="130">
        <v>0</v>
      </c>
      <c r="P444" s="123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125">
        <v>0</v>
      </c>
      <c r="Y444" s="125" t="s">
        <v>574</v>
      </c>
      <c r="Z444" s="125"/>
      <c r="AA444" s="112">
        <v>0</v>
      </c>
      <c r="AB444" s="112">
        <v>0</v>
      </c>
      <c r="AC444" s="8"/>
      <c r="AD444" s="109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  <c r="AR444" s="66"/>
      <c r="AS444" s="66"/>
      <c r="AT444" s="66"/>
      <c r="AU444" s="66"/>
      <c r="AV444" s="66"/>
      <c r="AW444" s="66"/>
      <c r="AX444" s="66"/>
      <c r="AY444" s="66"/>
      <c r="AZ444" s="66"/>
      <c r="BA444" s="66"/>
      <c r="BB444" s="66"/>
      <c r="BC444" s="66"/>
      <c r="BD444" s="66"/>
      <c r="BE444" s="66"/>
      <c r="BF444" s="66"/>
      <c r="BG444" s="66"/>
      <c r="BH444" s="66"/>
      <c r="BI444" s="188" t="s">
        <v>1</v>
      </c>
      <c r="BJ444" s="204"/>
    </row>
    <row r="445" spans="2:62" x14ac:dyDescent="0.35">
      <c r="B445" s="126" t="s">
        <v>9</v>
      </c>
      <c r="C445" s="5" t="s">
        <v>5</v>
      </c>
      <c r="D445" s="5" t="s">
        <v>308</v>
      </c>
      <c r="E445" s="5" t="s">
        <v>397</v>
      </c>
      <c r="F445" s="128">
        <v>1047582</v>
      </c>
      <c r="G445" s="129" t="s">
        <v>23</v>
      </c>
      <c r="H445" s="139">
        <v>0</v>
      </c>
      <c r="I445" s="139">
        <v>0</v>
      </c>
      <c r="J445" s="125">
        <v>0</v>
      </c>
      <c r="K445" s="125">
        <v>0</v>
      </c>
      <c r="L445" s="130">
        <v>0</v>
      </c>
      <c r="M445" s="123">
        <v>0</v>
      </c>
      <c r="N445" s="130">
        <v>0</v>
      </c>
      <c r="O445" s="130">
        <v>0</v>
      </c>
      <c r="P445" s="123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125">
        <v>0</v>
      </c>
      <c r="Y445" s="125" t="s">
        <v>574</v>
      </c>
      <c r="Z445" s="125"/>
      <c r="AA445" s="112">
        <v>0</v>
      </c>
      <c r="AB445" s="112">
        <v>0</v>
      </c>
      <c r="AC445" s="8"/>
      <c r="AD445" s="109"/>
      <c r="AE445" s="66">
        <v>0.12367886890179884</v>
      </c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  <c r="AP445" s="66"/>
      <c r="AQ445" s="66"/>
      <c r="AR445" s="66"/>
      <c r="AS445" s="66"/>
      <c r="AT445" s="66"/>
      <c r="AU445" s="66"/>
      <c r="AV445" s="66"/>
      <c r="AW445" s="66"/>
      <c r="AX445" s="66"/>
      <c r="AY445" s="66"/>
      <c r="AZ445" s="66"/>
      <c r="BA445" s="66"/>
      <c r="BB445" s="66"/>
      <c r="BC445" s="66"/>
      <c r="BD445" s="66"/>
      <c r="BE445" s="66"/>
      <c r="BF445" s="66"/>
      <c r="BG445" s="66"/>
      <c r="BH445" s="66"/>
      <c r="BI445" s="188" t="s">
        <v>1</v>
      </c>
      <c r="BJ445" s="204"/>
    </row>
    <row r="446" spans="2:62" x14ac:dyDescent="0.35">
      <c r="B446" s="126" t="s">
        <v>15</v>
      </c>
      <c r="C446" s="5" t="s">
        <v>5</v>
      </c>
      <c r="D446" s="5" t="s">
        <v>308</v>
      </c>
      <c r="E446" s="5" t="s">
        <v>315</v>
      </c>
      <c r="F446" s="128">
        <v>1059113</v>
      </c>
      <c r="G446" s="129" t="s">
        <v>243</v>
      </c>
      <c r="H446" s="139">
        <v>0</v>
      </c>
      <c r="I446" s="139">
        <v>0</v>
      </c>
      <c r="J446" s="125">
        <v>0</v>
      </c>
      <c r="K446" s="125">
        <v>0</v>
      </c>
      <c r="L446" s="130">
        <v>0</v>
      </c>
      <c r="M446" s="123">
        <v>0</v>
      </c>
      <c r="N446" s="130">
        <v>0</v>
      </c>
      <c r="O446" s="130">
        <v>0</v>
      </c>
      <c r="P446" s="123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125">
        <v>0</v>
      </c>
      <c r="Y446" s="125" t="s">
        <v>574</v>
      </c>
      <c r="Z446" s="125"/>
      <c r="AA446" s="112">
        <v>0</v>
      </c>
      <c r="AB446" s="112">
        <v>0</v>
      </c>
      <c r="AC446" s="8"/>
      <c r="AD446" s="109"/>
      <c r="AE446" s="66">
        <v>7.5713347910332827</v>
      </c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  <c r="AP446" s="66"/>
      <c r="AQ446" s="66"/>
      <c r="AR446" s="66"/>
      <c r="AS446" s="66"/>
      <c r="AT446" s="66"/>
      <c r="AU446" s="66"/>
      <c r="AV446" s="66"/>
      <c r="AW446" s="66"/>
      <c r="AX446" s="66"/>
      <c r="AY446" s="66"/>
      <c r="AZ446" s="66"/>
      <c r="BA446" s="66"/>
      <c r="BB446" s="66"/>
      <c r="BC446" s="66"/>
      <c r="BD446" s="66"/>
      <c r="BE446" s="66"/>
      <c r="BF446" s="66"/>
      <c r="BG446" s="66"/>
      <c r="BH446" s="66"/>
      <c r="BI446" s="188" t="s">
        <v>1</v>
      </c>
      <c r="BJ446" s="204"/>
    </row>
    <row r="447" spans="2:62" x14ac:dyDescent="0.35">
      <c r="B447" s="126" t="s">
        <v>15</v>
      </c>
      <c r="C447" s="5" t="s">
        <v>5</v>
      </c>
      <c r="D447" s="5" t="s">
        <v>308</v>
      </c>
      <c r="E447" s="5" t="s">
        <v>315</v>
      </c>
      <c r="F447" s="128">
        <v>1059112</v>
      </c>
      <c r="G447" s="129" t="s">
        <v>236</v>
      </c>
      <c r="H447" s="139">
        <v>0</v>
      </c>
      <c r="I447" s="139">
        <v>0</v>
      </c>
      <c r="J447" s="125">
        <v>0</v>
      </c>
      <c r="K447" s="125">
        <v>0</v>
      </c>
      <c r="L447" s="130">
        <v>0</v>
      </c>
      <c r="M447" s="123">
        <v>0</v>
      </c>
      <c r="N447" s="130">
        <v>0</v>
      </c>
      <c r="O447" s="130">
        <v>0</v>
      </c>
      <c r="P447" s="123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125">
        <v>0</v>
      </c>
      <c r="Y447" s="125" t="s">
        <v>574</v>
      </c>
      <c r="Z447" s="125"/>
      <c r="AA447" s="112">
        <v>0</v>
      </c>
      <c r="AB447" s="112">
        <v>0</v>
      </c>
      <c r="AC447" s="8"/>
      <c r="AD447" s="109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  <c r="AO447" s="66"/>
      <c r="AP447" s="66"/>
      <c r="AQ447" s="66"/>
      <c r="AR447" s="66"/>
      <c r="AS447" s="66"/>
      <c r="AT447" s="66"/>
      <c r="AU447" s="66"/>
      <c r="AV447" s="66"/>
      <c r="AW447" s="66"/>
      <c r="AX447" s="66"/>
      <c r="AY447" s="66"/>
      <c r="AZ447" s="66"/>
      <c r="BA447" s="66"/>
      <c r="BB447" s="66"/>
      <c r="BC447" s="66"/>
      <c r="BD447" s="66"/>
      <c r="BE447" s="66"/>
      <c r="BF447" s="66"/>
      <c r="BG447" s="66"/>
      <c r="BH447" s="66"/>
      <c r="BI447" s="188" t="s">
        <v>1</v>
      </c>
      <c r="BJ447" s="204"/>
    </row>
    <row r="448" spans="2:62" x14ac:dyDescent="0.35">
      <c r="B448" s="126" t="s">
        <v>9</v>
      </c>
      <c r="C448" s="5" t="s">
        <v>5</v>
      </c>
      <c r="D448" s="5" t="s">
        <v>308</v>
      </c>
      <c r="E448" s="5" t="s">
        <v>315</v>
      </c>
      <c r="F448" s="128">
        <v>1058351</v>
      </c>
      <c r="G448" s="129" t="s">
        <v>227</v>
      </c>
      <c r="H448" s="139">
        <v>0</v>
      </c>
      <c r="I448" s="139">
        <v>0</v>
      </c>
      <c r="J448" s="125">
        <v>0</v>
      </c>
      <c r="K448" s="125">
        <v>0</v>
      </c>
      <c r="L448" s="130">
        <v>0</v>
      </c>
      <c r="M448" s="123">
        <v>0</v>
      </c>
      <c r="N448" s="130">
        <v>0</v>
      </c>
      <c r="O448" s="130">
        <v>0</v>
      </c>
      <c r="P448" s="123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125">
        <v>0</v>
      </c>
      <c r="Y448" s="125" t="s">
        <v>574</v>
      </c>
      <c r="Z448" s="125"/>
      <c r="AA448" s="112">
        <v>0</v>
      </c>
      <c r="AB448" s="112">
        <v>0</v>
      </c>
      <c r="AC448" s="8"/>
      <c r="AD448" s="109"/>
      <c r="AE448" s="66">
        <v>370.45</v>
      </c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  <c r="AP448" s="66"/>
      <c r="AQ448" s="66"/>
      <c r="AR448" s="66"/>
      <c r="AS448" s="66"/>
      <c r="AT448" s="66"/>
      <c r="AU448" s="66"/>
      <c r="AV448" s="66"/>
      <c r="AW448" s="66"/>
      <c r="AX448" s="66"/>
      <c r="AY448" s="66"/>
      <c r="AZ448" s="66"/>
      <c r="BA448" s="66"/>
      <c r="BB448" s="66"/>
      <c r="BC448" s="66"/>
      <c r="BD448" s="66"/>
      <c r="BE448" s="66"/>
      <c r="BF448" s="66"/>
      <c r="BG448" s="66"/>
      <c r="BH448" s="66"/>
      <c r="BI448" s="188" t="s">
        <v>1</v>
      </c>
      <c r="BJ448" s="204"/>
    </row>
    <row r="449" spans="2:62" x14ac:dyDescent="0.35">
      <c r="B449" s="126" t="s">
        <v>15</v>
      </c>
      <c r="C449" s="5" t="s">
        <v>5</v>
      </c>
      <c r="D449" s="5" t="s">
        <v>308</v>
      </c>
      <c r="E449" s="5" t="s">
        <v>315</v>
      </c>
      <c r="F449" s="128">
        <v>1075360</v>
      </c>
      <c r="G449" s="129" t="s">
        <v>763</v>
      </c>
      <c r="H449" s="139">
        <v>0</v>
      </c>
      <c r="I449" s="139">
        <v>0</v>
      </c>
      <c r="J449" s="125">
        <v>0</v>
      </c>
      <c r="K449" s="125">
        <v>0</v>
      </c>
      <c r="L449" s="130">
        <v>0</v>
      </c>
      <c r="M449" s="123">
        <v>0</v>
      </c>
      <c r="N449" s="130">
        <v>0</v>
      </c>
      <c r="O449" s="130">
        <v>0</v>
      </c>
      <c r="P449" s="123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125">
        <v>0</v>
      </c>
      <c r="Y449" s="125" t="s">
        <v>574</v>
      </c>
      <c r="Z449" s="125"/>
      <c r="AA449" s="112">
        <v>0</v>
      </c>
      <c r="AB449" s="112">
        <v>0</v>
      </c>
      <c r="AC449" s="8"/>
      <c r="AD449" s="109"/>
      <c r="AE449" s="66">
        <v>31.498911959379814</v>
      </c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  <c r="AP449" s="66"/>
      <c r="AQ449" s="66"/>
      <c r="AR449" s="66"/>
      <c r="AS449" s="66"/>
      <c r="AT449" s="66"/>
      <c r="AU449" s="66"/>
      <c r="AV449" s="66"/>
      <c r="AW449" s="66"/>
      <c r="AX449" s="66"/>
      <c r="AY449" s="66"/>
      <c r="AZ449" s="66"/>
      <c r="BA449" s="66"/>
      <c r="BB449" s="66"/>
      <c r="BC449" s="66"/>
      <c r="BD449" s="66"/>
      <c r="BE449" s="66"/>
      <c r="BF449" s="66"/>
      <c r="BG449" s="66"/>
      <c r="BH449" s="66"/>
      <c r="BI449" s="188" t="s">
        <v>1</v>
      </c>
      <c r="BJ449" s="204"/>
    </row>
    <row r="450" spans="2:62" x14ac:dyDescent="0.35">
      <c r="B450" s="126" t="s">
        <v>9</v>
      </c>
      <c r="C450" s="5" t="s">
        <v>5</v>
      </c>
      <c r="D450" s="5" t="s">
        <v>308</v>
      </c>
      <c r="E450" s="5" t="s">
        <v>315</v>
      </c>
      <c r="F450" s="128">
        <v>1069925</v>
      </c>
      <c r="G450" s="129" t="s">
        <v>575</v>
      </c>
      <c r="H450" s="139">
        <v>0</v>
      </c>
      <c r="I450" s="139">
        <v>0</v>
      </c>
      <c r="J450" s="125">
        <v>0</v>
      </c>
      <c r="K450" s="125">
        <v>0</v>
      </c>
      <c r="L450" s="130">
        <v>0</v>
      </c>
      <c r="M450" s="123">
        <v>0</v>
      </c>
      <c r="N450" s="130">
        <v>0</v>
      </c>
      <c r="O450" s="130">
        <v>0</v>
      </c>
      <c r="P450" s="123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125">
        <v>0</v>
      </c>
      <c r="Y450" s="125" t="s">
        <v>574</v>
      </c>
      <c r="Z450" s="125"/>
      <c r="AA450" s="112">
        <v>0</v>
      </c>
      <c r="AB450" s="112">
        <v>0</v>
      </c>
      <c r="AC450" s="8"/>
      <c r="AD450" s="109"/>
      <c r="AE450" s="66" t="s">
        <v>574</v>
      </c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  <c r="AR450" s="66"/>
      <c r="AS450" s="66"/>
      <c r="AT450" s="66"/>
      <c r="AU450" s="66"/>
      <c r="AV450" s="66"/>
      <c r="AW450" s="66"/>
      <c r="AX450" s="66"/>
      <c r="AY450" s="66"/>
      <c r="AZ450" s="66"/>
      <c r="BA450" s="66"/>
      <c r="BB450" s="66"/>
      <c r="BC450" s="66"/>
      <c r="BD450" s="66"/>
      <c r="BE450" s="66"/>
      <c r="BF450" s="66"/>
      <c r="BG450" s="66"/>
      <c r="BH450" s="66"/>
      <c r="BI450" s="189" t="s">
        <v>1</v>
      </c>
      <c r="BJ450" s="204"/>
    </row>
    <row r="451" spans="2:62" ht="14.5" x14ac:dyDescent="0.35">
      <c r="B451" s="126" t="s">
        <v>15</v>
      </c>
      <c r="C451" s="5" t="s">
        <v>5</v>
      </c>
      <c r="D451" s="5" t="s">
        <v>308</v>
      </c>
      <c r="E451" s="5" t="s">
        <v>315</v>
      </c>
      <c r="F451" s="164">
        <v>1083117</v>
      </c>
      <c r="G451" s="165" t="s">
        <v>779</v>
      </c>
      <c r="H451" s="139">
        <v>0</v>
      </c>
      <c r="I451" s="139">
        <v>0</v>
      </c>
      <c r="J451" s="125">
        <v>0</v>
      </c>
      <c r="K451" s="125">
        <v>0</v>
      </c>
      <c r="L451" s="130">
        <v>0</v>
      </c>
      <c r="M451" s="123">
        <v>0</v>
      </c>
      <c r="N451" s="130">
        <v>0</v>
      </c>
      <c r="O451" s="130">
        <v>0</v>
      </c>
      <c r="P451" s="123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125">
        <v>0</v>
      </c>
      <c r="Y451" s="125" t="s">
        <v>574</v>
      </c>
      <c r="Z451" s="125"/>
      <c r="AA451" s="112">
        <v>0</v>
      </c>
      <c r="AB451" s="112">
        <v>0</v>
      </c>
      <c r="AC451" s="8"/>
      <c r="AD451" s="109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  <c r="AR451" s="66"/>
      <c r="AS451" s="66"/>
      <c r="AT451" s="66"/>
      <c r="AU451" s="66"/>
      <c r="AV451" s="66"/>
      <c r="AW451" s="66"/>
      <c r="AX451" s="66"/>
      <c r="AY451" s="66"/>
      <c r="AZ451" s="66"/>
      <c r="BA451" s="66"/>
      <c r="BB451" s="66"/>
      <c r="BC451" s="66"/>
      <c r="BD451" s="66"/>
      <c r="BE451" s="66"/>
      <c r="BF451" s="66"/>
      <c r="BG451" s="66"/>
      <c r="BH451" s="66"/>
      <c r="BI451" s="189" t="s">
        <v>1</v>
      </c>
      <c r="BJ451" s="204"/>
    </row>
    <row r="452" spans="2:62" x14ac:dyDescent="0.35">
      <c r="B452" s="126" t="s">
        <v>9</v>
      </c>
      <c r="C452" s="5" t="s">
        <v>5</v>
      </c>
      <c r="D452" s="5" t="s">
        <v>308</v>
      </c>
      <c r="E452" s="5" t="s">
        <v>315</v>
      </c>
      <c r="F452" s="132">
        <v>1081126</v>
      </c>
      <c r="G452" s="133" t="s">
        <v>748</v>
      </c>
      <c r="H452" s="139">
        <v>0</v>
      </c>
      <c r="I452" s="139">
        <v>0</v>
      </c>
      <c r="J452" s="125">
        <v>0</v>
      </c>
      <c r="K452" s="125">
        <v>31</v>
      </c>
      <c r="L452" s="130">
        <v>6.944</v>
      </c>
      <c r="M452" s="123">
        <v>0</v>
      </c>
      <c r="N452" s="130">
        <v>6.944</v>
      </c>
      <c r="O452" s="130">
        <v>0</v>
      </c>
      <c r="P452" s="123">
        <v>0</v>
      </c>
      <c r="Q452" s="5">
        <v>708</v>
      </c>
      <c r="R452" s="5">
        <v>0</v>
      </c>
      <c r="S452" s="5">
        <v>708</v>
      </c>
      <c r="T452" s="5">
        <v>0</v>
      </c>
      <c r="U452" s="5">
        <v>0</v>
      </c>
      <c r="V452" s="5">
        <v>0</v>
      </c>
      <c r="W452" s="5">
        <v>0</v>
      </c>
      <c r="X452" s="125">
        <v>0</v>
      </c>
      <c r="Y452" s="125" t="s">
        <v>574</v>
      </c>
      <c r="Z452" s="125"/>
      <c r="AA452" s="112">
        <v>0</v>
      </c>
      <c r="AB452" s="112">
        <v>3136.44</v>
      </c>
      <c r="AC452" s="8"/>
      <c r="AD452" s="109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  <c r="AR452" s="66"/>
      <c r="AS452" s="66"/>
      <c r="AT452" s="66"/>
      <c r="AU452" s="66"/>
      <c r="AV452" s="66"/>
      <c r="AW452" s="66"/>
      <c r="AX452" s="66"/>
      <c r="AY452" s="66"/>
      <c r="AZ452" s="66"/>
      <c r="BA452" s="66"/>
      <c r="BB452" s="66"/>
      <c r="BC452" s="66"/>
      <c r="BD452" s="66"/>
      <c r="BE452" s="66"/>
      <c r="BF452" s="66"/>
      <c r="BG452" s="66"/>
      <c r="BH452" s="66"/>
      <c r="BI452" s="188" t="s">
        <v>1</v>
      </c>
      <c r="BJ452" s="204"/>
    </row>
    <row r="453" spans="2:62" x14ac:dyDescent="0.35">
      <c r="B453" s="126" t="s">
        <v>9</v>
      </c>
      <c r="C453" s="5" t="s">
        <v>5</v>
      </c>
      <c r="D453" s="5" t="s">
        <v>308</v>
      </c>
      <c r="E453" s="5" t="s">
        <v>315</v>
      </c>
      <c r="F453" s="128">
        <v>1073437</v>
      </c>
      <c r="G453" s="129" t="s">
        <v>620</v>
      </c>
      <c r="H453" s="139">
        <v>0</v>
      </c>
      <c r="I453" s="139">
        <v>0</v>
      </c>
      <c r="J453" s="125">
        <v>0</v>
      </c>
      <c r="K453" s="125">
        <v>0</v>
      </c>
      <c r="L453" s="130">
        <v>0</v>
      </c>
      <c r="M453" s="123">
        <v>0</v>
      </c>
      <c r="N453" s="130">
        <v>0</v>
      </c>
      <c r="O453" s="130">
        <v>0</v>
      </c>
      <c r="P453" s="123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125">
        <v>0</v>
      </c>
      <c r="Y453" s="125" t="s">
        <v>574</v>
      </c>
      <c r="Z453" s="125"/>
      <c r="AA453" s="112">
        <v>0</v>
      </c>
      <c r="AB453" s="112">
        <v>0</v>
      </c>
      <c r="AC453" s="8"/>
      <c r="AD453" s="109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  <c r="AP453" s="66"/>
      <c r="AQ453" s="66"/>
      <c r="AR453" s="66"/>
      <c r="AS453" s="66"/>
      <c r="AT453" s="66"/>
      <c r="AU453" s="66"/>
      <c r="AV453" s="66"/>
      <c r="AW453" s="66"/>
      <c r="AX453" s="66"/>
      <c r="AY453" s="66"/>
      <c r="AZ453" s="66"/>
      <c r="BA453" s="66"/>
      <c r="BB453" s="66"/>
      <c r="BC453" s="66"/>
      <c r="BD453" s="66"/>
      <c r="BE453" s="66"/>
      <c r="BF453" s="66"/>
      <c r="BG453" s="66"/>
      <c r="BH453" s="66"/>
      <c r="BI453" s="188" t="s">
        <v>1</v>
      </c>
      <c r="BJ453" s="204"/>
    </row>
    <row r="454" spans="2:62" x14ac:dyDescent="0.35">
      <c r="B454" s="126" t="s">
        <v>9</v>
      </c>
      <c r="C454" s="5" t="s">
        <v>5</v>
      </c>
      <c r="D454" s="5" t="s">
        <v>308</v>
      </c>
      <c r="E454" s="5" t="s">
        <v>315</v>
      </c>
      <c r="F454" s="128">
        <v>1068118</v>
      </c>
      <c r="G454" s="129" t="s">
        <v>552</v>
      </c>
      <c r="H454" s="139">
        <v>0</v>
      </c>
      <c r="I454" s="139">
        <v>0</v>
      </c>
      <c r="J454" s="125">
        <v>0</v>
      </c>
      <c r="K454" s="125">
        <v>0</v>
      </c>
      <c r="L454" s="130">
        <v>0</v>
      </c>
      <c r="M454" s="123">
        <v>0</v>
      </c>
      <c r="N454" s="130">
        <v>0</v>
      </c>
      <c r="O454" s="130">
        <v>0</v>
      </c>
      <c r="P454" s="123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125">
        <v>0</v>
      </c>
      <c r="Y454" s="125" t="s">
        <v>574</v>
      </c>
      <c r="Z454" s="125"/>
      <c r="AA454" s="112">
        <v>0</v>
      </c>
      <c r="AB454" s="112">
        <v>0</v>
      </c>
      <c r="AC454" s="8"/>
      <c r="AD454" s="109"/>
      <c r="AE454" s="66" t="s">
        <v>574</v>
      </c>
      <c r="AF454" s="66"/>
      <c r="AG454" s="66"/>
      <c r="AH454" s="66"/>
      <c r="AI454" s="66"/>
      <c r="AJ454" s="66"/>
      <c r="AK454" s="66"/>
      <c r="AL454" s="66"/>
      <c r="AM454" s="66"/>
      <c r="AN454" s="66"/>
      <c r="AO454" s="66"/>
      <c r="AP454" s="66"/>
      <c r="AQ454" s="66"/>
      <c r="AR454" s="66"/>
      <c r="AS454" s="66"/>
      <c r="AT454" s="66"/>
      <c r="AU454" s="66"/>
      <c r="AV454" s="66"/>
      <c r="AW454" s="66"/>
      <c r="AX454" s="66"/>
      <c r="AY454" s="66"/>
      <c r="AZ454" s="66"/>
      <c r="BA454" s="66"/>
      <c r="BB454" s="66"/>
      <c r="BC454" s="66"/>
      <c r="BD454" s="66"/>
      <c r="BE454" s="66"/>
      <c r="BF454" s="66"/>
      <c r="BG454" s="66"/>
      <c r="BH454" s="66"/>
      <c r="BI454" s="189" t="s">
        <v>1</v>
      </c>
      <c r="BJ454" s="204"/>
    </row>
    <row r="455" spans="2:62" x14ac:dyDescent="0.35">
      <c r="B455" s="126" t="s">
        <v>9</v>
      </c>
      <c r="C455" s="5" t="s">
        <v>5</v>
      </c>
      <c r="D455" s="5" t="s">
        <v>308</v>
      </c>
      <c r="E455" s="5" t="s">
        <v>315</v>
      </c>
      <c r="F455" s="128">
        <v>1056692</v>
      </c>
      <c r="G455" s="129" t="s">
        <v>225</v>
      </c>
      <c r="H455" s="139">
        <v>0</v>
      </c>
      <c r="I455" s="139">
        <v>0</v>
      </c>
      <c r="J455" s="125">
        <v>0</v>
      </c>
      <c r="K455" s="125">
        <v>0</v>
      </c>
      <c r="L455" s="130">
        <v>0</v>
      </c>
      <c r="M455" s="123">
        <v>0</v>
      </c>
      <c r="N455" s="130">
        <v>0</v>
      </c>
      <c r="O455" s="130">
        <v>0</v>
      </c>
      <c r="P455" s="123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125">
        <v>0</v>
      </c>
      <c r="Y455" s="125" t="s">
        <v>574</v>
      </c>
      <c r="Z455" s="125"/>
      <c r="AA455" s="112">
        <v>0</v>
      </c>
      <c r="AB455" s="112">
        <v>0</v>
      </c>
      <c r="AC455" s="8"/>
      <c r="AD455" s="109"/>
      <c r="AE455" s="66">
        <v>42.148264984227126</v>
      </c>
      <c r="AF455" s="66"/>
      <c r="AG455" s="66"/>
      <c r="AH455" s="66"/>
      <c r="AI455" s="66"/>
      <c r="AJ455" s="66"/>
      <c r="AK455" s="66"/>
      <c r="AL455" s="66"/>
      <c r="AM455" s="66"/>
      <c r="AN455" s="66"/>
      <c r="AO455" s="66"/>
      <c r="AP455" s="66"/>
      <c r="AQ455" s="66"/>
      <c r="AR455" s="66"/>
      <c r="AS455" s="66"/>
      <c r="AT455" s="66"/>
      <c r="AU455" s="66"/>
      <c r="AV455" s="66"/>
      <c r="AW455" s="66"/>
      <c r="AX455" s="66"/>
      <c r="AY455" s="66"/>
      <c r="AZ455" s="66"/>
      <c r="BA455" s="66"/>
      <c r="BB455" s="66"/>
      <c r="BC455" s="66"/>
      <c r="BD455" s="66"/>
      <c r="BE455" s="66"/>
      <c r="BF455" s="66"/>
      <c r="BG455" s="66"/>
      <c r="BH455" s="66"/>
      <c r="BI455" s="189" t="s">
        <v>1</v>
      </c>
      <c r="BJ455" s="204"/>
    </row>
    <row r="456" spans="2:62" x14ac:dyDescent="0.35">
      <c r="B456" s="126" t="s">
        <v>4</v>
      </c>
      <c r="C456" s="5" t="s">
        <v>5</v>
      </c>
      <c r="D456" s="5" t="s">
        <v>308</v>
      </c>
      <c r="E456" s="5" t="s">
        <v>315</v>
      </c>
      <c r="F456" s="128">
        <v>1036334</v>
      </c>
      <c r="G456" s="140" t="s">
        <v>282</v>
      </c>
      <c r="H456" s="139">
        <v>0</v>
      </c>
      <c r="I456" s="139">
        <v>0</v>
      </c>
      <c r="J456" s="125">
        <v>0</v>
      </c>
      <c r="K456" s="125">
        <v>0</v>
      </c>
      <c r="L456" s="130">
        <v>0</v>
      </c>
      <c r="M456" s="123">
        <v>0</v>
      </c>
      <c r="N456" s="130">
        <v>0</v>
      </c>
      <c r="O456" s="130">
        <v>0</v>
      </c>
      <c r="P456" s="123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125">
        <v>0</v>
      </c>
      <c r="Y456" s="125" t="s">
        <v>574</v>
      </c>
      <c r="Z456" s="125"/>
      <c r="AA456" s="112">
        <v>0</v>
      </c>
      <c r="AB456" s="112">
        <v>0</v>
      </c>
      <c r="AC456" s="8"/>
      <c r="AD456" s="109"/>
      <c r="AE456" s="66" t="s">
        <v>574</v>
      </c>
      <c r="AF456" s="66"/>
      <c r="AG456" s="66"/>
      <c r="AH456" s="66"/>
      <c r="AI456" s="66"/>
      <c r="AJ456" s="66"/>
      <c r="AK456" s="66"/>
      <c r="AL456" s="66"/>
      <c r="AM456" s="66"/>
      <c r="AN456" s="66"/>
      <c r="AO456" s="66"/>
      <c r="AP456" s="66"/>
      <c r="AQ456" s="66"/>
      <c r="AR456" s="66"/>
      <c r="AS456" s="66"/>
      <c r="AT456" s="66"/>
      <c r="AU456" s="66"/>
      <c r="AV456" s="66"/>
      <c r="AW456" s="66"/>
      <c r="AX456" s="66"/>
      <c r="AY456" s="66"/>
      <c r="AZ456" s="66"/>
      <c r="BA456" s="66"/>
      <c r="BB456" s="66"/>
      <c r="BC456" s="66"/>
      <c r="BD456" s="66"/>
      <c r="BE456" s="66"/>
      <c r="BF456" s="66"/>
      <c r="BG456" s="66"/>
      <c r="BH456" s="66"/>
      <c r="BI456" s="189" t="s">
        <v>1</v>
      </c>
      <c r="BJ456" s="204"/>
    </row>
    <row r="457" spans="2:62" x14ac:dyDescent="0.35">
      <c r="B457" s="126" t="s">
        <v>9</v>
      </c>
      <c r="C457" s="5" t="s">
        <v>5</v>
      </c>
      <c r="D457" s="5" t="s">
        <v>308</v>
      </c>
      <c r="E457" s="5" t="s">
        <v>315</v>
      </c>
      <c r="F457" s="128">
        <v>1058419</v>
      </c>
      <c r="G457" s="129" t="s">
        <v>228</v>
      </c>
      <c r="H457" s="139">
        <v>0</v>
      </c>
      <c r="I457" s="139">
        <v>0</v>
      </c>
      <c r="J457" s="125">
        <v>0</v>
      </c>
      <c r="K457" s="125">
        <v>0</v>
      </c>
      <c r="L457" s="130">
        <v>0</v>
      </c>
      <c r="M457" s="123">
        <v>0</v>
      </c>
      <c r="N457" s="130">
        <v>0</v>
      </c>
      <c r="O457" s="130">
        <v>0</v>
      </c>
      <c r="P457" s="123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125">
        <v>0</v>
      </c>
      <c r="Y457" s="125" t="s">
        <v>574</v>
      </c>
      <c r="Z457" s="125"/>
      <c r="AA457" s="112">
        <v>0</v>
      </c>
      <c r="AB457" s="112">
        <v>0</v>
      </c>
      <c r="AC457" s="8"/>
      <c r="AD457" s="109"/>
      <c r="AE457" s="66">
        <v>33.082607613834291</v>
      </c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  <c r="AP457" s="66"/>
      <c r="AQ457" s="66"/>
      <c r="AR457" s="66"/>
      <c r="AS457" s="66"/>
      <c r="AT457" s="66"/>
      <c r="AU457" s="66"/>
      <c r="AV457" s="66"/>
      <c r="AW457" s="66"/>
      <c r="AX457" s="66"/>
      <c r="AY457" s="66"/>
      <c r="AZ457" s="66"/>
      <c r="BA457" s="66"/>
      <c r="BB457" s="66"/>
      <c r="BC457" s="66"/>
      <c r="BD457" s="66"/>
      <c r="BE457" s="66"/>
      <c r="BF457" s="66"/>
      <c r="BG457" s="66"/>
      <c r="BH457" s="66"/>
      <c r="BI457" s="188" t="s">
        <v>1</v>
      </c>
      <c r="BJ457" s="204"/>
    </row>
    <row r="458" spans="2:62" x14ac:dyDescent="0.35">
      <c r="B458" s="126" t="s">
        <v>15</v>
      </c>
      <c r="C458" s="5" t="s">
        <v>5</v>
      </c>
      <c r="D458" s="5" t="s">
        <v>308</v>
      </c>
      <c r="E458" s="5" t="s">
        <v>315</v>
      </c>
      <c r="F458" s="132">
        <v>1077986</v>
      </c>
      <c r="G458" s="133" t="s">
        <v>675</v>
      </c>
      <c r="H458" s="139">
        <v>0</v>
      </c>
      <c r="I458" s="139">
        <v>0</v>
      </c>
      <c r="J458" s="125">
        <v>0</v>
      </c>
      <c r="K458" s="125">
        <v>0</v>
      </c>
      <c r="L458" s="130">
        <v>0</v>
      </c>
      <c r="M458" s="123">
        <v>0</v>
      </c>
      <c r="N458" s="130">
        <v>0</v>
      </c>
      <c r="O458" s="130">
        <v>0</v>
      </c>
      <c r="P458" s="123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125">
        <v>0</v>
      </c>
      <c r="Y458" s="125" t="s">
        <v>574</v>
      </c>
      <c r="Z458" s="125"/>
      <c r="AA458" s="112">
        <v>0</v>
      </c>
      <c r="AB458" s="112">
        <v>0</v>
      </c>
      <c r="AC458" s="8"/>
      <c r="AD458" s="109"/>
      <c r="AE458" s="66" t="s">
        <v>574</v>
      </c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  <c r="AP458" s="66"/>
      <c r="AQ458" s="66"/>
      <c r="AR458" s="66"/>
      <c r="AS458" s="66"/>
      <c r="AT458" s="66"/>
      <c r="AU458" s="66"/>
      <c r="AV458" s="66"/>
      <c r="AW458" s="66"/>
      <c r="AX458" s="66"/>
      <c r="AY458" s="66"/>
      <c r="AZ458" s="66"/>
      <c r="BA458" s="66"/>
      <c r="BB458" s="66"/>
      <c r="BC458" s="66"/>
      <c r="BD458" s="66"/>
      <c r="BE458" s="66"/>
      <c r="BF458" s="66"/>
      <c r="BG458" s="66"/>
      <c r="BH458" s="66"/>
      <c r="BI458" s="189" t="s">
        <v>1</v>
      </c>
      <c r="BJ458" s="204"/>
    </row>
    <row r="459" spans="2:62" x14ac:dyDescent="0.35">
      <c r="B459" s="126">
        <v>0</v>
      </c>
      <c r="C459" s="5" t="s">
        <v>5</v>
      </c>
      <c r="D459" s="5" t="s">
        <v>308</v>
      </c>
      <c r="E459" s="5" t="s">
        <v>315</v>
      </c>
      <c r="F459" s="128">
        <v>1077946</v>
      </c>
      <c r="G459" s="129" t="s">
        <v>674</v>
      </c>
      <c r="H459" s="139">
        <v>0</v>
      </c>
      <c r="I459" s="139">
        <v>0</v>
      </c>
      <c r="J459" s="125">
        <v>0</v>
      </c>
      <c r="K459" s="125">
        <v>0</v>
      </c>
      <c r="L459" s="130">
        <v>0</v>
      </c>
      <c r="M459" s="123">
        <v>0</v>
      </c>
      <c r="N459" s="130">
        <v>0</v>
      </c>
      <c r="O459" s="130">
        <v>0</v>
      </c>
      <c r="P459" s="123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125">
        <v>0</v>
      </c>
      <c r="Y459" s="125" t="s">
        <v>574</v>
      </c>
      <c r="Z459" s="125"/>
      <c r="AA459" s="112">
        <v>0</v>
      </c>
      <c r="AB459" s="112">
        <v>0</v>
      </c>
      <c r="AC459" s="8"/>
      <c r="AD459" s="109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  <c r="AO459" s="66"/>
      <c r="AP459" s="66"/>
      <c r="AQ459" s="66"/>
      <c r="AR459" s="66"/>
      <c r="AS459" s="66"/>
      <c r="AT459" s="66"/>
      <c r="AU459" s="66"/>
      <c r="AV459" s="66"/>
      <c r="AW459" s="66"/>
      <c r="AX459" s="66"/>
      <c r="AY459" s="66"/>
      <c r="AZ459" s="66"/>
      <c r="BA459" s="66"/>
      <c r="BB459" s="66"/>
      <c r="BC459" s="66"/>
      <c r="BD459" s="66"/>
      <c r="BE459" s="66"/>
      <c r="BF459" s="66"/>
      <c r="BG459" s="66"/>
      <c r="BH459" s="66"/>
      <c r="BI459" s="189" t="s">
        <v>1</v>
      </c>
      <c r="BJ459" s="204"/>
    </row>
    <row r="460" spans="2:62" x14ac:dyDescent="0.35">
      <c r="B460" s="126" t="s">
        <v>15</v>
      </c>
      <c r="C460" s="5" t="s">
        <v>5</v>
      </c>
      <c r="D460" s="5" t="s">
        <v>308</v>
      </c>
      <c r="E460" s="5" t="s">
        <v>315</v>
      </c>
      <c r="F460" s="128">
        <v>1075564</v>
      </c>
      <c r="G460" s="129" t="s">
        <v>764</v>
      </c>
      <c r="H460" s="139">
        <v>0</v>
      </c>
      <c r="I460" s="139">
        <v>0</v>
      </c>
      <c r="J460" s="125">
        <v>0</v>
      </c>
      <c r="K460" s="125">
        <v>0</v>
      </c>
      <c r="L460" s="130">
        <v>0</v>
      </c>
      <c r="M460" s="123">
        <v>0</v>
      </c>
      <c r="N460" s="130">
        <v>0</v>
      </c>
      <c r="O460" s="130">
        <v>0</v>
      </c>
      <c r="P460" s="123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125">
        <v>0</v>
      </c>
      <c r="Y460" s="125" t="s">
        <v>574</v>
      </c>
      <c r="Z460" s="125"/>
      <c r="AA460" s="112">
        <v>0</v>
      </c>
      <c r="AB460" s="112">
        <v>0</v>
      </c>
      <c r="AC460" s="8"/>
      <c r="AD460" s="109"/>
      <c r="AE460" s="66">
        <v>10.417582417582416</v>
      </c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  <c r="AR460" s="66"/>
      <c r="AS460" s="66"/>
      <c r="AT460" s="66"/>
      <c r="AU460" s="66"/>
      <c r="AV460" s="66"/>
      <c r="AW460" s="66"/>
      <c r="AX460" s="66"/>
      <c r="AY460" s="66"/>
      <c r="AZ460" s="66"/>
      <c r="BA460" s="66"/>
      <c r="BB460" s="66"/>
      <c r="BC460" s="66"/>
      <c r="BD460" s="66"/>
      <c r="BE460" s="66"/>
      <c r="BF460" s="66"/>
      <c r="BG460" s="66"/>
      <c r="BH460" s="66"/>
      <c r="BI460" s="188" t="s">
        <v>1</v>
      </c>
      <c r="BJ460" s="204"/>
    </row>
    <row r="461" spans="2:62" x14ac:dyDescent="0.35">
      <c r="B461" s="126" t="s">
        <v>9</v>
      </c>
      <c r="C461" s="5" t="s">
        <v>5</v>
      </c>
      <c r="D461" s="5" t="s">
        <v>308</v>
      </c>
      <c r="E461" s="5" t="s">
        <v>315</v>
      </c>
      <c r="F461" s="128">
        <v>1058352</v>
      </c>
      <c r="G461" s="129" t="s">
        <v>234</v>
      </c>
      <c r="H461" s="139">
        <v>0</v>
      </c>
      <c r="I461" s="139">
        <v>0</v>
      </c>
      <c r="J461" s="125">
        <v>0</v>
      </c>
      <c r="K461" s="125">
        <v>0</v>
      </c>
      <c r="L461" s="130">
        <v>0</v>
      </c>
      <c r="M461" s="123">
        <v>0</v>
      </c>
      <c r="N461" s="130">
        <v>0</v>
      </c>
      <c r="O461" s="130">
        <v>0</v>
      </c>
      <c r="P461" s="123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125">
        <v>0</v>
      </c>
      <c r="Y461" s="125" t="s">
        <v>574</v>
      </c>
      <c r="Z461" s="125"/>
      <c r="AA461" s="112">
        <v>0</v>
      </c>
      <c r="AB461" s="112">
        <v>0</v>
      </c>
      <c r="AC461" s="8"/>
      <c r="AD461" s="109"/>
      <c r="AE461" s="66">
        <v>44.178397764195616</v>
      </c>
      <c r="AF461" s="66"/>
      <c r="AG461" s="66"/>
      <c r="AH461" s="66"/>
      <c r="AI461" s="66"/>
      <c r="AJ461" s="66"/>
      <c r="AK461" s="66"/>
      <c r="AL461" s="66"/>
      <c r="AM461" s="66"/>
      <c r="AN461" s="66"/>
      <c r="AO461" s="66"/>
      <c r="AP461" s="66"/>
      <c r="AQ461" s="66"/>
      <c r="AR461" s="66"/>
      <c r="AS461" s="66"/>
      <c r="AT461" s="66"/>
      <c r="AU461" s="66"/>
      <c r="AV461" s="66"/>
      <c r="AW461" s="66"/>
      <c r="AX461" s="66"/>
      <c r="AY461" s="66"/>
      <c r="AZ461" s="66"/>
      <c r="BA461" s="66"/>
      <c r="BB461" s="66"/>
      <c r="BC461" s="66"/>
      <c r="BD461" s="66"/>
      <c r="BE461" s="66"/>
      <c r="BF461" s="66"/>
      <c r="BG461" s="66"/>
      <c r="BH461" s="66"/>
      <c r="BI461" s="188" t="s">
        <v>1</v>
      </c>
      <c r="BJ461" s="204"/>
    </row>
    <row r="462" spans="2:62" x14ac:dyDescent="0.35">
      <c r="B462" s="126" t="s">
        <v>9</v>
      </c>
      <c r="C462" s="5" t="s">
        <v>5</v>
      </c>
      <c r="D462" s="5" t="s">
        <v>308</v>
      </c>
      <c r="E462" s="5" t="s">
        <v>315</v>
      </c>
      <c r="F462" s="128">
        <v>1058350</v>
      </c>
      <c r="G462" s="129" t="s">
        <v>230</v>
      </c>
      <c r="H462" s="139">
        <v>0</v>
      </c>
      <c r="I462" s="139">
        <v>0</v>
      </c>
      <c r="J462" s="125">
        <v>0</v>
      </c>
      <c r="K462" s="125">
        <v>-11</v>
      </c>
      <c r="L462" s="130">
        <v>-4.2240000000000002</v>
      </c>
      <c r="M462" s="123">
        <v>0</v>
      </c>
      <c r="N462" s="130">
        <v>4.2240000000000002</v>
      </c>
      <c r="O462" s="130">
        <v>0</v>
      </c>
      <c r="P462" s="123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125">
        <v>0</v>
      </c>
      <c r="Y462" s="125" t="s">
        <v>574</v>
      </c>
      <c r="Z462" s="125"/>
      <c r="AA462" s="112">
        <v>0</v>
      </c>
      <c r="AB462" s="112">
        <v>0</v>
      </c>
      <c r="AC462" s="8"/>
      <c r="AD462" s="109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  <c r="AO462" s="66"/>
      <c r="AP462" s="66"/>
      <c r="AQ462" s="66"/>
      <c r="AR462" s="66"/>
      <c r="AS462" s="66"/>
      <c r="AT462" s="66"/>
      <c r="AU462" s="66"/>
      <c r="AV462" s="66"/>
      <c r="AW462" s="66"/>
      <c r="AX462" s="66"/>
      <c r="AY462" s="66"/>
      <c r="AZ462" s="66"/>
      <c r="BA462" s="66"/>
      <c r="BB462" s="66"/>
      <c r="BC462" s="66"/>
      <c r="BD462" s="66"/>
      <c r="BE462" s="66"/>
      <c r="BF462" s="66"/>
      <c r="BG462" s="66"/>
      <c r="BH462" s="66"/>
      <c r="BI462" s="188"/>
      <c r="BJ462" s="204"/>
    </row>
    <row r="463" spans="2:62" x14ac:dyDescent="0.35">
      <c r="B463" s="126" t="s">
        <v>27</v>
      </c>
      <c r="C463" s="5" t="s">
        <v>5</v>
      </c>
      <c r="D463" s="5" t="s">
        <v>308</v>
      </c>
      <c r="E463" s="5" t="s">
        <v>315</v>
      </c>
      <c r="F463" s="128">
        <v>1074228</v>
      </c>
      <c r="G463" s="129" t="s">
        <v>645</v>
      </c>
      <c r="H463" s="139">
        <v>0</v>
      </c>
      <c r="I463" s="139">
        <v>0</v>
      </c>
      <c r="J463" s="125">
        <v>0</v>
      </c>
      <c r="K463" s="125">
        <v>0</v>
      </c>
      <c r="L463" s="130">
        <v>0</v>
      </c>
      <c r="M463" s="123">
        <v>0</v>
      </c>
      <c r="N463" s="130">
        <v>0</v>
      </c>
      <c r="O463" s="130">
        <v>0</v>
      </c>
      <c r="P463" s="123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125">
        <v>0</v>
      </c>
      <c r="Y463" s="125" t="s">
        <v>574</v>
      </c>
      <c r="Z463" s="125"/>
      <c r="AA463" s="112">
        <v>0</v>
      </c>
      <c r="AB463" s="112">
        <v>0</v>
      </c>
      <c r="AC463" s="8"/>
      <c r="AD463" s="109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  <c r="AO463" s="66"/>
      <c r="AP463" s="66"/>
      <c r="AQ463" s="66"/>
      <c r="AR463" s="66"/>
      <c r="AS463" s="66"/>
      <c r="AT463" s="66"/>
      <c r="AU463" s="66"/>
      <c r="AV463" s="66"/>
      <c r="AW463" s="66"/>
      <c r="AX463" s="66"/>
      <c r="AY463" s="66"/>
      <c r="AZ463" s="66"/>
      <c r="BA463" s="66"/>
      <c r="BB463" s="66"/>
      <c r="BC463" s="66"/>
      <c r="BD463" s="66"/>
      <c r="BE463" s="66"/>
      <c r="BF463" s="66"/>
      <c r="BG463" s="66"/>
      <c r="BH463" s="66"/>
      <c r="BI463" s="188"/>
      <c r="BJ463" s="204"/>
    </row>
    <row r="464" spans="2:62" x14ac:dyDescent="0.35">
      <c r="B464" s="126" t="s">
        <v>27</v>
      </c>
      <c r="C464" s="5" t="s">
        <v>5</v>
      </c>
      <c r="D464" s="5" t="s">
        <v>308</v>
      </c>
      <c r="E464" s="5" t="s">
        <v>315</v>
      </c>
      <c r="F464" s="128">
        <v>1062451</v>
      </c>
      <c r="G464" s="129" t="s">
        <v>442</v>
      </c>
      <c r="H464" s="139">
        <v>0</v>
      </c>
      <c r="I464" s="139">
        <v>0</v>
      </c>
      <c r="J464" s="125">
        <v>0</v>
      </c>
      <c r="K464" s="125">
        <v>0</v>
      </c>
      <c r="L464" s="130">
        <v>0</v>
      </c>
      <c r="M464" s="123">
        <v>0</v>
      </c>
      <c r="N464" s="130">
        <v>0</v>
      </c>
      <c r="O464" s="130">
        <v>0</v>
      </c>
      <c r="P464" s="123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125">
        <v>0</v>
      </c>
      <c r="Y464" s="125" t="s">
        <v>574</v>
      </c>
      <c r="Z464" s="125"/>
      <c r="AA464" s="112">
        <v>0</v>
      </c>
      <c r="AB464" s="112">
        <v>0</v>
      </c>
      <c r="AC464" s="8"/>
      <c r="AD464" s="109"/>
      <c r="AE464" s="66">
        <v>14.91212606837607</v>
      </c>
      <c r="AF464" s="66"/>
      <c r="AG464" s="66"/>
      <c r="AH464" s="66"/>
      <c r="AI464" s="66"/>
      <c r="AJ464" s="66"/>
      <c r="AK464" s="66"/>
      <c r="AL464" s="66"/>
      <c r="AM464" s="66"/>
      <c r="AN464" s="66"/>
      <c r="AO464" s="66"/>
      <c r="AP464" s="66"/>
      <c r="AQ464" s="66"/>
      <c r="AR464" s="66"/>
      <c r="AS464" s="66"/>
      <c r="AT464" s="66"/>
      <c r="AU464" s="66"/>
      <c r="AV464" s="66"/>
      <c r="AW464" s="66"/>
      <c r="AX464" s="66"/>
      <c r="AY464" s="66"/>
      <c r="AZ464" s="66"/>
      <c r="BA464" s="66"/>
      <c r="BB464" s="66"/>
      <c r="BC464" s="66"/>
      <c r="BD464" s="66"/>
      <c r="BE464" s="66"/>
      <c r="BF464" s="66"/>
      <c r="BG464" s="66"/>
      <c r="BH464" s="66"/>
      <c r="BI464" s="188" t="s">
        <v>1</v>
      </c>
      <c r="BJ464" s="204"/>
    </row>
    <row r="465" spans="2:62" x14ac:dyDescent="0.35">
      <c r="B465" s="126">
        <v>0</v>
      </c>
      <c r="C465" s="5" t="s">
        <v>5</v>
      </c>
      <c r="D465" s="5" t="s">
        <v>312</v>
      </c>
      <c r="E465" s="5" t="s">
        <v>307</v>
      </c>
      <c r="F465" s="132">
        <v>1081251</v>
      </c>
      <c r="G465" s="133" t="s">
        <v>746</v>
      </c>
      <c r="H465" s="139">
        <v>0</v>
      </c>
      <c r="I465" s="139">
        <v>0</v>
      </c>
      <c r="J465" s="125">
        <v>0</v>
      </c>
      <c r="K465" s="125">
        <v>89</v>
      </c>
      <c r="L465" s="130">
        <v>10.68</v>
      </c>
      <c r="M465" s="123">
        <v>0</v>
      </c>
      <c r="N465" s="130">
        <v>10.68</v>
      </c>
      <c r="O465" s="130">
        <v>0</v>
      </c>
      <c r="P465" s="123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8662</v>
      </c>
      <c r="X465" s="125">
        <v>0</v>
      </c>
      <c r="Y465" s="125" t="s">
        <v>574</v>
      </c>
      <c r="Z465" s="125"/>
      <c r="AA465" s="112">
        <v>0</v>
      </c>
      <c r="AB465" s="112">
        <v>12906.38</v>
      </c>
      <c r="AC465" s="8"/>
      <c r="AD465" s="109"/>
      <c r="AE465" s="66">
        <v>30.672007255139057</v>
      </c>
      <c r="AF465" s="66"/>
      <c r="AG465" s="66"/>
      <c r="AH465" s="66"/>
      <c r="AI465" s="66"/>
      <c r="AJ465" s="66"/>
      <c r="AK465" s="66"/>
      <c r="AL465" s="66"/>
      <c r="AM465" s="66"/>
      <c r="AN465" s="66"/>
      <c r="AO465" s="66"/>
      <c r="AP465" s="66"/>
      <c r="AQ465" s="66"/>
      <c r="AR465" s="66"/>
      <c r="AS465" s="66"/>
      <c r="AT465" s="66"/>
      <c r="AU465" s="66"/>
      <c r="AV465" s="66"/>
      <c r="AW465" s="66"/>
      <c r="AX465" s="66"/>
      <c r="AY465" s="66"/>
      <c r="AZ465" s="66"/>
      <c r="BA465" s="66"/>
      <c r="BB465" s="66"/>
      <c r="BC465" s="66"/>
      <c r="BD465" s="66"/>
      <c r="BE465" s="66"/>
      <c r="BF465" s="66"/>
      <c r="BG465" s="66"/>
      <c r="BH465" s="66"/>
      <c r="BI465" s="188" t="s">
        <v>1</v>
      </c>
      <c r="BJ465" s="204"/>
    </row>
    <row r="466" spans="2:62" x14ac:dyDescent="0.35">
      <c r="B466" s="126" t="s">
        <v>1</v>
      </c>
      <c r="C466" s="5" t="s">
        <v>17</v>
      </c>
      <c r="D466" s="5" t="s">
        <v>312</v>
      </c>
      <c r="E466" s="5" t="s">
        <v>399</v>
      </c>
      <c r="F466" s="132">
        <v>1078929</v>
      </c>
      <c r="G466" s="133" t="s">
        <v>745</v>
      </c>
      <c r="H466" s="139">
        <v>0</v>
      </c>
      <c r="I466" s="139">
        <v>0</v>
      </c>
      <c r="J466" s="125">
        <v>0</v>
      </c>
      <c r="K466" s="125">
        <v>174</v>
      </c>
      <c r="L466" s="130">
        <v>37.409999999999997</v>
      </c>
      <c r="M466" s="123">
        <v>0</v>
      </c>
      <c r="N466" s="130">
        <v>37.409999999999997</v>
      </c>
      <c r="O466" s="130">
        <v>0</v>
      </c>
      <c r="P466" s="123">
        <v>0</v>
      </c>
      <c r="Q466" s="5">
        <v>7559</v>
      </c>
      <c r="R466" s="5">
        <v>0</v>
      </c>
      <c r="S466" s="5">
        <v>7559</v>
      </c>
      <c r="T466" s="5">
        <v>0</v>
      </c>
      <c r="U466" s="5">
        <v>0</v>
      </c>
      <c r="V466" s="5">
        <v>0</v>
      </c>
      <c r="W466" s="5">
        <v>506</v>
      </c>
      <c r="X466" s="125">
        <v>0</v>
      </c>
      <c r="Y466" s="125" t="s">
        <v>574</v>
      </c>
      <c r="Z466" s="125"/>
      <c r="AA466" s="112">
        <v>0</v>
      </c>
      <c r="AB466" s="112">
        <v>37824.85</v>
      </c>
      <c r="AC466" s="8"/>
      <c r="AD466" s="109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  <c r="AO466" s="66"/>
      <c r="AP466" s="66"/>
      <c r="AQ466" s="66"/>
      <c r="AR466" s="66"/>
      <c r="AS466" s="66"/>
      <c r="AT466" s="66"/>
      <c r="AU466" s="66"/>
      <c r="AV466" s="66"/>
      <c r="AW466" s="66"/>
      <c r="AX466" s="66"/>
      <c r="AY466" s="66"/>
      <c r="AZ466" s="66"/>
      <c r="BA466" s="66"/>
      <c r="BB466" s="66"/>
      <c r="BC466" s="66"/>
      <c r="BD466" s="66"/>
      <c r="BE466" s="66"/>
      <c r="BF466" s="66"/>
      <c r="BG466" s="66"/>
      <c r="BH466" s="66"/>
      <c r="BI466" s="188" t="s">
        <v>1</v>
      </c>
      <c r="BJ466" s="204"/>
    </row>
    <row r="467" spans="2:62" x14ac:dyDescent="0.35">
      <c r="B467" s="126" t="s">
        <v>1</v>
      </c>
      <c r="C467" s="5" t="s">
        <v>17</v>
      </c>
      <c r="D467" s="5" t="s">
        <v>312</v>
      </c>
      <c r="E467" s="5" t="s">
        <v>399</v>
      </c>
      <c r="F467" s="128">
        <v>1072826</v>
      </c>
      <c r="G467" s="129" t="s">
        <v>624</v>
      </c>
      <c r="H467" s="139">
        <v>0</v>
      </c>
      <c r="I467" s="139">
        <v>0</v>
      </c>
      <c r="J467" s="125">
        <v>0</v>
      </c>
      <c r="K467" s="125">
        <v>0</v>
      </c>
      <c r="L467" s="130">
        <v>0</v>
      </c>
      <c r="M467" s="123">
        <v>0</v>
      </c>
      <c r="N467" s="130">
        <v>0</v>
      </c>
      <c r="O467" s="130">
        <v>0</v>
      </c>
      <c r="P467" s="123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125">
        <v>0</v>
      </c>
      <c r="Y467" s="125" t="s">
        <v>574</v>
      </c>
      <c r="Z467" s="125"/>
      <c r="AA467" s="112">
        <v>0</v>
      </c>
      <c r="AB467" s="112">
        <v>0</v>
      </c>
      <c r="AC467" s="8"/>
      <c r="AD467" s="109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  <c r="AO467" s="66"/>
      <c r="AP467" s="66"/>
      <c r="AQ467" s="66"/>
      <c r="AR467" s="66"/>
      <c r="AS467" s="66"/>
      <c r="AT467" s="66"/>
      <c r="AU467" s="66"/>
      <c r="AV467" s="66"/>
      <c r="AW467" s="66"/>
      <c r="AX467" s="66"/>
      <c r="AY467" s="66"/>
      <c r="AZ467" s="66"/>
      <c r="BA467" s="66"/>
      <c r="BB467" s="66"/>
      <c r="BC467" s="66"/>
      <c r="BD467" s="66"/>
      <c r="BE467" s="66"/>
      <c r="BF467" s="66"/>
      <c r="BG467" s="66"/>
      <c r="BH467" s="66"/>
      <c r="BI467" s="188" t="s">
        <v>1</v>
      </c>
      <c r="BJ467" s="204"/>
    </row>
    <row r="468" spans="2:62" x14ac:dyDescent="0.35">
      <c r="B468" s="126">
        <v>0</v>
      </c>
      <c r="C468" s="5" t="s">
        <v>17</v>
      </c>
      <c r="D468" s="5" t="s">
        <v>312</v>
      </c>
      <c r="E468" s="5" t="s">
        <v>399</v>
      </c>
      <c r="F468" s="132">
        <v>1078939</v>
      </c>
      <c r="G468" s="133" t="s">
        <v>733</v>
      </c>
      <c r="H468" s="139">
        <v>0</v>
      </c>
      <c r="I468" s="139">
        <v>0</v>
      </c>
      <c r="J468" s="125">
        <v>0</v>
      </c>
      <c r="K468" s="125">
        <v>11</v>
      </c>
      <c r="L468" s="130">
        <v>2.3649999999999998</v>
      </c>
      <c r="M468" s="123">
        <v>0</v>
      </c>
      <c r="N468" s="130">
        <v>2.3649999999999998</v>
      </c>
      <c r="O468" s="130">
        <v>0</v>
      </c>
      <c r="P468" s="123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125">
        <v>0</v>
      </c>
      <c r="Y468" s="125" t="s">
        <v>574</v>
      </c>
      <c r="Z468" s="125"/>
      <c r="AA468" s="112">
        <v>0</v>
      </c>
      <c r="AB468" s="112">
        <v>0</v>
      </c>
      <c r="AC468" s="8"/>
      <c r="AD468" s="109"/>
      <c r="AE468" s="66">
        <v>41.711007224819383</v>
      </c>
      <c r="AF468" s="66"/>
      <c r="AG468" s="66"/>
      <c r="AH468" s="66"/>
      <c r="AI468" s="66"/>
      <c r="AJ468" s="66"/>
      <c r="AK468" s="66"/>
      <c r="AL468" s="66"/>
      <c r="AM468" s="66"/>
      <c r="AN468" s="66"/>
      <c r="AO468" s="66"/>
      <c r="AP468" s="66"/>
      <c r="AQ468" s="66"/>
      <c r="AR468" s="66"/>
      <c r="AS468" s="66"/>
      <c r="AT468" s="66"/>
      <c r="AU468" s="66"/>
      <c r="AV468" s="66"/>
      <c r="AW468" s="66"/>
      <c r="AX468" s="66"/>
      <c r="AY468" s="66"/>
      <c r="AZ468" s="66"/>
      <c r="BA468" s="66"/>
      <c r="BB468" s="66"/>
      <c r="BC468" s="66"/>
      <c r="BD468" s="66"/>
      <c r="BE468" s="66"/>
      <c r="BF468" s="66"/>
      <c r="BG468" s="66"/>
      <c r="BH468" s="66"/>
      <c r="BI468" s="188" t="s">
        <v>1</v>
      </c>
      <c r="BJ468" s="204"/>
    </row>
    <row r="469" spans="2:62" x14ac:dyDescent="0.35">
      <c r="B469" s="126" t="s">
        <v>1</v>
      </c>
      <c r="C469" s="5" t="s">
        <v>17</v>
      </c>
      <c r="D469" s="5" t="s">
        <v>312</v>
      </c>
      <c r="E469" s="5" t="s">
        <v>398</v>
      </c>
      <c r="F469" s="128">
        <v>1056625</v>
      </c>
      <c r="G469" s="129" t="s">
        <v>213</v>
      </c>
      <c r="H469" s="139">
        <v>0</v>
      </c>
      <c r="I469" s="139">
        <v>0</v>
      </c>
      <c r="J469" s="125">
        <v>0</v>
      </c>
      <c r="K469" s="125">
        <v>0</v>
      </c>
      <c r="L469" s="130">
        <v>0</v>
      </c>
      <c r="M469" s="123">
        <v>0</v>
      </c>
      <c r="N469" s="130">
        <v>0</v>
      </c>
      <c r="O469" s="130">
        <v>0</v>
      </c>
      <c r="P469" s="123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125">
        <v>0</v>
      </c>
      <c r="Y469" s="125" t="s">
        <v>574</v>
      </c>
      <c r="Z469" s="125"/>
      <c r="AA469" s="112">
        <v>0</v>
      </c>
      <c r="AB469" s="112">
        <v>0</v>
      </c>
      <c r="AC469" s="8"/>
      <c r="AD469" s="109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  <c r="AO469" s="66"/>
      <c r="AP469" s="66"/>
      <c r="AQ469" s="66"/>
      <c r="AR469" s="66"/>
      <c r="AS469" s="66"/>
      <c r="AT469" s="66"/>
      <c r="AU469" s="66"/>
      <c r="AV469" s="66"/>
      <c r="AW469" s="66"/>
      <c r="AX469" s="66"/>
      <c r="AY469" s="66"/>
      <c r="AZ469" s="66"/>
      <c r="BA469" s="66"/>
      <c r="BB469" s="66"/>
      <c r="BC469" s="66"/>
      <c r="BD469" s="66"/>
      <c r="BE469" s="66"/>
      <c r="BF469" s="66"/>
      <c r="BG469" s="66"/>
      <c r="BH469" s="66"/>
      <c r="BI469" s="188" t="s">
        <v>1</v>
      </c>
      <c r="BJ469" s="204"/>
    </row>
    <row r="470" spans="2:62" x14ac:dyDescent="0.35">
      <c r="B470" s="126" t="s">
        <v>1</v>
      </c>
      <c r="C470" s="5" t="s">
        <v>11</v>
      </c>
      <c r="D470" s="5" t="s">
        <v>396</v>
      </c>
      <c r="E470" s="5" t="s">
        <v>307</v>
      </c>
      <c r="F470" s="128">
        <v>1051095</v>
      </c>
      <c r="G470" s="129" t="s">
        <v>166</v>
      </c>
      <c r="H470" s="139">
        <v>0</v>
      </c>
      <c r="I470" s="139">
        <v>0</v>
      </c>
      <c r="J470" s="125">
        <v>0</v>
      </c>
      <c r="K470" s="125">
        <v>0</v>
      </c>
      <c r="L470" s="130">
        <v>0</v>
      </c>
      <c r="M470" s="123">
        <v>0</v>
      </c>
      <c r="N470" s="130">
        <v>0</v>
      </c>
      <c r="O470" s="130">
        <v>0</v>
      </c>
      <c r="P470" s="123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125">
        <v>0</v>
      </c>
      <c r="Y470" s="125" t="s">
        <v>574</v>
      </c>
      <c r="Z470" s="125"/>
      <c r="AA470" s="112">
        <v>0</v>
      </c>
      <c r="AB470" s="112">
        <v>0</v>
      </c>
      <c r="AC470" s="8"/>
      <c r="AD470" s="109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  <c r="AP470" s="66"/>
      <c r="AQ470" s="66"/>
      <c r="AR470" s="66"/>
      <c r="AS470" s="66"/>
      <c r="AT470" s="66"/>
      <c r="AU470" s="66"/>
      <c r="AV470" s="66"/>
      <c r="AW470" s="66"/>
      <c r="AX470" s="66"/>
      <c r="AY470" s="66"/>
      <c r="AZ470" s="66"/>
      <c r="BA470" s="66"/>
      <c r="BB470" s="66"/>
      <c r="BC470" s="66"/>
      <c r="BD470" s="66"/>
      <c r="BE470" s="66"/>
      <c r="BF470" s="66"/>
      <c r="BG470" s="66"/>
      <c r="BH470" s="66"/>
      <c r="BI470" s="188"/>
      <c r="BJ470" s="204"/>
    </row>
    <row r="471" spans="2:62" x14ac:dyDescent="0.35">
      <c r="B471" s="126" t="s">
        <v>1</v>
      </c>
      <c r="C471" s="5" t="s">
        <v>11</v>
      </c>
      <c r="D471" s="5" t="s">
        <v>396</v>
      </c>
      <c r="E471" s="5" t="s">
        <v>397</v>
      </c>
      <c r="F471" s="128">
        <v>1042714</v>
      </c>
      <c r="G471" s="129" t="s">
        <v>68</v>
      </c>
      <c r="H471" s="139">
        <v>0</v>
      </c>
      <c r="I471" s="139">
        <v>0</v>
      </c>
      <c r="J471" s="125">
        <v>0</v>
      </c>
      <c r="K471" s="125">
        <v>0</v>
      </c>
      <c r="L471" s="130">
        <v>0</v>
      </c>
      <c r="M471" s="123">
        <v>0</v>
      </c>
      <c r="N471" s="130">
        <v>0</v>
      </c>
      <c r="O471" s="130">
        <v>0</v>
      </c>
      <c r="P471" s="123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125">
        <v>0</v>
      </c>
      <c r="Y471" s="125" t="s">
        <v>574</v>
      </c>
      <c r="Z471" s="125"/>
      <c r="AA471" s="112">
        <v>0</v>
      </c>
      <c r="AB471" s="112">
        <v>0</v>
      </c>
      <c r="AC471" s="8"/>
      <c r="AD471" s="109"/>
      <c r="AE471" s="66">
        <v>17.921875000000004</v>
      </c>
      <c r="AF471" s="66"/>
      <c r="AG471" s="66"/>
      <c r="AH471" s="66"/>
      <c r="AI471" s="66"/>
      <c r="AJ471" s="66"/>
      <c r="AK471" s="66"/>
      <c r="AL471" s="66"/>
      <c r="AM471" s="66"/>
      <c r="AN471" s="66"/>
      <c r="AO471" s="66"/>
      <c r="AP471" s="66"/>
      <c r="AQ471" s="66"/>
      <c r="AR471" s="66"/>
      <c r="AS471" s="66"/>
      <c r="AT471" s="66"/>
      <c r="AU471" s="66"/>
      <c r="AV471" s="66"/>
      <c r="AW471" s="66"/>
      <c r="AX471" s="66"/>
      <c r="AY471" s="66"/>
      <c r="AZ471" s="66"/>
      <c r="BA471" s="66"/>
      <c r="BB471" s="66"/>
      <c r="BC471" s="66"/>
      <c r="BD471" s="66"/>
      <c r="BE471" s="66"/>
      <c r="BF471" s="66"/>
      <c r="BG471" s="66"/>
      <c r="BH471" s="66"/>
      <c r="BI471" s="189" t="s">
        <v>1</v>
      </c>
      <c r="BJ471" s="204"/>
    </row>
    <row r="472" spans="2:62" x14ac:dyDescent="0.35">
      <c r="B472" s="126" t="s">
        <v>1</v>
      </c>
      <c r="C472" s="5" t="s">
        <v>11</v>
      </c>
      <c r="D472" s="5" t="s">
        <v>396</v>
      </c>
      <c r="E472" s="5" t="s">
        <v>397</v>
      </c>
      <c r="F472" s="128">
        <v>1069875</v>
      </c>
      <c r="G472" s="129" t="s">
        <v>582</v>
      </c>
      <c r="H472" s="139">
        <v>0</v>
      </c>
      <c r="I472" s="139">
        <v>0</v>
      </c>
      <c r="J472" s="125">
        <v>0</v>
      </c>
      <c r="K472" s="125">
        <v>0</v>
      </c>
      <c r="L472" s="130">
        <v>0</v>
      </c>
      <c r="M472" s="123">
        <v>0</v>
      </c>
      <c r="N472" s="130">
        <v>0</v>
      </c>
      <c r="O472" s="130">
        <v>0</v>
      </c>
      <c r="P472" s="123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125">
        <v>0</v>
      </c>
      <c r="Y472" s="125" t="s">
        <v>574</v>
      </c>
      <c r="Z472" s="125"/>
      <c r="AA472" s="112">
        <v>0</v>
      </c>
      <c r="AB472" s="112">
        <v>0</v>
      </c>
      <c r="AC472" s="8"/>
      <c r="AD472" s="109"/>
      <c r="AE472" s="66">
        <v>49.762468300929839</v>
      </c>
      <c r="AF472" s="66"/>
      <c r="AG472" s="66"/>
      <c r="AH472" s="66"/>
      <c r="AI472" s="66"/>
      <c r="AJ472" s="66"/>
      <c r="AK472" s="66"/>
      <c r="AL472" s="66"/>
      <c r="AM472" s="66"/>
      <c r="AN472" s="66"/>
      <c r="AO472" s="66"/>
      <c r="AP472" s="66"/>
      <c r="AQ472" s="66"/>
      <c r="AR472" s="66"/>
      <c r="AS472" s="66"/>
      <c r="AT472" s="66"/>
      <c r="AU472" s="66"/>
      <c r="AV472" s="66"/>
      <c r="AW472" s="66"/>
      <c r="AX472" s="66"/>
      <c r="AY472" s="66"/>
      <c r="AZ472" s="66"/>
      <c r="BA472" s="66"/>
      <c r="BB472" s="66"/>
      <c r="BC472" s="66"/>
      <c r="BD472" s="66"/>
      <c r="BE472" s="66"/>
      <c r="BF472" s="66"/>
      <c r="BG472" s="66"/>
      <c r="BH472" s="66"/>
      <c r="BI472" s="188" t="s">
        <v>1</v>
      </c>
      <c r="BJ472" s="204"/>
    </row>
    <row r="473" spans="2:62" x14ac:dyDescent="0.35">
      <c r="B473" s="126" t="s">
        <v>1</v>
      </c>
      <c r="C473" s="5" t="s">
        <v>17</v>
      </c>
      <c r="D473" s="5" t="s">
        <v>312</v>
      </c>
      <c r="E473" s="5" t="s">
        <v>398</v>
      </c>
      <c r="F473" s="128">
        <v>1001815</v>
      </c>
      <c r="G473" s="129" t="s">
        <v>16</v>
      </c>
      <c r="H473" s="139">
        <v>0</v>
      </c>
      <c r="I473" s="139">
        <v>0</v>
      </c>
      <c r="J473" s="125">
        <v>0</v>
      </c>
      <c r="K473" s="125">
        <v>0</v>
      </c>
      <c r="L473" s="130">
        <v>0</v>
      </c>
      <c r="M473" s="123">
        <v>0</v>
      </c>
      <c r="N473" s="130">
        <v>0</v>
      </c>
      <c r="O473" s="130">
        <v>0</v>
      </c>
      <c r="P473" s="123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125">
        <v>0</v>
      </c>
      <c r="Y473" s="125" t="s">
        <v>574</v>
      </c>
      <c r="Z473" s="125"/>
      <c r="AA473" s="112">
        <v>0</v>
      </c>
      <c r="AB473" s="112">
        <v>0</v>
      </c>
      <c r="AC473" s="8"/>
      <c r="AD473" s="109"/>
      <c r="AE473" s="66" t="s">
        <v>574</v>
      </c>
      <c r="AF473" s="66"/>
      <c r="AG473" s="66"/>
      <c r="AH473" s="66"/>
      <c r="AI473" s="66"/>
      <c r="AJ473" s="66"/>
      <c r="AK473" s="66"/>
      <c r="AL473" s="66"/>
      <c r="AM473" s="66"/>
      <c r="AN473" s="66"/>
      <c r="AO473" s="66"/>
      <c r="AP473" s="66"/>
      <c r="AQ473" s="66"/>
      <c r="AR473" s="66"/>
      <c r="AS473" s="66"/>
      <c r="AT473" s="66"/>
      <c r="AU473" s="66"/>
      <c r="AV473" s="66"/>
      <c r="AW473" s="66"/>
      <c r="AX473" s="66"/>
      <c r="AY473" s="66"/>
      <c r="AZ473" s="66"/>
      <c r="BA473" s="66"/>
      <c r="BB473" s="66"/>
      <c r="BC473" s="66"/>
      <c r="BD473" s="66"/>
      <c r="BE473" s="66"/>
      <c r="BF473" s="66"/>
      <c r="BG473" s="66"/>
      <c r="BH473" s="66"/>
      <c r="BI473" s="189" t="s">
        <v>1</v>
      </c>
      <c r="BJ473" s="204"/>
    </row>
    <row r="474" spans="2:62" x14ac:dyDescent="0.35">
      <c r="B474" s="126" t="s">
        <v>1</v>
      </c>
      <c r="C474" s="5" t="s">
        <v>24</v>
      </c>
      <c r="D474" s="5" t="s">
        <v>316</v>
      </c>
      <c r="E474" s="5" t="s">
        <v>317</v>
      </c>
      <c r="F474" s="128">
        <v>1023269</v>
      </c>
      <c r="G474" s="129" t="s">
        <v>78</v>
      </c>
      <c r="H474" s="139">
        <v>0</v>
      </c>
      <c r="I474" s="139">
        <v>0</v>
      </c>
      <c r="J474" s="125">
        <v>0</v>
      </c>
      <c r="K474" s="125">
        <v>0</v>
      </c>
      <c r="L474" s="130">
        <v>0</v>
      </c>
      <c r="M474" s="123">
        <v>0</v>
      </c>
      <c r="N474" s="130">
        <v>0</v>
      </c>
      <c r="O474" s="130">
        <v>0</v>
      </c>
      <c r="P474" s="123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125">
        <v>0</v>
      </c>
      <c r="Y474" s="125" t="s">
        <v>574</v>
      </c>
      <c r="Z474" s="125"/>
      <c r="AA474" s="112">
        <v>0</v>
      </c>
      <c r="AB474" s="112">
        <v>0</v>
      </c>
      <c r="AC474" s="8"/>
      <c r="AD474" s="109"/>
      <c r="AE474" s="66" t="s">
        <v>574</v>
      </c>
      <c r="AF474" s="66"/>
      <c r="AG474" s="66"/>
      <c r="AH474" s="66"/>
      <c r="AI474" s="66"/>
      <c r="AJ474" s="66"/>
      <c r="AK474" s="66"/>
      <c r="AL474" s="66"/>
      <c r="AM474" s="66"/>
      <c r="AN474" s="66"/>
      <c r="AO474" s="66"/>
      <c r="AP474" s="66"/>
      <c r="AQ474" s="66"/>
      <c r="AR474" s="66"/>
      <c r="AS474" s="66"/>
      <c r="AT474" s="66"/>
      <c r="AU474" s="66"/>
      <c r="AV474" s="66"/>
      <c r="AW474" s="66"/>
      <c r="AX474" s="66"/>
      <c r="AY474" s="66"/>
      <c r="AZ474" s="66"/>
      <c r="BA474" s="66"/>
      <c r="BB474" s="66"/>
      <c r="BC474" s="66"/>
      <c r="BD474" s="66"/>
      <c r="BE474" s="66"/>
      <c r="BF474" s="66"/>
      <c r="BG474" s="66"/>
      <c r="BH474" s="66"/>
      <c r="BI474" s="189" t="s">
        <v>1</v>
      </c>
      <c r="BJ474" s="204"/>
    </row>
    <row r="475" spans="2:62" x14ac:dyDescent="0.35">
      <c r="B475" s="126" t="s">
        <v>1</v>
      </c>
      <c r="C475" s="5" t="s">
        <v>24</v>
      </c>
      <c r="D475" s="5" t="s">
        <v>316</v>
      </c>
      <c r="E475" s="5" t="s">
        <v>317</v>
      </c>
      <c r="F475" s="128">
        <v>1053287</v>
      </c>
      <c r="G475" s="129" t="s">
        <v>240</v>
      </c>
      <c r="H475" s="139">
        <v>0</v>
      </c>
      <c r="I475" s="139">
        <v>0</v>
      </c>
      <c r="J475" s="125">
        <v>0</v>
      </c>
      <c r="K475" s="125">
        <v>2</v>
      </c>
      <c r="L475" s="130">
        <v>0.156</v>
      </c>
      <c r="M475" s="123">
        <v>0</v>
      </c>
      <c r="N475" s="130">
        <v>0.156</v>
      </c>
      <c r="O475" s="130">
        <v>0</v>
      </c>
      <c r="P475" s="123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125">
        <v>0</v>
      </c>
      <c r="Y475" s="125" t="s">
        <v>574</v>
      </c>
      <c r="Z475" s="125"/>
      <c r="AA475" s="112">
        <v>0</v>
      </c>
      <c r="AB475" s="112">
        <v>0</v>
      </c>
      <c r="AC475" s="8"/>
      <c r="AD475" s="109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  <c r="AO475" s="66"/>
      <c r="AP475" s="66"/>
      <c r="AQ475" s="66"/>
      <c r="AR475" s="66"/>
      <c r="AS475" s="66"/>
      <c r="AT475" s="66"/>
      <c r="AU475" s="66"/>
      <c r="AV475" s="66"/>
      <c r="AW475" s="66"/>
      <c r="AX475" s="66"/>
      <c r="AY475" s="66"/>
      <c r="AZ475" s="66"/>
      <c r="BA475" s="66"/>
      <c r="BB475" s="66"/>
      <c r="BC475" s="66"/>
      <c r="BD475" s="66"/>
      <c r="BE475" s="66"/>
      <c r="BF475" s="66"/>
      <c r="BG475" s="66"/>
      <c r="BH475" s="66"/>
      <c r="BI475" s="188" t="s">
        <v>1</v>
      </c>
      <c r="BJ475" s="204"/>
    </row>
    <row r="476" spans="2:62" x14ac:dyDescent="0.35">
      <c r="B476" s="126" t="s">
        <v>1</v>
      </c>
      <c r="C476" s="5" t="s">
        <v>24</v>
      </c>
      <c r="D476" s="5" t="s">
        <v>316</v>
      </c>
      <c r="E476" s="5" t="s">
        <v>317</v>
      </c>
      <c r="F476" s="128">
        <v>1052078</v>
      </c>
      <c r="G476" s="129" t="s">
        <v>245</v>
      </c>
      <c r="H476" s="139">
        <v>0</v>
      </c>
      <c r="I476" s="139">
        <v>0</v>
      </c>
      <c r="J476" s="125">
        <v>0</v>
      </c>
      <c r="K476" s="125">
        <v>0</v>
      </c>
      <c r="L476" s="130">
        <v>0</v>
      </c>
      <c r="M476" s="123">
        <v>0</v>
      </c>
      <c r="N476" s="130">
        <v>0</v>
      </c>
      <c r="O476" s="130">
        <v>0</v>
      </c>
      <c r="P476" s="123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125">
        <v>0</v>
      </c>
      <c r="Y476" s="125" t="s">
        <v>574</v>
      </c>
      <c r="Z476" s="125"/>
      <c r="AA476" s="112">
        <v>0</v>
      </c>
      <c r="AB476" s="112">
        <v>0</v>
      </c>
      <c r="AC476" s="8"/>
      <c r="AD476" s="109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  <c r="AO476" s="66"/>
      <c r="AP476" s="66"/>
      <c r="AQ476" s="66"/>
      <c r="AR476" s="66"/>
      <c r="AS476" s="66"/>
      <c r="AT476" s="66"/>
      <c r="AU476" s="66"/>
      <c r="AV476" s="66"/>
      <c r="AW476" s="66"/>
      <c r="AX476" s="66"/>
      <c r="AY476" s="66"/>
      <c r="AZ476" s="66"/>
      <c r="BA476" s="66"/>
      <c r="BB476" s="66"/>
      <c r="BC476" s="66"/>
      <c r="BD476" s="66"/>
      <c r="BE476" s="66"/>
      <c r="BF476" s="66"/>
      <c r="BG476" s="66"/>
      <c r="BH476" s="66"/>
      <c r="BI476" s="189" t="s">
        <v>1</v>
      </c>
      <c r="BJ476" s="204"/>
    </row>
    <row r="477" spans="2:62" x14ac:dyDescent="0.35">
      <c r="B477" s="126" t="s">
        <v>1</v>
      </c>
      <c r="C477" s="5" t="s">
        <v>24</v>
      </c>
      <c r="D477" s="5" t="s">
        <v>316</v>
      </c>
      <c r="E477" s="5" t="s">
        <v>317</v>
      </c>
      <c r="F477" s="128">
        <v>1052079</v>
      </c>
      <c r="G477" s="129" t="s">
        <v>238</v>
      </c>
      <c r="H477" s="139">
        <v>0</v>
      </c>
      <c r="I477" s="139">
        <v>0</v>
      </c>
      <c r="J477" s="125">
        <v>0</v>
      </c>
      <c r="K477" s="125">
        <v>0</v>
      </c>
      <c r="L477" s="130">
        <v>0</v>
      </c>
      <c r="M477" s="123">
        <v>0</v>
      </c>
      <c r="N477" s="130">
        <v>0</v>
      </c>
      <c r="O477" s="130">
        <v>0</v>
      </c>
      <c r="P477" s="123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125">
        <v>0</v>
      </c>
      <c r="Y477" s="125" t="s">
        <v>574</v>
      </c>
      <c r="Z477" s="125"/>
      <c r="AA477" s="112">
        <v>0</v>
      </c>
      <c r="AB477" s="112">
        <v>0</v>
      </c>
      <c r="AC477" s="8"/>
      <c r="AD477" s="109"/>
      <c r="AE477" s="66">
        <v>8.6263520157325466</v>
      </c>
      <c r="AF477" s="66"/>
      <c r="AG477" s="66"/>
      <c r="AH477" s="66"/>
      <c r="AI477" s="66"/>
      <c r="AJ477" s="66"/>
      <c r="AK477" s="66"/>
      <c r="AL477" s="66"/>
      <c r="AM477" s="66"/>
      <c r="AN477" s="66"/>
      <c r="AO477" s="66"/>
      <c r="AP477" s="66"/>
      <c r="AQ477" s="66"/>
      <c r="AR477" s="66"/>
      <c r="AS477" s="66"/>
      <c r="AT477" s="66"/>
      <c r="AU477" s="66"/>
      <c r="AV477" s="66"/>
      <c r="AW477" s="66"/>
      <c r="AX477" s="66"/>
      <c r="AY477" s="66"/>
      <c r="AZ477" s="66"/>
      <c r="BA477" s="66"/>
      <c r="BB477" s="66"/>
      <c r="BC477" s="66"/>
      <c r="BD477" s="66"/>
      <c r="BE477" s="66"/>
      <c r="BF477" s="66"/>
      <c r="BG477" s="66"/>
      <c r="BH477" s="66"/>
      <c r="BI477" s="189" t="s">
        <v>1</v>
      </c>
      <c r="BJ477" s="204"/>
    </row>
    <row r="478" spans="2:62" x14ac:dyDescent="0.35">
      <c r="B478" s="126" t="s">
        <v>1</v>
      </c>
      <c r="C478" s="5" t="s">
        <v>24</v>
      </c>
      <c r="D478" s="5" t="s">
        <v>316</v>
      </c>
      <c r="E478" s="5" t="s">
        <v>317</v>
      </c>
      <c r="F478" s="128">
        <v>1052077</v>
      </c>
      <c r="G478" s="129" t="s">
        <v>237</v>
      </c>
      <c r="H478" s="139">
        <v>0</v>
      </c>
      <c r="I478" s="139">
        <v>0</v>
      </c>
      <c r="J478" s="125">
        <v>0</v>
      </c>
      <c r="K478" s="125">
        <v>0</v>
      </c>
      <c r="L478" s="130">
        <v>0</v>
      </c>
      <c r="M478" s="123">
        <v>0</v>
      </c>
      <c r="N478" s="130">
        <v>0</v>
      </c>
      <c r="O478" s="130">
        <v>0</v>
      </c>
      <c r="P478" s="123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125">
        <v>0</v>
      </c>
      <c r="Y478" s="125" t="s">
        <v>574</v>
      </c>
      <c r="Z478" s="125"/>
      <c r="AA478" s="112">
        <v>0</v>
      </c>
      <c r="AB478" s="112">
        <v>0</v>
      </c>
      <c r="AC478" s="8"/>
      <c r="AD478" s="109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  <c r="AO478" s="66"/>
      <c r="AP478" s="66"/>
      <c r="AQ478" s="66"/>
      <c r="AR478" s="66"/>
      <c r="AS478" s="66"/>
      <c r="AT478" s="66"/>
      <c r="AU478" s="66"/>
      <c r="AV478" s="66"/>
      <c r="AW478" s="66"/>
      <c r="AX478" s="66"/>
      <c r="AY478" s="66"/>
      <c r="AZ478" s="66"/>
      <c r="BA478" s="66"/>
      <c r="BB478" s="66"/>
      <c r="BC478" s="66"/>
      <c r="BD478" s="66"/>
      <c r="BE478" s="66"/>
      <c r="BF478" s="66"/>
      <c r="BG478" s="66"/>
      <c r="BH478" s="66"/>
      <c r="BI478" s="188" t="s">
        <v>1</v>
      </c>
      <c r="BJ478" s="204"/>
    </row>
    <row r="479" spans="2:62" x14ac:dyDescent="0.35">
      <c r="B479" s="126" t="s">
        <v>31</v>
      </c>
      <c r="C479" s="5" t="s">
        <v>5</v>
      </c>
      <c r="D479" s="5" t="s">
        <v>306</v>
      </c>
      <c r="E479" s="5" t="s">
        <v>307</v>
      </c>
      <c r="F479" s="128">
        <v>1076015</v>
      </c>
      <c r="G479" s="129" t="s">
        <v>648</v>
      </c>
      <c r="H479" s="139">
        <v>0</v>
      </c>
      <c r="I479" s="139">
        <v>0</v>
      </c>
      <c r="J479" s="125">
        <v>0</v>
      </c>
      <c r="K479" s="125">
        <v>0</v>
      </c>
      <c r="L479" s="130">
        <v>0</v>
      </c>
      <c r="M479" s="123">
        <v>0</v>
      </c>
      <c r="N479" s="130">
        <v>0</v>
      </c>
      <c r="O479" s="130">
        <v>0</v>
      </c>
      <c r="P479" s="123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125">
        <v>0</v>
      </c>
      <c r="Y479" s="125" t="s">
        <v>574</v>
      </c>
      <c r="Z479" s="125"/>
      <c r="AA479" s="112">
        <v>0</v>
      </c>
      <c r="AB479" s="112">
        <v>0</v>
      </c>
      <c r="AC479" s="8"/>
      <c r="AD479" s="67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  <c r="AO479" s="66"/>
      <c r="AP479" s="66"/>
      <c r="AQ479" s="66"/>
      <c r="AR479" s="66"/>
      <c r="AS479" s="66"/>
      <c r="AT479" s="66"/>
      <c r="AU479" s="66"/>
      <c r="AV479" s="66"/>
      <c r="AW479" s="66"/>
      <c r="AX479" s="66"/>
      <c r="AY479" s="66"/>
      <c r="AZ479" s="66"/>
      <c r="BA479" s="66"/>
      <c r="BB479" s="66"/>
      <c r="BC479" s="66"/>
      <c r="BD479" s="66"/>
      <c r="BE479" s="66"/>
      <c r="BF479" s="66"/>
      <c r="BG479" s="66"/>
      <c r="BH479" s="66"/>
      <c r="BI479" s="189" t="s">
        <v>1</v>
      </c>
      <c r="BJ479" s="204"/>
    </row>
    <row r="480" spans="2:62" x14ac:dyDescent="0.35">
      <c r="B480" s="126" t="s">
        <v>31</v>
      </c>
      <c r="C480" s="5" t="s">
        <v>5</v>
      </c>
      <c r="D480" s="127" t="s">
        <v>306</v>
      </c>
      <c r="E480" s="5" t="s">
        <v>307</v>
      </c>
      <c r="F480" s="128">
        <v>1076022</v>
      </c>
      <c r="G480" s="129" t="s">
        <v>657</v>
      </c>
      <c r="H480" s="139">
        <v>0</v>
      </c>
      <c r="I480" s="139">
        <v>0</v>
      </c>
      <c r="J480" s="125">
        <v>0</v>
      </c>
      <c r="K480" s="125">
        <v>0</v>
      </c>
      <c r="L480" s="130">
        <v>0</v>
      </c>
      <c r="M480" s="123">
        <v>0</v>
      </c>
      <c r="N480" s="130">
        <v>0</v>
      </c>
      <c r="O480" s="130">
        <v>0</v>
      </c>
      <c r="P480" s="123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125">
        <v>0</v>
      </c>
      <c r="Y480" s="125" t="s">
        <v>574</v>
      </c>
      <c r="Z480" s="125"/>
      <c r="AA480" s="112">
        <v>0</v>
      </c>
      <c r="AB480" s="112">
        <v>0</v>
      </c>
      <c r="AC480" s="8"/>
      <c r="AD480" s="109"/>
      <c r="AE480" s="66" t="s">
        <v>574</v>
      </c>
      <c r="AF480" s="66"/>
      <c r="AG480" s="66"/>
      <c r="AH480" s="66"/>
      <c r="AI480" s="66"/>
      <c r="AJ480" s="66"/>
      <c r="AK480" s="66"/>
      <c r="AL480" s="66"/>
      <c r="AM480" s="66"/>
      <c r="AN480" s="66"/>
      <c r="AO480" s="66"/>
      <c r="AP480" s="66"/>
      <c r="AQ480" s="66"/>
      <c r="AR480" s="66"/>
      <c r="AS480" s="66"/>
      <c r="AT480" s="66"/>
      <c r="AU480" s="66"/>
      <c r="AV480" s="66"/>
      <c r="AW480" s="66"/>
      <c r="AX480" s="66"/>
      <c r="AY480" s="66"/>
      <c r="AZ480" s="66"/>
      <c r="BA480" s="66"/>
      <c r="BB480" s="66"/>
      <c r="BC480" s="66"/>
      <c r="BD480" s="66"/>
      <c r="BE480" s="66"/>
      <c r="BF480" s="66"/>
      <c r="BG480" s="66"/>
      <c r="BH480" s="66"/>
      <c r="BI480" s="188" t="s">
        <v>1</v>
      </c>
      <c r="BJ480" s="204"/>
    </row>
    <row r="481" spans="2:62" ht="14.5" x14ac:dyDescent="0.35">
      <c r="B481" s="126" t="s">
        <v>31</v>
      </c>
      <c r="C481" s="5" t="s">
        <v>5</v>
      </c>
      <c r="D481" s="127" t="s">
        <v>306</v>
      </c>
      <c r="E481" s="5" t="s">
        <v>307</v>
      </c>
      <c r="F481" s="5">
        <v>1083416</v>
      </c>
      <c r="G481" s="169" t="s">
        <v>802</v>
      </c>
      <c r="H481" s="139">
        <v>0</v>
      </c>
      <c r="I481" s="139">
        <v>0</v>
      </c>
      <c r="J481" s="125">
        <v>0</v>
      </c>
      <c r="K481" s="125">
        <v>0</v>
      </c>
      <c r="L481" s="130">
        <v>0</v>
      </c>
      <c r="M481" s="123">
        <v>0</v>
      </c>
      <c r="N481" s="130">
        <v>0</v>
      </c>
      <c r="O481" s="130">
        <v>0</v>
      </c>
      <c r="P481" s="123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125">
        <v>0</v>
      </c>
      <c r="Y481" s="125" t="s">
        <v>574</v>
      </c>
      <c r="Z481" s="125"/>
      <c r="AA481" s="112">
        <v>0</v>
      </c>
      <c r="AB481" s="112">
        <v>0</v>
      </c>
      <c r="AC481" s="8"/>
      <c r="AD481" s="109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  <c r="AO481" s="66"/>
      <c r="AP481" s="66"/>
      <c r="AQ481" s="66"/>
      <c r="AR481" s="66"/>
      <c r="AS481" s="66"/>
      <c r="AT481" s="66"/>
      <c r="AU481" s="66"/>
      <c r="AV481" s="66"/>
      <c r="AW481" s="66"/>
      <c r="AX481" s="66"/>
      <c r="AY481" s="66"/>
      <c r="AZ481" s="66"/>
      <c r="BA481" s="66"/>
      <c r="BB481" s="66"/>
      <c r="BC481" s="66"/>
      <c r="BD481" s="66"/>
      <c r="BE481" s="66"/>
      <c r="BF481" s="66"/>
      <c r="BG481" s="66"/>
      <c r="BH481" s="66"/>
      <c r="BI481" s="189"/>
      <c r="BJ481" s="204"/>
    </row>
    <row r="482" spans="2:62" x14ac:dyDescent="0.35">
      <c r="B482" s="126" t="s">
        <v>31</v>
      </c>
      <c r="C482" s="5" t="s">
        <v>5</v>
      </c>
      <c r="D482" s="127" t="s">
        <v>396</v>
      </c>
      <c r="E482" s="5" t="s">
        <v>307</v>
      </c>
      <c r="F482" s="155">
        <v>1020395</v>
      </c>
      <c r="G482" s="156" t="s">
        <v>42</v>
      </c>
      <c r="H482" s="139">
        <v>0</v>
      </c>
      <c r="I482" s="139">
        <v>0</v>
      </c>
      <c r="J482" s="125">
        <v>0</v>
      </c>
      <c r="K482" s="125">
        <v>0</v>
      </c>
      <c r="L482" s="130">
        <v>0</v>
      </c>
      <c r="M482" s="123">
        <v>0</v>
      </c>
      <c r="N482" s="130">
        <v>0</v>
      </c>
      <c r="O482" s="130">
        <v>0</v>
      </c>
      <c r="P482" s="123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125">
        <v>0</v>
      </c>
      <c r="Y482" s="125" t="s">
        <v>574</v>
      </c>
      <c r="Z482" s="125"/>
      <c r="AA482" s="112">
        <v>0</v>
      </c>
      <c r="AB482" s="112">
        <v>0</v>
      </c>
      <c r="AC482" s="8"/>
      <c r="AD482" s="109"/>
      <c r="AE482" s="66">
        <v>19.767058823529414</v>
      </c>
      <c r="AF482" s="66"/>
      <c r="AG482" s="66"/>
      <c r="AH482" s="66"/>
      <c r="AI482" s="66"/>
      <c r="AJ482" s="66"/>
      <c r="AK482" s="66"/>
      <c r="AL482" s="66"/>
      <c r="AM482" s="66"/>
      <c r="AN482" s="66"/>
      <c r="AO482" s="66"/>
      <c r="AP482" s="66"/>
      <c r="AQ482" s="66"/>
      <c r="AR482" s="66"/>
      <c r="AS482" s="66"/>
      <c r="AT482" s="66"/>
      <c r="AU482" s="66"/>
      <c r="AV482" s="66"/>
      <c r="AW482" s="66"/>
      <c r="AX482" s="66"/>
      <c r="AY482" s="66"/>
      <c r="AZ482" s="66"/>
      <c r="BA482" s="66"/>
      <c r="BB482" s="66"/>
      <c r="BC482" s="66"/>
      <c r="BD482" s="66"/>
      <c r="BE482" s="66"/>
      <c r="BF482" s="66"/>
      <c r="BG482" s="66"/>
      <c r="BH482" s="66"/>
      <c r="BI482" s="189" t="s">
        <v>1</v>
      </c>
      <c r="BJ482" s="204"/>
    </row>
    <row r="483" spans="2:62" x14ac:dyDescent="0.35">
      <c r="B483" s="126" t="s">
        <v>31</v>
      </c>
      <c r="C483" s="5" t="s">
        <v>5</v>
      </c>
      <c r="D483" s="127" t="s">
        <v>306</v>
      </c>
      <c r="E483" s="5" t="s">
        <v>307</v>
      </c>
      <c r="F483" s="128">
        <v>1064519</v>
      </c>
      <c r="G483" s="129" t="s">
        <v>501</v>
      </c>
      <c r="H483" s="139">
        <v>0</v>
      </c>
      <c r="I483" s="139">
        <v>0</v>
      </c>
      <c r="J483" s="125">
        <v>0</v>
      </c>
      <c r="K483" s="125">
        <v>0</v>
      </c>
      <c r="L483" s="130">
        <v>0</v>
      </c>
      <c r="M483" s="123">
        <v>0</v>
      </c>
      <c r="N483" s="130">
        <v>0</v>
      </c>
      <c r="O483" s="130">
        <v>0</v>
      </c>
      <c r="P483" s="123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125">
        <v>0</v>
      </c>
      <c r="Y483" s="125" t="s">
        <v>574</v>
      </c>
      <c r="Z483" s="125"/>
      <c r="AA483" s="112">
        <v>0</v>
      </c>
      <c r="AB483" s="112">
        <v>0</v>
      </c>
      <c r="AC483" s="8"/>
      <c r="AD483" s="109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  <c r="AO483" s="66"/>
      <c r="AP483" s="66"/>
      <c r="AQ483" s="66"/>
      <c r="AR483" s="66"/>
      <c r="AS483" s="66"/>
      <c r="AT483" s="66"/>
      <c r="AU483" s="66"/>
      <c r="AV483" s="66"/>
      <c r="AW483" s="66"/>
      <c r="AX483" s="66"/>
      <c r="AY483" s="66"/>
      <c r="AZ483" s="66"/>
      <c r="BA483" s="66"/>
      <c r="BB483" s="66"/>
      <c r="BC483" s="66"/>
      <c r="BD483" s="66"/>
      <c r="BE483" s="66"/>
      <c r="BF483" s="66"/>
      <c r="BG483" s="66"/>
      <c r="BH483" s="66"/>
      <c r="BI483" s="189" t="s">
        <v>1</v>
      </c>
      <c r="BJ483" s="204"/>
    </row>
    <row r="484" spans="2:62" x14ac:dyDescent="0.35">
      <c r="B484" s="126" t="s">
        <v>31</v>
      </c>
      <c r="C484" s="5" t="s">
        <v>5</v>
      </c>
      <c r="D484" s="127" t="s">
        <v>306</v>
      </c>
      <c r="E484" s="5" t="s">
        <v>307</v>
      </c>
      <c r="F484" s="128">
        <v>1062352</v>
      </c>
      <c r="G484" s="129" t="s">
        <v>457</v>
      </c>
      <c r="H484" s="139">
        <v>0</v>
      </c>
      <c r="I484" s="139">
        <v>0</v>
      </c>
      <c r="J484" s="125">
        <v>0</v>
      </c>
      <c r="K484" s="125">
        <v>0</v>
      </c>
      <c r="L484" s="130">
        <v>0</v>
      </c>
      <c r="M484" s="123">
        <v>0</v>
      </c>
      <c r="N484" s="130">
        <v>0</v>
      </c>
      <c r="O484" s="130">
        <v>0</v>
      </c>
      <c r="P484" s="123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125">
        <v>0</v>
      </c>
      <c r="Y484" s="125" t="s">
        <v>574</v>
      </c>
      <c r="Z484" s="125"/>
      <c r="AA484" s="112">
        <v>0</v>
      </c>
      <c r="AB484" s="112">
        <v>0</v>
      </c>
      <c r="AC484" s="8"/>
      <c r="AD484" s="109"/>
      <c r="AE484" s="66">
        <v>34.961389961389962</v>
      </c>
      <c r="AF484" s="66"/>
      <c r="AG484" s="66"/>
      <c r="AH484" s="66"/>
      <c r="AI484" s="66"/>
      <c r="AJ484" s="66"/>
      <c r="AK484" s="66"/>
      <c r="AL484" s="66"/>
      <c r="AM484" s="66"/>
      <c r="AN484" s="66"/>
      <c r="AO484" s="66"/>
      <c r="AP484" s="66"/>
      <c r="AQ484" s="66"/>
      <c r="AR484" s="66"/>
      <c r="AS484" s="66"/>
      <c r="AT484" s="66"/>
      <c r="AU484" s="66"/>
      <c r="AV484" s="66"/>
      <c r="AW484" s="66"/>
      <c r="AX484" s="66"/>
      <c r="AY484" s="66"/>
      <c r="AZ484" s="66"/>
      <c r="BA484" s="66"/>
      <c r="BB484" s="66"/>
      <c r="BC484" s="66"/>
      <c r="BD484" s="66"/>
      <c r="BE484" s="66"/>
      <c r="BF484" s="66"/>
      <c r="BG484" s="66"/>
      <c r="BH484" s="66"/>
      <c r="BI484" s="189" t="s">
        <v>1</v>
      </c>
      <c r="BJ484" s="204"/>
    </row>
    <row r="485" spans="2:62" x14ac:dyDescent="0.35">
      <c r="B485" s="126" t="s">
        <v>31</v>
      </c>
      <c r="C485" s="5" t="s">
        <v>5</v>
      </c>
      <c r="D485" s="127" t="s">
        <v>306</v>
      </c>
      <c r="E485" s="5" t="s">
        <v>307</v>
      </c>
      <c r="F485" s="128">
        <v>1029999</v>
      </c>
      <c r="G485" s="129" t="s">
        <v>155</v>
      </c>
      <c r="H485" s="139">
        <v>0</v>
      </c>
      <c r="I485" s="139">
        <v>0</v>
      </c>
      <c r="J485" s="125">
        <v>0</v>
      </c>
      <c r="K485" s="125">
        <v>0</v>
      </c>
      <c r="L485" s="130">
        <v>0</v>
      </c>
      <c r="M485" s="123">
        <v>0</v>
      </c>
      <c r="N485" s="130">
        <v>0</v>
      </c>
      <c r="O485" s="130">
        <v>0</v>
      </c>
      <c r="P485" s="123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125">
        <v>0</v>
      </c>
      <c r="Y485" s="125" t="s">
        <v>574</v>
      </c>
      <c r="Z485" s="125"/>
      <c r="AA485" s="112">
        <v>0</v>
      </c>
      <c r="AB485" s="112">
        <v>0</v>
      </c>
      <c r="AC485" s="8"/>
      <c r="AD485" s="109"/>
      <c r="AE485" s="66" t="s">
        <v>574</v>
      </c>
      <c r="AF485" s="66"/>
      <c r="AG485" s="66"/>
      <c r="AH485" s="66"/>
      <c r="AI485" s="66"/>
      <c r="AJ485" s="66"/>
      <c r="AK485" s="66"/>
      <c r="AL485" s="66"/>
      <c r="AM485" s="66"/>
      <c r="AN485" s="66"/>
      <c r="AO485" s="66"/>
      <c r="AP485" s="66"/>
      <c r="AQ485" s="66"/>
      <c r="AR485" s="66"/>
      <c r="AS485" s="66"/>
      <c r="AT485" s="66"/>
      <c r="AU485" s="66"/>
      <c r="AV485" s="66"/>
      <c r="AW485" s="66"/>
      <c r="AX485" s="66"/>
      <c r="AY485" s="66"/>
      <c r="AZ485" s="66"/>
      <c r="BA485" s="66"/>
      <c r="BB485" s="66"/>
      <c r="BC485" s="66"/>
      <c r="BD485" s="66"/>
      <c r="BE485" s="66"/>
      <c r="BF485" s="66"/>
      <c r="BG485" s="66"/>
      <c r="BH485" s="66"/>
      <c r="BI485" s="189" t="s">
        <v>1</v>
      </c>
      <c r="BJ485" s="204"/>
    </row>
    <row r="486" spans="2:62" x14ac:dyDescent="0.35">
      <c r="B486" s="126" t="s">
        <v>31</v>
      </c>
      <c r="C486" s="5" t="s">
        <v>5</v>
      </c>
      <c r="D486" s="127" t="s">
        <v>306</v>
      </c>
      <c r="E486" s="5" t="s">
        <v>307</v>
      </c>
      <c r="F486" s="128">
        <v>1057172</v>
      </c>
      <c r="G486" s="129" t="s">
        <v>241</v>
      </c>
      <c r="H486" s="139">
        <v>0</v>
      </c>
      <c r="I486" s="139">
        <v>0</v>
      </c>
      <c r="J486" s="125">
        <v>0</v>
      </c>
      <c r="K486" s="125">
        <v>0</v>
      </c>
      <c r="L486" s="130">
        <v>0</v>
      </c>
      <c r="M486" s="123">
        <v>0</v>
      </c>
      <c r="N486" s="130">
        <v>0</v>
      </c>
      <c r="O486" s="130">
        <v>0</v>
      </c>
      <c r="P486" s="123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125">
        <v>0</v>
      </c>
      <c r="Y486" s="125" t="s">
        <v>574</v>
      </c>
      <c r="Z486" s="125"/>
      <c r="AA486" s="112">
        <v>0</v>
      </c>
      <c r="AB486" s="112">
        <v>0</v>
      </c>
      <c r="AC486" s="8"/>
      <c r="AD486" s="109"/>
      <c r="AE486" s="66" t="s">
        <v>574</v>
      </c>
      <c r="AF486" s="66"/>
      <c r="AG486" s="66"/>
      <c r="AH486" s="66"/>
      <c r="AI486" s="66"/>
      <c r="AJ486" s="66"/>
      <c r="AK486" s="66"/>
      <c r="AL486" s="66"/>
      <c r="AM486" s="66"/>
      <c r="AN486" s="66"/>
      <c r="AO486" s="66"/>
      <c r="AP486" s="66"/>
      <c r="AQ486" s="66"/>
      <c r="AR486" s="66"/>
      <c r="AS486" s="66"/>
      <c r="AT486" s="66"/>
      <c r="AU486" s="66"/>
      <c r="AV486" s="66"/>
      <c r="AW486" s="66"/>
      <c r="AX486" s="66"/>
      <c r="AY486" s="66"/>
      <c r="AZ486" s="66"/>
      <c r="BA486" s="66"/>
      <c r="BB486" s="66"/>
      <c r="BC486" s="66"/>
      <c r="BD486" s="66"/>
      <c r="BE486" s="66"/>
      <c r="BF486" s="66"/>
      <c r="BG486" s="66"/>
      <c r="BH486" s="66"/>
      <c r="BI486" s="189" t="s">
        <v>1</v>
      </c>
      <c r="BJ486" s="204"/>
    </row>
    <row r="487" spans="2:62" x14ac:dyDescent="0.35">
      <c r="B487" s="126" t="s">
        <v>31</v>
      </c>
      <c r="C487" s="5" t="s">
        <v>5</v>
      </c>
      <c r="D487" s="127" t="s">
        <v>306</v>
      </c>
      <c r="E487" s="5" t="s">
        <v>307</v>
      </c>
      <c r="F487" s="128">
        <v>1030000</v>
      </c>
      <c r="G487" s="129" t="s">
        <v>95</v>
      </c>
      <c r="H487" s="139">
        <v>0</v>
      </c>
      <c r="I487" s="139">
        <v>0</v>
      </c>
      <c r="J487" s="125">
        <v>0</v>
      </c>
      <c r="K487" s="125">
        <v>0</v>
      </c>
      <c r="L487" s="130">
        <v>0</v>
      </c>
      <c r="M487" s="123">
        <v>0</v>
      </c>
      <c r="N487" s="130">
        <v>0</v>
      </c>
      <c r="O487" s="130">
        <v>0</v>
      </c>
      <c r="P487" s="123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125">
        <v>0</v>
      </c>
      <c r="Y487" s="125" t="s">
        <v>574</v>
      </c>
      <c r="Z487" s="125"/>
      <c r="AA487" s="112">
        <v>0</v>
      </c>
      <c r="AB487" s="112">
        <v>0</v>
      </c>
      <c r="AC487" s="8"/>
      <c r="AD487" s="109"/>
      <c r="AE487" s="66" t="s">
        <v>574</v>
      </c>
      <c r="AF487" s="66"/>
      <c r="AG487" s="66"/>
      <c r="AH487" s="66"/>
      <c r="AI487" s="66"/>
      <c r="AJ487" s="66"/>
      <c r="AK487" s="66"/>
      <c r="AL487" s="66"/>
      <c r="AM487" s="66"/>
      <c r="AN487" s="66"/>
      <c r="AO487" s="66"/>
      <c r="AP487" s="66"/>
      <c r="AQ487" s="66"/>
      <c r="AR487" s="66"/>
      <c r="AS487" s="66"/>
      <c r="AT487" s="66"/>
      <c r="AU487" s="66"/>
      <c r="AV487" s="66"/>
      <c r="AW487" s="66"/>
      <c r="AX487" s="66"/>
      <c r="AY487" s="66"/>
      <c r="AZ487" s="66"/>
      <c r="BA487" s="66"/>
      <c r="BB487" s="66"/>
      <c r="BC487" s="66"/>
      <c r="BD487" s="66"/>
      <c r="BE487" s="66"/>
      <c r="BF487" s="66"/>
      <c r="BG487" s="66"/>
      <c r="BH487" s="66"/>
      <c r="BI487" s="189" t="s">
        <v>1</v>
      </c>
      <c r="BJ487" s="204"/>
    </row>
    <row r="488" spans="2:62" x14ac:dyDescent="0.35">
      <c r="B488" s="126" t="s">
        <v>31</v>
      </c>
      <c r="C488" s="5" t="s">
        <v>5</v>
      </c>
      <c r="D488" s="127" t="s">
        <v>306</v>
      </c>
      <c r="E488" s="5" t="s">
        <v>307</v>
      </c>
      <c r="F488" s="128">
        <v>1062350</v>
      </c>
      <c r="G488" s="129" t="s">
        <v>456</v>
      </c>
      <c r="H488" s="139">
        <v>0</v>
      </c>
      <c r="I488" s="139">
        <v>0</v>
      </c>
      <c r="J488" s="125">
        <v>0</v>
      </c>
      <c r="K488" s="125">
        <v>0</v>
      </c>
      <c r="L488" s="130">
        <v>0</v>
      </c>
      <c r="M488" s="123">
        <v>0</v>
      </c>
      <c r="N488" s="130">
        <v>0</v>
      </c>
      <c r="O488" s="130">
        <v>0</v>
      </c>
      <c r="P488" s="123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125">
        <v>0</v>
      </c>
      <c r="Y488" s="125" t="s">
        <v>574</v>
      </c>
      <c r="Z488" s="125"/>
      <c r="AA488" s="112">
        <v>0</v>
      </c>
      <c r="AB488" s="112">
        <v>0</v>
      </c>
      <c r="AC488" s="8"/>
      <c r="AD488" s="109"/>
      <c r="AE488" s="66">
        <v>19.574243347552301</v>
      </c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6"/>
      <c r="AS488" s="66"/>
      <c r="AT488" s="66"/>
      <c r="AU488" s="66"/>
      <c r="AV488" s="66"/>
      <c r="AW488" s="66"/>
      <c r="AX488" s="66"/>
      <c r="AY488" s="66"/>
      <c r="AZ488" s="66"/>
      <c r="BA488" s="66"/>
      <c r="BB488" s="66"/>
      <c r="BC488" s="66"/>
      <c r="BD488" s="66"/>
      <c r="BE488" s="66"/>
      <c r="BF488" s="66"/>
      <c r="BG488" s="66"/>
      <c r="BH488" s="66"/>
      <c r="BI488" s="189" t="s">
        <v>1</v>
      </c>
      <c r="BJ488" s="204"/>
    </row>
    <row r="489" spans="2:62" x14ac:dyDescent="0.35">
      <c r="B489" s="126" t="s">
        <v>31</v>
      </c>
      <c r="C489" s="5" t="s">
        <v>5</v>
      </c>
      <c r="D489" s="127" t="s">
        <v>306</v>
      </c>
      <c r="E489" s="5" t="s">
        <v>307</v>
      </c>
      <c r="F489" s="128">
        <v>1056630</v>
      </c>
      <c r="G489" s="129" t="s">
        <v>220</v>
      </c>
      <c r="H489" s="139">
        <v>0</v>
      </c>
      <c r="I489" s="139">
        <v>0</v>
      </c>
      <c r="J489" s="125">
        <v>0</v>
      </c>
      <c r="K489" s="125">
        <v>0</v>
      </c>
      <c r="L489" s="130">
        <v>0</v>
      </c>
      <c r="M489" s="123">
        <v>0</v>
      </c>
      <c r="N489" s="130">
        <v>0</v>
      </c>
      <c r="O489" s="130">
        <v>0</v>
      </c>
      <c r="P489" s="123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125">
        <v>0</v>
      </c>
      <c r="Y489" s="125" t="s">
        <v>574</v>
      </c>
      <c r="Z489" s="125"/>
      <c r="AA489" s="112">
        <v>0</v>
      </c>
      <c r="AB489" s="112">
        <v>0</v>
      </c>
      <c r="AC489" s="8"/>
      <c r="AD489" s="109"/>
      <c r="AE489" s="66">
        <v>32.139300533491408</v>
      </c>
      <c r="AF489" s="66"/>
      <c r="AG489" s="66"/>
      <c r="AH489" s="66"/>
      <c r="AI489" s="66"/>
      <c r="AJ489" s="66"/>
      <c r="AK489" s="66"/>
      <c r="AL489" s="66"/>
      <c r="AM489" s="66"/>
      <c r="AN489" s="66"/>
      <c r="AO489" s="66"/>
      <c r="AP489" s="66"/>
      <c r="AQ489" s="66"/>
      <c r="AR489" s="66"/>
      <c r="AS489" s="66"/>
      <c r="AT489" s="66"/>
      <c r="AU489" s="66"/>
      <c r="AV489" s="66"/>
      <c r="AW489" s="66"/>
      <c r="AX489" s="66"/>
      <c r="AY489" s="66"/>
      <c r="AZ489" s="66"/>
      <c r="BA489" s="66"/>
      <c r="BB489" s="66"/>
      <c r="BC489" s="66"/>
      <c r="BD489" s="66"/>
      <c r="BE489" s="66"/>
      <c r="BF489" s="66"/>
      <c r="BG489" s="66"/>
      <c r="BH489" s="66"/>
      <c r="BI489" s="189" t="s">
        <v>1</v>
      </c>
      <c r="BJ489" s="204"/>
    </row>
    <row r="490" spans="2:62" x14ac:dyDescent="0.35">
      <c r="B490" s="126" t="s">
        <v>31</v>
      </c>
      <c r="C490" s="5" t="s">
        <v>5</v>
      </c>
      <c r="D490" s="127" t="s">
        <v>306</v>
      </c>
      <c r="E490" s="5" t="s">
        <v>307</v>
      </c>
      <c r="F490" s="128">
        <v>1030001</v>
      </c>
      <c r="G490" s="129" t="s">
        <v>94</v>
      </c>
      <c r="H490" s="139">
        <v>0</v>
      </c>
      <c r="I490" s="139">
        <v>0</v>
      </c>
      <c r="J490" s="125">
        <v>0</v>
      </c>
      <c r="K490" s="125">
        <v>0</v>
      </c>
      <c r="L490" s="130">
        <v>0</v>
      </c>
      <c r="M490" s="123">
        <v>0</v>
      </c>
      <c r="N490" s="130">
        <v>0</v>
      </c>
      <c r="O490" s="130">
        <v>0</v>
      </c>
      <c r="P490" s="123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125">
        <v>0</v>
      </c>
      <c r="Y490" s="125" t="s">
        <v>574</v>
      </c>
      <c r="Z490" s="125"/>
      <c r="AA490" s="112">
        <v>0</v>
      </c>
      <c r="AB490" s="112">
        <v>0</v>
      </c>
      <c r="AC490" s="8"/>
      <c r="AD490" s="109"/>
      <c r="AE490" s="66" t="s">
        <v>574</v>
      </c>
      <c r="AF490" s="66"/>
      <c r="AG490" s="66"/>
      <c r="AH490" s="66"/>
      <c r="AI490" s="66"/>
      <c r="AJ490" s="66"/>
      <c r="AK490" s="66"/>
      <c r="AL490" s="66"/>
      <c r="AM490" s="66"/>
      <c r="AN490" s="66"/>
      <c r="AO490" s="66"/>
      <c r="AP490" s="66"/>
      <c r="AQ490" s="66"/>
      <c r="AR490" s="66"/>
      <c r="AS490" s="66"/>
      <c r="AT490" s="66"/>
      <c r="AU490" s="66"/>
      <c r="AV490" s="66"/>
      <c r="AW490" s="66"/>
      <c r="AX490" s="66"/>
      <c r="AY490" s="66"/>
      <c r="AZ490" s="66"/>
      <c r="BA490" s="66"/>
      <c r="BB490" s="66"/>
      <c r="BC490" s="66"/>
      <c r="BD490" s="66"/>
      <c r="BE490" s="66"/>
      <c r="BF490" s="66"/>
      <c r="BG490" s="66"/>
      <c r="BH490" s="66"/>
      <c r="BI490" s="189" t="s">
        <v>1</v>
      </c>
      <c r="BJ490" s="204"/>
    </row>
    <row r="491" spans="2:62" x14ac:dyDescent="0.35">
      <c r="B491" s="126" t="s">
        <v>31</v>
      </c>
      <c r="C491" s="5" t="s">
        <v>5</v>
      </c>
      <c r="D491" s="127" t="s">
        <v>306</v>
      </c>
      <c r="E491" s="5" t="s">
        <v>307</v>
      </c>
      <c r="F491" s="128">
        <v>1029998</v>
      </c>
      <c r="G491" s="129" t="s">
        <v>290</v>
      </c>
      <c r="H491" s="139">
        <v>0</v>
      </c>
      <c r="I491" s="139">
        <v>0</v>
      </c>
      <c r="J491" s="125">
        <v>0</v>
      </c>
      <c r="K491" s="125">
        <v>0</v>
      </c>
      <c r="L491" s="130">
        <v>0</v>
      </c>
      <c r="M491" s="123">
        <v>0</v>
      </c>
      <c r="N491" s="130">
        <v>0</v>
      </c>
      <c r="O491" s="130">
        <v>0</v>
      </c>
      <c r="P491" s="123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125">
        <v>0</v>
      </c>
      <c r="Y491" s="125" t="s">
        <v>574</v>
      </c>
      <c r="Z491" s="125"/>
      <c r="AA491" s="112">
        <v>0</v>
      </c>
      <c r="AB491" s="112">
        <v>0</v>
      </c>
      <c r="AC491" s="8"/>
      <c r="AD491" s="109"/>
      <c r="AE491" s="66" t="s">
        <v>574</v>
      </c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  <c r="AR491" s="66"/>
      <c r="AS491" s="66"/>
      <c r="AT491" s="66"/>
      <c r="AU491" s="66"/>
      <c r="AV491" s="66"/>
      <c r="AW491" s="66"/>
      <c r="AX491" s="66"/>
      <c r="AY491" s="66"/>
      <c r="AZ491" s="66"/>
      <c r="BA491" s="66"/>
      <c r="BB491" s="66"/>
      <c r="BC491" s="66"/>
      <c r="BD491" s="66"/>
      <c r="BE491" s="66"/>
      <c r="BF491" s="66"/>
      <c r="BG491" s="66"/>
      <c r="BH491" s="66"/>
      <c r="BI491" s="189" t="s">
        <v>1</v>
      </c>
      <c r="BJ491" s="204"/>
    </row>
    <row r="492" spans="2:62" x14ac:dyDescent="0.35">
      <c r="B492" s="126" t="s">
        <v>31</v>
      </c>
      <c r="C492" s="5" t="s">
        <v>5</v>
      </c>
      <c r="D492" s="127" t="s">
        <v>306</v>
      </c>
      <c r="E492" s="5" t="s">
        <v>307</v>
      </c>
      <c r="F492" s="128">
        <v>1036763</v>
      </c>
      <c r="G492" s="129" t="s">
        <v>292</v>
      </c>
      <c r="H492" s="139">
        <v>0</v>
      </c>
      <c r="I492" s="139">
        <v>0</v>
      </c>
      <c r="J492" s="125">
        <v>0</v>
      </c>
      <c r="K492" s="125">
        <v>0</v>
      </c>
      <c r="L492" s="130">
        <v>0</v>
      </c>
      <c r="M492" s="123">
        <v>0</v>
      </c>
      <c r="N492" s="130">
        <v>0</v>
      </c>
      <c r="O492" s="130">
        <v>0</v>
      </c>
      <c r="P492" s="123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125">
        <v>0</v>
      </c>
      <c r="Y492" s="125" t="s">
        <v>574</v>
      </c>
      <c r="Z492" s="125"/>
      <c r="AA492" s="112">
        <v>0</v>
      </c>
      <c r="AB492" s="112">
        <v>0</v>
      </c>
      <c r="AC492" s="8"/>
      <c r="AD492" s="109"/>
      <c r="AE492" s="66" t="s">
        <v>574</v>
      </c>
      <c r="AF492" s="66"/>
      <c r="AG492" s="66"/>
      <c r="AH492" s="66"/>
      <c r="AI492" s="66"/>
      <c r="AJ492" s="66"/>
      <c r="AK492" s="66"/>
      <c r="AL492" s="66"/>
      <c r="AM492" s="66"/>
      <c r="AN492" s="66"/>
      <c r="AO492" s="66"/>
      <c r="AP492" s="66"/>
      <c r="AQ492" s="66"/>
      <c r="AR492" s="66"/>
      <c r="AS492" s="66"/>
      <c r="AT492" s="66"/>
      <c r="AU492" s="66"/>
      <c r="AV492" s="66"/>
      <c r="AW492" s="66"/>
      <c r="AX492" s="66"/>
      <c r="AY492" s="66"/>
      <c r="AZ492" s="66"/>
      <c r="BA492" s="66"/>
      <c r="BB492" s="66"/>
      <c r="BC492" s="66"/>
      <c r="BD492" s="66"/>
      <c r="BE492" s="66"/>
      <c r="BF492" s="66"/>
      <c r="BG492" s="66"/>
      <c r="BH492" s="66"/>
      <c r="BI492" s="189" t="s">
        <v>1</v>
      </c>
      <c r="BJ492" s="204"/>
    </row>
    <row r="493" spans="2:62" x14ac:dyDescent="0.35">
      <c r="B493" s="126" t="s">
        <v>31</v>
      </c>
      <c r="C493" s="5" t="s">
        <v>5</v>
      </c>
      <c r="D493" s="127" t="s">
        <v>306</v>
      </c>
      <c r="E493" s="5" t="s">
        <v>307</v>
      </c>
      <c r="F493" s="128">
        <v>1062353</v>
      </c>
      <c r="G493" s="129" t="s">
        <v>489</v>
      </c>
      <c r="H493" s="139">
        <v>0</v>
      </c>
      <c r="I493" s="139">
        <v>0</v>
      </c>
      <c r="J493" s="125">
        <v>0</v>
      </c>
      <c r="K493" s="125">
        <v>0</v>
      </c>
      <c r="L493" s="130">
        <v>0</v>
      </c>
      <c r="M493" s="123">
        <v>0</v>
      </c>
      <c r="N493" s="130">
        <v>0</v>
      </c>
      <c r="O493" s="130">
        <v>0</v>
      </c>
      <c r="P493" s="123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125">
        <v>0</v>
      </c>
      <c r="Y493" s="125" t="s">
        <v>574</v>
      </c>
      <c r="Z493" s="125"/>
      <c r="AA493" s="112">
        <v>0</v>
      </c>
      <c r="AB493" s="112">
        <v>0</v>
      </c>
      <c r="AC493" s="8"/>
      <c r="AD493" s="109"/>
      <c r="AE493" s="66">
        <v>39.77234862613453</v>
      </c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6"/>
      <c r="AS493" s="66"/>
      <c r="AT493" s="66"/>
      <c r="AU493" s="66"/>
      <c r="AV493" s="66"/>
      <c r="AW493" s="66"/>
      <c r="AX493" s="66"/>
      <c r="AY493" s="66"/>
      <c r="AZ493" s="66"/>
      <c r="BA493" s="66"/>
      <c r="BB493" s="66"/>
      <c r="BC493" s="66"/>
      <c r="BD493" s="66"/>
      <c r="BE493" s="66"/>
      <c r="BF493" s="66"/>
      <c r="BG493" s="66"/>
      <c r="BH493" s="66"/>
      <c r="BI493" s="189" t="s">
        <v>1</v>
      </c>
      <c r="BJ493" s="204"/>
    </row>
    <row r="494" spans="2:62" x14ac:dyDescent="0.35">
      <c r="B494" s="126" t="s">
        <v>31</v>
      </c>
      <c r="C494" s="5" t="s">
        <v>5</v>
      </c>
      <c r="D494" s="127" t="s">
        <v>306</v>
      </c>
      <c r="E494" s="5" t="s">
        <v>307</v>
      </c>
      <c r="F494" s="135">
        <v>1077284</v>
      </c>
      <c r="G494" s="136" t="s">
        <v>678</v>
      </c>
      <c r="H494" s="139">
        <v>0</v>
      </c>
      <c r="I494" s="139">
        <v>0</v>
      </c>
      <c r="J494" s="125">
        <v>0</v>
      </c>
      <c r="K494" s="125">
        <v>300</v>
      </c>
      <c r="L494" s="130">
        <v>27</v>
      </c>
      <c r="M494" s="123">
        <v>0</v>
      </c>
      <c r="N494" s="130">
        <v>27</v>
      </c>
      <c r="O494" s="130">
        <v>0</v>
      </c>
      <c r="P494" s="123">
        <v>0</v>
      </c>
      <c r="Q494" s="5">
        <v>9120</v>
      </c>
      <c r="R494" s="5">
        <v>0</v>
      </c>
      <c r="S494" s="5">
        <v>9120</v>
      </c>
      <c r="T494" s="5">
        <v>0</v>
      </c>
      <c r="U494" s="5">
        <v>0</v>
      </c>
      <c r="V494" s="5">
        <v>0</v>
      </c>
      <c r="W494" s="5">
        <v>15150</v>
      </c>
      <c r="X494" s="125">
        <v>0</v>
      </c>
      <c r="Y494" s="125" t="s">
        <v>574</v>
      </c>
      <c r="Z494" s="125"/>
      <c r="AA494" s="112">
        <v>0</v>
      </c>
      <c r="AB494" s="112">
        <v>44414.1</v>
      </c>
      <c r="AC494" s="8"/>
      <c r="AD494" s="109"/>
      <c r="AE494" s="66">
        <v>17.153333333333332</v>
      </c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  <c r="AP494" s="66"/>
      <c r="AQ494" s="66"/>
      <c r="AR494" s="66"/>
      <c r="AS494" s="66"/>
      <c r="AT494" s="66"/>
      <c r="AU494" s="66"/>
      <c r="AV494" s="66"/>
      <c r="AW494" s="66"/>
      <c r="AX494" s="66"/>
      <c r="AY494" s="66"/>
      <c r="AZ494" s="66"/>
      <c r="BA494" s="66"/>
      <c r="BB494" s="66"/>
      <c r="BC494" s="66"/>
      <c r="BD494" s="66"/>
      <c r="BE494" s="66"/>
      <c r="BF494" s="66"/>
      <c r="BG494" s="66"/>
      <c r="BH494" s="66"/>
      <c r="BI494" s="188" t="s">
        <v>1</v>
      </c>
      <c r="BJ494" s="204"/>
    </row>
    <row r="495" spans="2:62" x14ac:dyDescent="0.35">
      <c r="B495" s="126" t="s">
        <v>31</v>
      </c>
      <c r="C495" s="5" t="s">
        <v>5</v>
      </c>
      <c r="D495" s="127" t="s">
        <v>306</v>
      </c>
      <c r="E495" s="5" t="s">
        <v>307</v>
      </c>
      <c r="F495" s="128">
        <v>1056631</v>
      </c>
      <c r="G495" s="129" t="s">
        <v>226</v>
      </c>
      <c r="H495" s="139">
        <v>0</v>
      </c>
      <c r="I495" s="139">
        <v>0</v>
      </c>
      <c r="J495" s="125">
        <v>0</v>
      </c>
      <c r="K495" s="125">
        <v>0</v>
      </c>
      <c r="L495" s="130">
        <v>0</v>
      </c>
      <c r="M495" s="123">
        <v>0</v>
      </c>
      <c r="N495" s="130">
        <v>0</v>
      </c>
      <c r="O495" s="130">
        <v>0</v>
      </c>
      <c r="P495" s="123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125">
        <v>0</v>
      </c>
      <c r="Y495" s="125" t="s">
        <v>574</v>
      </c>
      <c r="Z495" s="125"/>
      <c r="AA495" s="112">
        <v>0</v>
      </c>
      <c r="AB495" s="112">
        <v>0</v>
      </c>
      <c r="AC495" s="8"/>
      <c r="AD495" s="109"/>
      <c r="AE495" s="66" t="s">
        <v>574</v>
      </c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  <c r="AP495" s="66"/>
      <c r="AQ495" s="66"/>
      <c r="AR495" s="66"/>
      <c r="AS495" s="66"/>
      <c r="AT495" s="66"/>
      <c r="AU495" s="66"/>
      <c r="AV495" s="66"/>
      <c r="AW495" s="66"/>
      <c r="AX495" s="66"/>
      <c r="AY495" s="66"/>
      <c r="AZ495" s="66"/>
      <c r="BA495" s="66"/>
      <c r="BB495" s="66"/>
      <c r="BC495" s="66"/>
      <c r="BD495" s="66"/>
      <c r="BE495" s="66"/>
      <c r="BF495" s="66"/>
      <c r="BG495" s="66"/>
      <c r="BH495" s="66"/>
      <c r="BI495" s="189" t="s">
        <v>1</v>
      </c>
      <c r="BJ495" s="204"/>
    </row>
    <row r="496" spans="2:62" x14ac:dyDescent="0.35">
      <c r="B496" s="126" t="s">
        <v>31</v>
      </c>
      <c r="C496" s="5" t="s">
        <v>5</v>
      </c>
      <c r="D496" s="127" t="s">
        <v>306</v>
      </c>
      <c r="E496" s="5" t="s">
        <v>307</v>
      </c>
      <c r="F496" s="128">
        <v>1076016</v>
      </c>
      <c r="G496" s="129" t="s">
        <v>663</v>
      </c>
      <c r="H496" s="139">
        <v>0</v>
      </c>
      <c r="I496" s="139">
        <v>0</v>
      </c>
      <c r="J496" s="125">
        <v>0</v>
      </c>
      <c r="K496" s="125">
        <v>1</v>
      </c>
      <c r="L496" s="130">
        <v>0.04</v>
      </c>
      <c r="M496" s="123">
        <v>0</v>
      </c>
      <c r="N496" s="130">
        <v>0.04</v>
      </c>
      <c r="O496" s="130">
        <v>0</v>
      </c>
      <c r="P496" s="123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125">
        <v>0</v>
      </c>
      <c r="Y496" s="125" t="s">
        <v>574</v>
      </c>
      <c r="Z496" s="125"/>
      <c r="AA496" s="112">
        <v>0</v>
      </c>
      <c r="AB496" s="112">
        <v>0</v>
      </c>
      <c r="AC496" s="8"/>
      <c r="AD496" s="109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  <c r="AP496" s="66"/>
      <c r="AQ496" s="66"/>
      <c r="AR496" s="66"/>
      <c r="AS496" s="66"/>
      <c r="AT496" s="66"/>
      <c r="AU496" s="66"/>
      <c r="AV496" s="66"/>
      <c r="AW496" s="66"/>
      <c r="AX496" s="66"/>
      <c r="AY496" s="66"/>
      <c r="AZ496" s="66"/>
      <c r="BA496" s="66"/>
      <c r="BB496" s="66"/>
      <c r="BC496" s="66"/>
      <c r="BD496" s="66"/>
      <c r="BE496" s="66"/>
      <c r="BF496" s="66"/>
      <c r="BG496" s="66"/>
      <c r="BH496" s="66"/>
      <c r="BI496" s="189" t="s">
        <v>1</v>
      </c>
      <c r="BJ496" s="204"/>
    </row>
    <row r="497" spans="2:62" x14ac:dyDescent="0.35">
      <c r="B497" s="126" t="s">
        <v>31</v>
      </c>
      <c r="C497" s="5" t="s">
        <v>5</v>
      </c>
      <c r="D497" s="127" t="s">
        <v>306</v>
      </c>
      <c r="E497" s="5" t="s">
        <v>307</v>
      </c>
      <c r="F497" s="128">
        <v>1076023</v>
      </c>
      <c r="G497" s="129" t="s">
        <v>658</v>
      </c>
      <c r="H497" s="139">
        <v>0</v>
      </c>
      <c r="I497" s="139">
        <v>0</v>
      </c>
      <c r="J497" s="125">
        <v>0</v>
      </c>
      <c r="K497" s="125">
        <v>0</v>
      </c>
      <c r="L497" s="130">
        <v>0</v>
      </c>
      <c r="M497" s="123">
        <v>0</v>
      </c>
      <c r="N497" s="130">
        <v>0</v>
      </c>
      <c r="O497" s="130">
        <v>0</v>
      </c>
      <c r="P497" s="123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125">
        <v>0</v>
      </c>
      <c r="Y497" s="125" t="s">
        <v>574</v>
      </c>
      <c r="Z497" s="125"/>
      <c r="AA497" s="112">
        <v>0</v>
      </c>
      <c r="AB497" s="112">
        <v>0</v>
      </c>
      <c r="AC497" s="8"/>
      <c r="AD497" s="109"/>
      <c r="AE497" s="66">
        <v>27.873949579831933</v>
      </c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  <c r="AR497" s="66"/>
      <c r="AS497" s="66"/>
      <c r="AT497" s="66"/>
      <c r="AU497" s="66"/>
      <c r="AV497" s="66"/>
      <c r="AW497" s="66"/>
      <c r="AX497" s="66"/>
      <c r="AY497" s="66"/>
      <c r="AZ497" s="66"/>
      <c r="BA497" s="66"/>
      <c r="BB497" s="66"/>
      <c r="BC497" s="66"/>
      <c r="BD497" s="66"/>
      <c r="BE497" s="66"/>
      <c r="BF497" s="66"/>
      <c r="BG497" s="66"/>
      <c r="BH497" s="66"/>
      <c r="BI497" s="188" t="s">
        <v>1</v>
      </c>
      <c r="BJ497" s="204"/>
    </row>
    <row r="498" spans="2:62" x14ac:dyDescent="0.35">
      <c r="B498" s="126" t="s">
        <v>31</v>
      </c>
      <c r="C498" s="5" t="s">
        <v>5</v>
      </c>
      <c r="D498" s="127" t="s">
        <v>306</v>
      </c>
      <c r="E498" s="5" t="s">
        <v>307</v>
      </c>
      <c r="F498" s="128">
        <v>1076014</v>
      </c>
      <c r="G498" s="129" t="s">
        <v>647</v>
      </c>
      <c r="H498" s="139">
        <v>0</v>
      </c>
      <c r="I498" s="139">
        <v>0</v>
      </c>
      <c r="J498" s="125">
        <v>0</v>
      </c>
      <c r="K498" s="125">
        <v>0</v>
      </c>
      <c r="L498" s="130">
        <v>0</v>
      </c>
      <c r="M498" s="123">
        <v>0</v>
      </c>
      <c r="N498" s="130">
        <v>0</v>
      </c>
      <c r="O498" s="130">
        <v>0</v>
      </c>
      <c r="P498" s="123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125">
        <v>0</v>
      </c>
      <c r="Y498" s="125" t="s">
        <v>574</v>
      </c>
      <c r="Z498" s="125"/>
      <c r="AA498" s="112">
        <v>0</v>
      </c>
      <c r="AB498" s="112">
        <v>0</v>
      </c>
      <c r="AC498" s="8"/>
      <c r="AD498" s="109"/>
      <c r="AE498" s="66" t="s">
        <v>574</v>
      </c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  <c r="AP498" s="66"/>
      <c r="AQ498" s="66"/>
      <c r="AR498" s="66"/>
      <c r="AS498" s="66"/>
      <c r="AT498" s="66"/>
      <c r="AU498" s="66"/>
      <c r="AV498" s="66"/>
      <c r="AW498" s="66"/>
      <c r="AX498" s="66"/>
      <c r="AY498" s="66"/>
      <c r="AZ498" s="66"/>
      <c r="BA498" s="66"/>
      <c r="BB498" s="66"/>
      <c r="BC498" s="66"/>
      <c r="BD498" s="66"/>
      <c r="BE498" s="66"/>
      <c r="BF498" s="66"/>
      <c r="BG498" s="66"/>
      <c r="BH498" s="66"/>
      <c r="BI498" s="189" t="s">
        <v>1</v>
      </c>
      <c r="BJ498" s="204"/>
    </row>
    <row r="499" spans="2:62" x14ac:dyDescent="0.35">
      <c r="B499" s="126" t="s">
        <v>31</v>
      </c>
      <c r="C499" s="5" t="s">
        <v>5</v>
      </c>
      <c r="D499" s="127" t="s">
        <v>306</v>
      </c>
      <c r="E499" s="5" t="s">
        <v>307</v>
      </c>
      <c r="F499" s="128">
        <v>1076021</v>
      </c>
      <c r="G499" s="129" t="s">
        <v>656</v>
      </c>
      <c r="H499" s="139">
        <v>0</v>
      </c>
      <c r="I499" s="139">
        <v>0</v>
      </c>
      <c r="J499" s="125">
        <v>0</v>
      </c>
      <c r="K499" s="125">
        <v>0</v>
      </c>
      <c r="L499" s="130">
        <v>0</v>
      </c>
      <c r="M499" s="123">
        <v>0</v>
      </c>
      <c r="N499" s="130">
        <v>0</v>
      </c>
      <c r="O499" s="130">
        <v>0</v>
      </c>
      <c r="P499" s="123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125">
        <v>0</v>
      </c>
      <c r="Y499" s="125" t="s">
        <v>574</v>
      </c>
      <c r="Z499" s="125"/>
      <c r="AA499" s="112">
        <v>0</v>
      </c>
      <c r="AB499" s="112">
        <v>0</v>
      </c>
      <c r="AC499" s="8"/>
      <c r="AD499" s="109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  <c r="AO499" s="66"/>
      <c r="AP499" s="66"/>
      <c r="AQ499" s="66"/>
      <c r="AR499" s="66"/>
      <c r="AS499" s="66"/>
      <c r="AT499" s="66"/>
      <c r="AU499" s="66"/>
      <c r="AV499" s="66"/>
      <c r="AW499" s="66"/>
      <c r="AX499" s="66"/>
      <c r="AY499" s="66"/>
      <c r="AZ499" s="66"/>
      <c r="BA499" s="66"/>
      <c r="BB499" s="66"/>
      <c r="BC499" s="66"/>
      <c r="BD499" s="66"/>
      <c r="BE499" s="66"/>
      <c r="BF499" s="66"/>
      <c r="BG499" s="66"/>
      <c r="BH499" s="66"/>
      <c r="BI499" s="188" t="s">
        <v>1</v>
      </c>
      <c r="BJ499" s="204"/>
    </row>
    <row r="500" spans="2:62" x14ac:dyDescent="0.35">
      <c r="B500" s="126" t="s">
        <v>31</v>
      </c>
      <c r="C500" s="5" t="s">
        <v>5</v>
      </c>
      <c r="D500" s="127" t="s">
        <v>306</v>
      </c>
      <c r="E500" s="5" t="s">
        <v>307</v>
      </c>
      <c r="F500" s="128">
        <v>1076019</v>
      </c>
      <c r="G500" s="129" t="s">
        <v>646</v>
      </c>
      <c r="H500" s="139">
        <v>0</v>
      </c>
      <c r="I500" s="139">
        <v>0</v>
      </c>
      <c r="J500" s="125">
        <v>0</v>
      </c>
      <c r="K500" s="125">
        <v>0</v>
      </c>
      <c r="L500" s="130">
        <v>0</v>
      </c>
      <c r="M500" s="123">
        <v>0</v>
      </c>
      <c r="N500" s="130">
        <v>0</v>
      </c>
      <c r="O500" s="130">
        <v>0</v>
      </c>
      <c r="P500" s="123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125">
        <v>0</v>
      </c>
      <c r="Y500" s="125" t="s">
        <v>574</v>
      </c>
      <c r="Z500" s="125"/>
      <c r="AA500" s="112">
        <v>0</v>
      </c>
      <c r="AB500" s="112">
        <v>0</v>
      </c>
      <c r="AC500" s="8"/>
      <c r="AD500" s="109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  <c r="AO500" s="66"/>
      <c r="AP500" s="66"/>
      <c r="AQ500" s="66"/>
      <c r="AR500" s="66"/>
      <c r="AS500" s="66"/>
      <c r="AT500" s="66"/>
      <c r="AU500" s="66"/>
      <c r="AV500" s="66"/>
      <c r="AW500" s="66"/>
      <c r="AX500" s="66"/>
      <c r="AY500" s="66"/>
      <c r="AZ500" s="66"/>
      <c r="BA500" s="66"/>
      <c r="BB500" s="66"/>
      <c r="BC500" s="66"/>
      <c r="BD500" s="66"/>
      <c r="BE500" s="66"/>
      <c r="BF500" s="66"/>
      <c r="BG500" s="66"/>
      <c r="BH500" s="66"/>
      <c r="BI500" s="189" t="s">
        <v>1</v>
      </c>
      <c r="BJ500" s="204"/>
    </row>
    <row r="501" spans="2:62" x14ac:dyDescent="0.35">
      <c r="B501" s="126" t="s">
        <v>31</v>
      </c>
      <c r="C501" s="5" t="s">
        <v>5</v>
      </c>
      <c r="D501" s="127" t="s">
        <v>306</v>
      </c>
      <c r="E501" s="5" t="s">
        <v>307</v>
      </c>
      <c r="F501" s="128">
        <v>1075105</v>
      </c>
      <c r="G501" s="129" t="s">
        <v>628</v>
      </c>
      <c r="H501" s="139">
        <v>0</v>
      </c>
      <c r="I501" s="139">
        <v>0</v>
      </c>
      <c r="J501" s="125">
        <v>0</v>
      </c>
      <c r="K501" s="125">
        <v>2</v>
      </c>
      <c r="L501" s="130">
        <v>0.4</v>
      </c>
      <c r="M501" s="123">
        <v>0</v>
      </c>
      <c r="N501" s="130">
        <v>0.4</v>
      </c>
      <c r="O501" s="130">
        <v>0</v>
      </c>
      <c r="P501" s="123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125">
        <v>0</v>
      </c>
      <c r="Y501" s="125" t="s">
        <v>574</v>
      </c>
      <c r="Z501" s="125"/>
      <c r="AA501" s="112">
        <v>0</v>
      </c>
      <c r="AB501" s="112">
        <v>0</v>
      </c>
      <c r="AC501" s="8"/>
      <c r="AD501" s="109"/>
      <c r="AE501" s="66">
        <v>123.40282786107421</v>
      </c>
      <c r="AF501" s="66"/>
      <c r="AG501" s="66"/>
      <c r="AH501" s="66"/>
      <c r="AI501" s="66"/>
      <c r="AJ501" s="66"/>
      <c r="AK501" s="66"/>
      <c r="AL501" s="66"/>
      <c r="AM501" s="66"/>
      <c r="AN501" s="66"/>
      <c r="AO501" s="66"/>
      <c r="AP501" s="66"/>
      <c r="AQ501" s="66"/>
      <c r="AR501" s="66"/>
      <c r="AS501" s="66"/>
      <c r="AT501" s="66"/>
      <c r="AU501" s="66"/>
      <c r="AV501" s="66"/>
      <c r="AW501" s="66"/>
      <c r="AX501" s="66"/>
      <c r="AY501" s="66"/>
      <c r="AZ501" s="66"/>
      <c r="BA501" s="66"/>
      <c r="BB501" s="66"/>
      <c r="BC501" s="66"/>
      <c r="BD501" s="66"/>
      <c r="BE501" s="66"/>
      <c r="BF501" s="66"/>
      <c r="BG501" s="66"/>
      <c r="BH501" s="66"/>
      <c r="BI501" s="188" t="s">
        <v>1</v>
      </c>
      <c r="BJ501" s="204"/>
    </row>
    <row r="502" spans="2:62" x14ac:dyDescent="0.35">
      <c r="B502" s="126" t="s">
        <v>31</v>
      </c>
      <c r="C502" s="5" t="s">
        <v>5</v>
      </c>
      <c r="D502" s="127" t="s">
        <v>306</v>
      </c>
      <c r="E502" s="5" t="s">
        <v>307</v>
      </c>
      <c r="F502" s="128">
        <v>1075103</v>
      </c>
      <c r="G502" s="129" t="s">
        <v>629</v>
      </c>
      <c r="H502" s="139">
        <v>0</v>
      </c>
      <c r="I502" s="139">
        <v>0</v>
      </c>
      <c r="J502" s="125">
        <v>0</v>
      </c>
      <c r="K502" s="125">
        <v>0</v>
      </c>
      <c r="L502" s="130">
        <v>0</v>
      </c>
      <c r="M502" s="123">
        <v>0</v>
      </c>
      <c r="N502" s="130">
        <v>0</v>
      </c>
      <c r="O502" s="130">
        <v>0</v>
      </c>
      <c r="P502" s="123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125">
        <v>0</v>
      </c>
      <c r="Y502" s="125" t="s">
        <v>574</v>
      </c>
      <c r="Z502" s="125"/>
      <c r="AA502" s="112">
        <v>0</v>
      </c>
      <c r="AB502" s="112">
        <v>0</v>
      </c>
      <c r="AC502" s="8"/>
      <c r="AD502" s="109"/>
      <c r="AE502" s="66">
        <v>9.9210481825866434</v>
      </c>
      <c r="AF502" s="66"/>
      <c r="AG502" s="66"/>
      <c r="AH502" s="66"/>
      <c r="AI502" s="66"/>
      <c r="AJ502" s="66"/>
      <c r="AK502" s="66"/>
      <c r="AL502" s="66"/>
      <c r="AM502" s="66"/>
      <c r="AN502" s="66"/>
      <c r="AO502" s="66"/>
      <c r="AP502" s="66"/>
      <c r="AQ502" s="66"/>
      <c r="AR502" s="66"/>
      <c r="AS502" s="66"/>
      <c r="AT502" s="66"/>
      <c r="AU502" s="66"/>
      <c r="AV502" s="66"/>
      <c r="AW502" s="66"/>
      <c r="AX502" s="66"/>
      <c r="AY502" s="66"/>
      <c r="AZ502" s="66"/>
      <c r="BA502" s="66"/>
      <c r="BB502" s="66"/>
      <c r="BC502" s="66"/>
      <c r="BD502" s="66"/>
      <c r="BE502" s="66"/>
      <c r="BF502" s="66"/>
      <c r="BG502" s="66"/>
      <c r="BH502" s="66"/>
      <c r="BI502" s="188" t="s">
        <v>1</v>
      </c>
      <c r="BJ502" s="204"/>
    </row>
    <row r="503" spans="2:62" x14ac:dyDescent="0.35">
      <c r="B503" s="126" t="s">
        <v>31</v>
      </c>
      <c r="C503" s="5" t="s">
        <v>5</v>
      </c>
      <c r="D503" s="127" t="s">
        <v>306</v>
      </c>
      <c r="E503" s="5" t="s">
        <v>307</v>
      </c>
      <c r="F503" s="128">
        <v>1076018</v>
      </c>
      <c r="G503" s="129" t="s">
        <v>649</v>
      </c>
      <c r="H503" s="139">
        <v>0</v>
      </c>
      <c r="I503" s="139">
        <v>0</v>
      </c>
      <c r="J503" s="125">
        <v>0</v>
      </c>
      <c r="K503" s="125">
        <v>0</v>
      </c>
      <c r="L503" s="130">
        <v>0</v>
      </c>
      <c r="M503" s="123">
        <v>0</v>
      </c>
      <c r="N503" s="130">
        <v>0</v>
      </c>
      <c r="O503" s="130">
        <v>0</v>
      </c>
      <c r="P503" s="123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125">
        <v>0</v>
      </c>
      <c r="Y503" s="125" t="s">
        <v>574</v>
      </c>
      <c r="Z503" s="125"/>
      <c r="AA503" s="112">
        <v>0</v>
      </c>
      <c r="AB503" s="112">
        <v>0</v>
      </c>
      <c r="AC503" s="8"/>
      <c r="AD503" s="109"/>
      <c r="AE503" s="66"/>
      <c r="AF503" s="66"/>
      <c r="AG503" s="66"/>
      <c r="AH503" s="66"/>
      <c r="AI503" s="66"/>
      <c r="AJ503" s="66"/>
      <c r="AK503" s="66"/>
      <c r="AL503" s="66"/>
      <c r="AM503" s="66"/>
      <c r="AN503" s="66"/>
      <c r="AO503" s="66"/>
      <c r="AP503" s="66"/>
      <c r="AQ503" s="66"/>
      <c r="AR503" s="66"/>
      <c r="AS503" s="66"/>
      <c r="AT503" s="66"/>
      <c r="AU503" s="66"/>
      <c r="AV503" s="66"/>
      <c r="AW503" s="66"/>
      <c r="AX503" s="66"/>
      <c r="AY503" s="66"/>
      <c r="AZ503" s="66"/>
      <c r="BA503" s="66"/>
      <c r="BB503" s="66"/>
      <c r="BC503" s="66"/>
      <c r="BD503" s="66"/>
      <c r="BE503" s="66"/>
      <c r="BF503" s="66"/>
      <c r="BG503" s="66"/>
      <c r="BH503" s="66"/>
      <c r="BI503" s="189" t="s">
        <v>1</v>
      </c>
      <c r="BJ503" s="204"/>
    </row>
    <row r="504" spans="2:62" x14ac:dyDescent="0.35">
      <c r="B504" s="126" t="s">
        <v>31</v>
      </c>
      <c r="C504" s="5" t="s">
        <v>5</v>
      </c>
      <c r="D504" s="127" t="s">
        <v>306</v>
      </c>
      <c r="E504" s="5" t="s">
        <v>307</v>
      </c>
      <c r="F504" s="128">
        <v>1075104</v>
      </c>
      <c r="G504" s="129" t="s">
        <v>627</v>
      </c>
      <c r="H504" s="139">
        <v>0</v>
      </c>
      <c r="I504" s="139">
        <v>0</v>
      </c>
      <c r="J504" s="125">
        <v>0</v>
      </c>
      <c r="K504" s="125">
        <v>0</v>
      </c>
      <c r="L504" s="130">
        <v>0</v>
      </c>
      <c r="M504" s="123">
        <v>0</v>
      </c>
      <c r="N504" s="130">
        <v>0</v>
      </c>
      <c r="O504" s="130">
        <v>0</v>
      </c>
      <c r="P504" s="123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125">
        <v>0</v>
      </c>
      <c r="Y504" s="125" t="s">
        <v>574</v>
      </c>
      <c r="Z504" s="125"/>
      <c r="AA504" s="112">
        <v>0</v>
      </c>
      <c r="AB504" s="112">
        <v>0</v>
      </c>
      <c r="AC504" s="8"/>
      <c r="AD504" s="109"/>
      <c r="AE504" s="66">
        <v>9.074595433385058</v>
      </c>
      <c r="AF504" s="66"/>
      <c r="AG504" s="66"/>
      <c r="AH504" s="66"/>
      <c r="AI504" s="66"/>
      <c r="AJ504" s="66"/>
      <c r="AK504" s="66"/>
      <c r="AL504" s="66"/>
      <c r="AM504" s="66"/>
      <c r="AN504" s="66"/>
      <c r="AO504" s="66"/>
      <c r="AP504" s="66"/>
      <c r="AQ504" s="66"/>
      <c r="AR504" s="66"/>
      <c r="AS504" s="66"/>
      <c r="AT504" s="66"/>
      <c r="AU504" s="66"/>
      <c r="AV504" s="66"/>
      <c r="AW504" s="66"/>
      <c r="AX504" s="66"/>
      <c r="AY504" s="66"/>
      <c r="AZ504" s="66"/>
      <c r="BA504" s="66"/>
      <c r="BB504" s="66"/>
      <c r="BC504" s="66"/>
      <c r="BD504" s="66"/>
      <c r="BE504" s="66"/>
      <c r="BF504" s="66"/>
      <c r="BG504" s="66"/>
      <c r="BH504" s="66"/>
      <c r="BI504" s="189" t="s">
        <v>1</v>
      </c>
      <c r="BJ504" s="204"/>
    </row>
    <row r="505" spans="2:62" x14ac:dyDescent="0.35">
      <c r="B505" s="126" t="s">
        <v>31</v>
      </c>
      <c r="C505" s="5" t="s">
        <v>5</v>
      </c>
      <c r="D505" s="127" t="s">
        <v>306</v>
      </c>
      <c r="E505" s="5" t="s">
        <v>404</v>
      </c>
      <c r="F505" s="128">
        <v>1010040</v>
      </c>
      <c r="G505" s="129" t="s">
        <v>117</v>
      </c>
      <c r="H505" s="139">
        <v>0</v>
      </c>
      <c r="I505" s="139">
        <v>0</v>
      </c>
      <c r="J505" s="125">
        <v>0</v>
      </c>
      <c r="K505" s="125">
        <v>0</v>
      </c>
      <c r="L505" s="130">
        <v>0</v>
      </c>
      <c r="M505" s="123">
        <v>0</v>
      </c>
      <c r="N505" s="130">
        <v>0</v>
      </c>
      <c r="O505" s="130">
        <v>0</v>
      </c>
      <c r="P505" s="123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125">
        <v>0</v>
      </c>
      <c r="Y505" s="125" t="s">
        <v>574</v>
      </c>
      <c r="Z505" s="125"/>
      <c r="AA505" s="112">
        <v>0</v>
      </c>
      <c r="AB505" s="112">
        <v>0</v>
      </c>
      <c r="AC505" s="8"/>
      <c r="AD505" s="109"/>
      <c r="AE505" s="66">
        <v>6.5130509776637533</v>
      </c>
      <c r="AF505" s="66"/>
      <c r="AG505" s="66"/>
      <c r="AH505" s="66"/>
      <c r="AI505" s="66"/>
      <c r="AJ505" s="66"/>
      <c r="AK505" s="66"/>
      <c r="AL505" s="66"/>
      <c r="AM505" s="66"/>
      <c r="AN505" s="66"/>
      <c r="AO505" s="66"/>
      <c r="AP505" s="66"/>
      <c r="AQ505" s="66"/>
      <c r="AR505" s="66"/>
      <c r="AS505" s="66"/>
      <c r="AT505" s="66"/>
      <c r="AU505" s="66"/>
      <c r="AV505" s="66"/>
      <c r="AW505" s="66"/>
      <c r="AX505" s="66"/>
      <c r="AY505" s="66"/>
      <c r="AZ505" s="66"/>
      <c r="BA505" s="66"/>
      <c r="BB505" s="66"/>
      <c r="BC505" s="66"/>
      <c r="BD505" s="66"/>
      <c r="BE505" s="66"/>
      <c r="BF505" s="66"/>
      <c r="BG505" s="66"/>
      <c r="BH505" s="66"/>
      <c r="BI505" s="189" t="s">
        <v>1</v>
      </c>
      <c r="BJ505" s="204"/>
    </row>
    <row r="506" spans="2:62" x14ac:dyDescent="0.35">
      <c r="B506" s="126" t="s">
        <v>31</v>
      </c>
      <c r="C506" s="5" t="s">
        <v>5</v>
      </c>
      <c r="D506" s="127" t="s">
        <v>306</v>
      </c>
      <c r="E506" s="5" t="s">
        <v>404</v>
      </c>
      <c r="F506" s="128">
        <v>1071662</v>
      </c>
      <c r="G506" s="129" t="s">
        <v>593</v>
      </c>
      <c r="H506" s="139">
        <v>0</v>
      </c>
      <c r="I506" s="139">
        <v>0</v>
      </c>
      <c r="J506" s="125">
        <v>0</v>
      </c>
      <c r="K506" s="125">
        <v>0</v>
      </c>
      <c r="L506" s="130">
        <v>0</v>
      </c>
      <c r="M506" s="123">
        <v>0</v>
      </c>
      <c r="N506" s="130">
        <v>0</v>
      </c>
      <c r="O506" s="130">
        <v>0</v>
      </c>
      <c r="P506" s="123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125">
        <v>0</v>
      </c>
      <c r="Y506" s="125" t="s">
        <v>574</v>
      </c>
      <c r="Z506" s="125"/>
      <c r="AA506" s="112">
        <v>0</v>
      </c>
      <c r="AB506" s="112">
        <v>0</v>
      </c>
      <c r="AC506" s="8"/>
      <c r="AD506" s="109"/>
      <c r="AE506" s="66">
        <v>1398.9454545454546</v>
      </c>
      <c r="AF506" s="66"/>
      <c r="AG506" s="66"/>
      <c r="AH506" s="66"/>
      <c r="AI506" s="66"/>
      <c r="AJ506" s="66"/>
      <c r="AK506" s="66"/>
      <c r="AL506" s="66"/>
      <c r="AM506" s="66"/>
      <c r="AN506" s="66"/>
      <c r="AO506" s="66"/>
      <c r="AP506" s="66"/>
      <c r="AQ506" s="66"/>
      <c r="AR506" s="66"/>
      <c r="AS506" s="66"/>
      <c r="AT506" s="66"/>
      <c r="AU506" s="66"/>
      <c r="AV506" s="66"/>
      <c r="AW506" s="66"/>
      <c r="AX506" s="66"/>
      <c r="AY506" s="66"/>
      <c r="AZ506" s="66"/>
      <c r="BA506" s="66"/>
      <c r="BB506" s="66"/>
      <c r="BC506" s="66"/>
      <c r="BD506" s="66"/>
      <c r="BE506" s="66"/>
      <c r="BF506" s="66"/>
      <c r="BG506" s="66"/>
      <c r="BH506" s="66"/>
      <c r="BI506" s="189" t="s">
        <v>1</v>
      </c>
      <c r="BJ506" s="204"/>
    </row>
    <row r="507" spans="2:62" x14ac:dyDescent="0.35">
      <c r="B507" s="126" t="s">
        <v>31</v>
      </c>
      <c r="C507" s="5" t="s">
        <v>5</v>
      </c>
      <c r="D507" s="127" t="s">
        <v>306</v>
      </c>
      <c r="E507" s="5" t="s">
        <v>404</v>
      </c>
      <c r="F507" s="128">
        <v>1010038</v>
      </c>
      <c r="G507" s="129" t="s">
        <v>127</v>
      </c>
      <c r="H507" s="139">
        <v>0</v>
      </c>
      <c r="I507" s="139">
        <v>0</v>
      </c>
      <c r="J507" s="125">
        <v>0</v>
      </c>
      <c r="K507" s="125">
        <v>0</v>
      </c>
      <c r="L507" s="130">
        <v>0</v>
      </c>
      <c r="M507" s="123">
        <v>0</v>
      </c>
      <c r="N507" s="130">
        <v>0</v>
      </c>
      <c r="O507" s="130">
        <v>0</v>
      </c>
      <c r="P507" s="123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125">
        <v>0</v>
      </c>
      <c r="Y507" s="125" t="s">
        <v>574</v>
      </c>
      <c r="Z507" s="125"/>
      <c r="AA507" s="112">
        <v>0</v>
      </c>
      <c r="AB507" s="112">
        <v>0</v>
      </c>
      <c r="AC507" s="8"/>
      <c r="AD507" s="109"/>
      <c r="AE507" s="66">
        <v>37.075601926163721</v>
      </c>
      <c r="AF507" s="66"/>
      <c r="AG507" s="66"/>
      <c r="AH507" s="66"/>
      <c r="AI507" s="66"/>
      <c r="AJ507" s="66"/>
      <c r="AK507" s="66"/>
      <c r="AL507" s="66"/>
      <c r="AM507" s="66"/>
      <c r="AN507" s="66"/>
      <c r="AO507" s="66"/>
      <c r="AP507" s="66"/>
      <c r="AQ507" s="66"/>
      <c r="AR507" s="66"/>
      <c r="AS507" s="66"/>
      <c r="AT507" s="66"/>
      <c r="AU507" s="66"/>
      <c r="AV507" s="66"/>
      <c r="AW507" s="66"/>
      <c r="AX507" s="66"/>
      <c r="AY507" s="66"/>
      <c r="AZ507" s="66"/>
      <c r="BA507" s="66"/>
      <c r="BB507" s="66"/>
      <c r="BC507" s="66"/>
      <c r="BD507" s="66"/>
      <c r="BE507" s="66"/>
      <c r="BF507" s="66"/>
      <c r="BG507" s="66"/>
      <c r="BH507" s="66"/>
      <c r="BI507" s="189" t="s">
        <v>1</v>
      </c>
      <c r="BJ507" s="204"/>
    </row>
    <row r="508" spans="2:62" x14ac:dyDescent="0.35">
      <c r="B508" s="126" t="s">
        <v>31</v>
      </c>
      <c r="C508" s="5" t="s">
        <v>5</v>
      </c>
      <c r="D508" s="127" t="s">
        <v>306</v>
      </c>
      <c r="E508" s="5" t="s">
        <v>404</v>
      </c>
      <c r="F508" s="128">
        <v>1071663</v>
      </c>
      <c r="G508" s="129" t="s">
        <v>600</v>
      </c>
      <c r="H508" s="139">
        <v>0</v>
      </c>
      <c r="I508" s="139">
        <v>0</v>
      </c>
      <c r="J508" s="125">
        <v>0</v>
      </c>
      <c r="K508" s="125">
        <v>0</v>
      </c>
      <c r="L508" s="130">
        <v>0</v>
      </c>
      <c r="M508" s="123">
        <v>0</v>
      </c>
      <c r="N508" s="130">
        <v>0</v>
      </c>
      <c r="O508" s="130">
        <v>0</v>
      </c>
      <c r="P508" s="123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125">
        <v>0</v>
      </c>
      <c r="Y508" s="125" t="s">
        <v>574</v>
      </c>
      <c r="Z508" s="125"/>
      <c r="AA508" s="112">
        <v>0</v>
      </c>
      <c r="AB508" s="112">
        <v>0</v>
      </c>
      <c r="AC508" s="8"/>
      <c r="AD508" s="109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  <c r="AO508" s="66"/>
      <c r="AP508" s="66"/>
      <c r="AQ508" s="66"/>
      <c r="AR508" s="66"/>
      <c r="AS508" s="66"/>
      <c r="AT508" s="66"/>
      <c r="AU508" s="66"/>
      <c r="AV508" s="66"/>
      <c r="AW508" s="66"/>
      <c r="AX508" s="66"/>
      <c r="AY508" s="66"/>
      <c r="AZ508" s="66"/>
      <c r="BA508" s="66"/>
      <c r="BB508" s="66"/>
      <c r="BC508" s="66"/>
      <c r="BD508" s="66"/>
      <c r="BE508" s="66"/>
      <c r="BF508" s="66"/>
      <c r="BG508" s="66"/>
      <c r="BH508" s="66"/>
      <c r="BI508" s="189"/>
      <c r="BJ508" s="204"/>
    </row>
    <row r="509" spans="2:62" x14ac:dyDescent="0.35">
      <c r="B509" s="126" t="s">
        <v>22</v>
      </c>
      <c r="C509" s="5" t="s">
        <v>5</v>
      </c>
      <c r="D509" s="5" t="s">
        <v>396</v>
      </c>
      <c r="E509" s="5" t="s">
        <v>397</v>
      </c>
      <c r="F509" s="152">
        <v>1051098</v>
      </c>
      <c r="G509" s="153" t="s">
        <v>167</v>
      </c>
      <c r="H509" s="139">
        <v>0</v>
      </c>
      <c r="I509" s="139">
        <v>0</v>
      </c>
      <c r="J509" s="125">
        <v>0</v>
      </c>
      <c r="K509" s="125">
        <v>0</v>
      </c>
      <c r="L509" s="130">
        <v>0</v>
      </c>
      <c r="M509" s="123">
        <v>0</v>
      </c>
      <c r="N509" s="130">
        <v>0</v>
      </c>
      <c r="O509" s="130">
        <v>0</v>
      </c>
      <c r="P509" s="123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3</v>
      </c>
      <c r="X509" s="125">
        <v>0</v>
      </c>
      <c r="Y509" s="125" t="s">
        <v>574</v>
      </c>
      <c r="Z509" s="125"/>
      <c r="AA509" s="112">
        <v>0</v>
      </c>
      <c r="AB509" s="112">
        <v>358.8</v>
      </c>
      <c r="AC509" s="8"/>
      <c r="AD509" s="109"/>
      <c r="AE509" s="66" t="s">
        <v>574</v>
      </c>
      <c r="AF509" s="66"/>
      <c r="AG509" s="66"/>
      <c r="AH509" s="66"/>
      <c r="AI509" s="66"/>
      <c r="AJ509" s="66"/>
      <c r="AK509" s="66"/>
      <c r="AL509" s="66"/>
      <c r="AM509" s="66"/>
      <c r="AN509" s="66"/>
      <c r="AO509" s="66"/>
      <c r="AP509" s="66"/>
      <c r="AQ509" s="66"/>
      <c r="AR509" s="66"/>
      <c r="AS509" s="66"/>
      <c r="AT509" s="66"/>
      <c r="AU509" s="66"/>
      <c r="AV509" s="66"/>
      <c r="AW509" s="66"/>
      <c r="AX509" s="66"/>
      <c r="AY509" s="66"/>
      <c r="AZ509" s="66"/>
      <c r="BA509" s="66"/>
      <c r="BB509" s="66"/>
      <c r="BC509" s="66"/>
      <c r="BD509" s="66"/>
      <c r="BE509" s="66"/>
      <c r="BF509" s="66"/>
      <c r="BG509" s="66"/>
      <c r="BH509" s="66"/>
      <c r="BI509" s="189" t="s">
        <v>1</v>
      </c>
      <c r="BJ509" s="204"/>
    </row>
    <row r="510" spans="2:62" x14ac:dyDescent="0.35">
      <c r="B510" s="126" t="s">
        <v>21</v>
      </c>
      <c r="C510" s="5" t="s">
        <v>5</v>
      </c>
      <c r="D510" s="5" t="s">
        <v>396</v>
      </c>
      <c r="E510" s="5" t="s">
        <v>307</v>
      </c>
      <c r="F510" s="128">
        <v>1036533</v>
      </c>
      <c r="G510" s="129" t="s">
        <v>132</v>
      </c>
      <c r="H510" s="139">
        <v>0</v>
      </c>
      <c r="I510" s="139">
        <v>0</v>
      </c>
      <c r="J510" s="125">
        <v>0</v>
      </c>
      <c r="K510" s="125">
        <v>0</v>
      </c>
      <c r="L510" s="130">
        <v>0</v>
      </c>
      <c r="M510" s="123">
        <v>0</v>
      </c>
      <c r="N510" s="130">
        <v>0</v>
      </c>
      <c r="O510" s="130">
        <v>0</v>
      </c>
      <c r="P510" s="123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125">
        <v>0</v>
      </c>
      <c r="Y510" s="125" t="s">
        <v>574</v>
      </c>
      <c r="Z510" s="125"/>
      <c r="AA510" s="112">
        <v>0</v>
      </c>
      <c r="AB510" s="112">
        <v>0</v>
      </c>
      <c r="AC510" s="8"/>
      <c r="AD510" s="109"/>
      <c r="AE510" s="66" t="s">
        <v>574</v>
      </c>
      <c r="AF510" s="66"/>
      <c r="AG510" s="66"/>
      <c r="AH510" s="66"/>
      <c r="AI510" s="66"/>
      <c r="AJ510" s="66"/>
      <c r="AK510" s="66"/>
      <c r="AL510" s="66"/>
      <c r="AM510" s="66"/>
      <c r="AN510" s="66"/>
      <c r="AO510" s="66"/>
      <c r="AP510" s="66"/>
      <c r="AQ510" s="66"/>
      <c r="AR510" s="66"/>
      <c r="AS510" s="66"/>
      <c r="AT510" s="66"/>
      <c r="AU510" s="66"/>
      <c r="AV510" s="66"/>
      <c r="AW510" s="66"/>
      <c r="AX510" s="66"/>
      <c r="AY510" s="66"/>
      <c r="AZ510" s="66"/>
      <c r="BA510" s="66"/>
      <c r="BB510" s="66"/>
      <c r="BC510" s="66"/>
      <c r="BD510" s="66"/>
      <c r="BE510" s="66"/>
      <c r="BF510" s="66"/>
      <c r="BG510" s="66"/>
      <c r="BH510" s="66"/>
      <c r="BI510" s="189" t="s">
        <v>1</v>
      </c>
      <c r="BJ510" s="204"/>
    </row>
    <row r="511" spans="2:62" x14ac:dyDescent="0.35">
      <c r="B511" s="126" t="s">
        <v>21</v>
      </c>
      <c r="C511" s="5" t="s">
        <v>5</v>
      </c>
      <c r="D511" s="5" t="s">
        <v>396</v>
      </c>
      <c r="E511" s="5" t="s">
        <v>307</v>
      </c>
      <c r="F511" s="128">
        <v>1033944</v>
      </c>
      <c r="G511" s="129" t="s">
        <v>291</v>
      </c>
      <c r="H511" s="139">
        <v>0</v>
      </c>
      <c r="I511" s="139">
        <v>0</v>
      </c>
      <c r="J511" s="125">
        <v>0</v>
      </c>
      <c r="K511" s="125">
        <v>0</v>
      </c>
      <c r="L511" s="130">
        <v>0</v>
      </c>
      <c r="M511" s="123">
        <v>0</v>
      </c>
      <c r="N511" s="130">
        <v>0</v>
      </c>
      <c r="O511" s="130">
        <v>0</v>
      </c>
      <c r="P511" s="123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125">
        <v>0</v>
      </c>
      <c r="Y511" s="125" t="s">
        <v>574</v>
      </c>
      <c r="Z511" s="125"/>
      <c r="AA511" s="112">
        <v>0</v>
      </c>
      <c r="AB511" s="112">
        <v>0</v>
      </c>
      <c r="AC511" s="8"/>
      <c r="AD511" s="109"/>
      <c r="AE511" s="66" t="s">
        <v>574</v>
      </c>
      <c r="AF511" s="66"/>
      <c r="AG511" s="66"/>
      <c r="AH511" s="66"/>
      <c r="AI511" s="66"/>
      <c r="AJ511" s="66"/>
      <c r="AK511" s="66"/>
      <c r="AL511" s="66"/>
      <c r="AM511" s="66"/>
      <c r="AN511" s="66"/>
      <c r="AO511" s="66"/>
      <c r="AP511" s="66"/>
      <c r="AQ511" s="66"/>
      <c r="AR511" s="66"/>
      <c r="AS511" s="66"/>
      <c r="AT511" s="66"/>
      <c r="AU511" s="66"/>
      <c r="AV511" s="66"/>
      <c r="AW511" s="66"/>
      <c r="AX511" s="66"/>
      <c r="AY511" s="66"/>
      <c r="AZ511" s="66"/>
      <c r="BA511" s="66"/>
      <c r="BB511" s="66"/>
      <c r="BC511" s="66"/>
      <c r="BD511" s="66"/>
      <c r="BE511" s="66"/>
      <c r="BF511" s="66"/>
      <c r="BG511" s="66"/>
      <c r="BH511" s="66"/>
      <c r="BI511" s="189" t="s">
        <v>1</v>
      </c>
      <c r="BJ511" s="204"/>
    </row>
    <row r="512" spans="2:62" x14ac:dyDescent="0.35">
      <c r="B512" s="126" t="s">
        <v>21</v>
      </c>
      <c r="C512" s="5" t="s">
        <v>5</v>
      </c>
      <c r="D512" s="5" t="s">
        <v>396</v>
      </c>
      <c r="E512" s="5" t="s">
        <v>307</v>
      </c>
      <c r="F512" s="128">
        <v>1033943</v>
      </c>
      <c r="G512" s="129" t="s">
        <v>382</v>
      </c>
      <c r="H512" s="139">
        <v>0</v>
      </c>
      <c r="I512" s="139">
        <v>0</v>
      </c>
      <c r="J512" s="125">
        <v>0</v>
      </c>
      <c r="K512" s="125">
        <v>0</v>
      </c>
      <c r="L512" s="130">
        <v>0</v>
      </c>
      <c r="M512" s="123">
        <v>0</v>
      </c>
      <c r="N512" s="130">
        <v>0</v>
      </c>
      <c r="O512" s="130">
        <v>0</v>
      </c>
      <c r="P512" s="123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125">
        <v>0</v>
      </c>
      <c r="Y512" s="125" t="s">
        <v>574</v>
      </c>
      <c r="Z512" s="125"/>
      <c r="AA512" s="112">
        <v>0</v>
      </c>
      <c r="AB512" s="112">
        <v>0</v>
      </c>
      <c r="AC512" s="8"/>
      <c r="AD512" s="109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  <c r="AO512" s="66"/>
      <c r="AP512" s="66"/>
      <c r="AQ512" s="66"/>
      <c r="AR512" s="66"/>
      <c r="AS512" s="66"/>
      <c r="AT512" s="66"/>
      <c r="AU512" s="66"/>
      <c r="AV512" s="66"/>
      <c r="AW512" s="66"/>
      <c r="AX512" s="66"/>
      <c r="AY512" s="66"/>
      <c r="AZ512" s="66"/>
      <c r="BA512" s="66"/>
      <c r="BB512" s="66"/>
      <c r="BC512" s="66"/>
      <c r="BD512" s="66"/>
      <c r="BE512" s="66"/>
      <c r="BF512" s="66"/>
      <c r="BG512" s="66"/>
      <c r="BH512" s="66"/>
      <c r="BI512" s="188"/>
      <c r="BJ512" s="204"/>
    </row>
    <row r="513" spans="2:62" x14ac:dyDescent="0.35">
      <c r="B513" s="126" t="s">
        <v>21</v>
      </c>
      <c r="C513" s="5" t="s">
        <v>5</v>
      </c>
      <c r="D513" s="5" t="s">
        <v>396</v>
      </c>
      <c r="E513" s="5" t="s">
        <v>397</v>
      </c>
      <c r="F513" s="128">
        <v>1069565</v>
      </c>
      <c r="G513" s="129" t="s">
        <v>549</v>
      </c>
      <c r="H513" s="139">
        <v>0</v>
      </c>
      <c r="I513" s="139">
        <v>0</v>
      </c>
      <c r="J513" s="125">
        <v>0</v>
      </c>
      <c r="K513" s="125">
        <v>0</v>
      </c>
      <c r="L513" s="130">
        <v>0</v>
      </c>
      <c r="M513" s="123">
        <v>0</v>
      </c>
      <c r="N513" s="130">
        <v>0</v>
      </c>
      <c r="O513" s="130">
        <v>0</v>
      </c>
      <c r="P513" s="123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125">
        <v>0</v>
      </c>
      <c r="Y513" s="125" t="s">
        <v>574</v>
      </c>
      <c r="Z513" s="125"/>
      <c r="AA513" s="112">
        <v>0</v>
      </c>
      <c r="AB513" s="112">
        <v>0</v>
      </c>
      <c r="AC513" s="8"/>
      <c r="AD513" s="109"/>
      <c r="AE513" s="66" t="s">
        <v>574</v>
      </c>
      <c r="AF513" s="66"/>
      <c r="AG513" s="66"/>
      <c r="AH513" s="66"/>
      <c r="AI513" s="66"/>
      <c r="AJ513" s="66"/>
      <c r="AK513" s="66"/>
      <c r="AL513" s="66"/>
      <c r="AM513" s="66"/>
      <c r="AN513" s="66"/>
      <c r="AO513" s="66"/>
      <c r="AP513" s="66"/>
      <c r="AQ513" s="66"/>
      <c r="AR513" s="66"/>
      <c r="AS513" s="66"/>
      <c r="AT513" s="66"/>
      <c r="AU513" s="66"/>
      <c r="AV513" s="66"/>
      <c r="AW513" s="66"/>
      <c r="AX513" s="66"/>
      <c r="AY513" s="66"/>
      <c r="AZ513" s="66"/>
      <c r="BA513" s="66"/>
      <c r="BB513" s="66"/>
      <c r="BC513" s="66"/>
      <c r="BD513" s="66"/>
      <c r="BE513" s="66"/>
      <c r="BF513" s="66"/>
      <c r="BG513" s="66"/>
      <c r="BH513" s="66"/>
      <c r="BI513" s="189" t="s">
        <v>1</v>
      </c>
      <c r="BJ513" s="204"/>
    </row>
    <row r="514" spans="2:62" x14ac:dyDescent="0.35">
      <c r="B514" s="126" t="s">
        <v>1</v>
      </c>
      <c r="C514" s="5" t="s">
        <v>2</v>
      </c>
      <c r="D514" s="5" t="s">
        <v>306</v>
      </c>
      <c r="E514" s="5" t="s">
        <v>307</v>
      </c>
      <c r="F514" s="148">
        <v>1057533</v>
      </c>
      <c r="G514" s="149" t="s">
        <v>251</v>
      </c>
      <c r="H514" s="139">
        <v>0</v>
      </c>
      <c r="I514" s="139">
        <v>0</v>
      </c>
      <c r="J514" s="125">
        <v>0</v>
      </c>
      <c r="K514" s="125">
        <v>0</v>
      </c>
      <c r="L514" s="130">
        <v>0</v>
      </c>
      <c r="M514" s="123">
        <v>0</v>
      </c>
      <c r="N514" s="130">
        <v>0</v>
      </c>
      <c r="O514" s="130">
        <v>0</v>
      </c>
      <c r="P514" s="123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125">
        <v>0</v>
      </c>
      <c r="Y514" s="125" t="s">
        <v>574</v>
      </c>
      <c r="Z514" s="125"/>
      <c r="AA514" s="112">
        <v>0</v>
      </c>
      <c r="AB514" s="112">
        <v>0</v>
      </c>
      <c r="AC514" s="8"/>
      <c r="AD514" s="109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  <c r="AO514" s="66"/>
      <c r="AP514" s="66"/>
      <c r="AQ514" s="66"/>
      <c r="AR514" s="66"/>
      <c r="AS514" s="66"/>
      <c r="AT514" s="66"/>
      <c r="AU514" s="66"/>
      <c r="AV514" s="66"/>
      <c r="AW514" s="66"/>
      <c r="AX514" s="66"/>
      <c r="AY514" s="66"/>
      <c r="AZ514" s="66"/>
      <c r="BA514" s="66"/>
      <c r="BB514" s="66"/>
      <c r="BC514" s="66"/>
      <c r="BD514" s="66"/>
      <c r="BE514" s="66"/>
      <c r="BF514" s="66"/>
      <c r="BG514" s="66"/>
      <c r="BH514" s="66"/>
      <c r="BI514" s="189" t="s">
        <v>1</v>
      </c>
      <c r="BJ514" s="204"/>
    </row>
    <row r="515" spans="2:62" x14ac:dyDescent="0.35">
      <c r="B515" s="126" t="s">
        <v>1</v>
      </c>
      <c r="C515" s="5" t="s">
        <v>2</v>
      </c>
      <c r="D515" s="127" t="s">
        <v>306</v>
      </c>
      <c r="E515" s="127" t="s">
        <v>307</v>
      </c>
      <c r="F515" s="128">
        <v>1057534</v>
      </c>
      <c r="G515" s="129" t="s">
        <v>242</v>
      </c>
      <c r="H515" s="139">
        <v>0</v>
      </c>
      <c r="I515" s="139">
        <v>0</v>
      </c>
      <c r="J515" s="125">
        <v>0</v>
      </c>
      <c r="K515" s="125">
        <v>0</v>
      </c>
      <c r="L515" s="130">
        <v>0</v>
      </c>
      <c r="M515" s="123">
        <v>0</v>
      </c>
      <c r="N515" s="130">
        <v>0</v>
      </c>
      <c r="O515" s="130">
        <v>0</v>
      </c>
      <c r="P515" s="123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125">
        <v>0</v>
      </c>
      <c r="Y515" s="125" t="s">
        <v>574</v>
      </c>
      <c r="Z515" s="125"/>
      <c r="AA515" s="112">
        <v>0</v>
      </c>
      <c r="AB515" s="112">
        <v>0</v>
      </c>
      <c r="AC515" s="8"/>
      <c r="AD515" s="109"/>
      <c r="AE515" s="66" t="s">
        <v>574</v>
      </c>
      <c r="AF515" s="66"/>
      <c r="AG515" s="66"/>
      <c r="AH515" s="66"/>
      <c r="AI515" s="66"/>
      <c r="AJ515" s="66"/>
      <c r="AK515" s="66"/>
      <c r="AL515" s="66"/>
      <c r="AM515" s="66"/>
      <c r="AN515" s="66"/>
      <c r="AO515" s="66"/>
      <c r="AP515" s="66"/>
      <c r="AQ515" s="66"/>
      <c r="AR515" s="66"/>
      <c r="AS515" s="66"/>
      <c r="AT515" s="66"/>
      <c r="AU515" s="66"/>
      <c r="AV515" s="66"/>
      <c r="AW515" s="66"/>
      <c r="AX515" s="66"/>
      <c r="AY515" s="66"/>
      <c r="AZ515" s="66"/>
      <c r="BA515" s="66"/>
      <c r="BB515" s="66"/>
      <c r="BC515" s="66"/>
      <c r="BD515" s="66"/>
      <c r="BE515" s="66"/>
      <c r="BF515" s="66"/>
      <c r="BG515" s="66"/>
      <c r="BH515" s="66"/>
      <c r="BI515" s="189" t="s">
        <v>1</v>
      </c>
      <c r="BJ515" s="204"/>
    </row>
    <row r="516" spans="2:62" x14ac:dyDescent="0.35">
      <c r="B516" s="126" t="s">
        <v>21</v>
      </c>
      <c r="C516" s="154" t="s">
        <v>5</v>
      </c>
      <c r="D516" s="124" t="s">
        <v>306</v>
      </c>
      <c r="E516" s="124" t="s">
        <v>307</v>
      </c>
      <c r="F516" s="144">
        <v>1031955</v>
      </c>
      <c r="G516" s="145" t="s">
        <v>56</v>
      </c>
      <c r="H516" s="139">
        <v>0</v>
      </c>
      <c r="I516" s="139">
        <v>0</v>
      </c>
      <c r="J516" s="125">
        <v>0</v>
      </c>
      <c r="K516" s="125">
        <v>0</v>
      </c>
      <c r="L516" s="130">
        <v>0</v>
      </c>
      <c r="M516" s="123">
        <v>0</v>
      </c>
      <c r="N516" s="130">
        <v>0</v>
      </c>
      <c r="O516" s="130">
        <v>0</v>
      </c>
      <c r="P516" s="123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125">
        <v>0</v>
      </c>
      <c r="Y516" s="125" t="s">
        <v>574</v>
      </c>
      <c r="Z516" s="125"/>
      <c r="AA516" s="112">
        <v>0</v>
      </c>
      <c r="AB516" s="112">
        <v>0</v>
      </c>
      <c r="AC516" s="8"/>
      <c r="AD516" s="67"/>
      <c r="AE516" s="66">
        <v>11.830871794871795</v>
      </c>
      <c r="AF516" s="66"/>
      <c r="AG516" s="66"/>
      <c r="AH516" s="66"/>
      <c r="AI516" s="66"/>
      <c r="AJ516" s="66"/>
      <c r="AK516" s="66"/>
      <c r="AL516" s="66"/>
      <c r="AM516" s="66"/>
      <c r="AN516" s="66"/>
      <c r="AO516" s="66"/>
      <c r="AP516" s="66"/>
      <c r="AQ516" s="66"/>
      <c r="AR516" s="66"/>
      <c r="AS516" s="66"/>
      <c r="AT516" s="66"/>
      <c r="AU516" s="66"/>
      <c r="AV516" s="66"/>
      <c r="AW516" s="66"/>
      <c r="AX516" s="66"/>
      <c r="AY516" s="66"/>
      <c r="AZ516" s="66"/>
      <c r="BA516" s="66"/>
      <c r="BB516" s="66"/>
      <c r="BC516" s="66"/>
      <c r="BD516" s="66"/>
      <c r="BE516" s="66"/>
      <c r="BF516" s="66"/>
      <c r="BG516" s="66"/>
      <c r="BH516" s="66"/>
      <c r="BI516" s="188" t="s">
        <v>1</v>
      </c>
      <c r="BJ516" s="204"/>
    </row>
    <row r="517" spans="2:62" x14ac:dyDescent="0.35">
      <c r="B517" s="126" t="s">
        <v>21</v>
      </c>
      <c r="C517" s="154" t="s">
        <v>5</v>
      </c>
      <c r="D517" s="124" t="s">
        <v>396</v>
      </c>
      <c r="E517" s="124" t="s">
        <v>307</v>
      </c>
      <c r="F517" s="155">
        <v>1062713</v>
      </c>
      <c r="G517" s="156" t="s">
        <v>443</v>
      </c>
      <c r="H517" s="139">
        <v>0</v>
      </c>
      <c r="I517" s="139">
        <v>0</v>
      </c>
      <c r="J517" s="125">
        <v>0</v>
      </c>
      <c r="K517" s="125">
        <v>2</v>
      </c>
      <c r="L517" s="130">
        <v>0.4</v>
      </c>
      <c r="M517" s="123">
        <v>0</v>
      </c>
      <c r="N517" s="130">
        <v>0.4</v>
      </c>
      <c r="O517" s="130">
        <v>0</v>
      </c>
      <c r="P517" s="123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125">
        <v>0</v>
      </c>
      <c r="Y517" s="125" t="s">
        <v>574</v>
      </c>
      <c r="Z517" s="125"/>
      <c r="AA517" s="112">
        <v>0</v>
      </c>
      <c r="AB517" s="112">
        <v>0</v>
      </c>
      <c r="AC517" s="8"/>
      <c r="AD517" s="67"/>
      <c r="AE517" s="66" t="s">
        <v>574</v>
      </c>
      <c r="AF517" s="66"/>
      <c r="AG517" s="66"/>
      <c r="AH517" s="66"/>
      <c r="AI517" s="66"/>
      <c r="AJ517" s="66"/>
      <c r="AK517" s="66"/>
      <c r="AL517" s="66"/>
      <c r="AM517" s="66"/>
      <c r="AN517" s="66"/>
      <c r="AO517" s="66"/>
      <c r="AP517" s="66"/>
      <c r="AQ517" s="66"/>
      <c r="AR517" s="66"/>
      <c r="AS517" s="66"/>
      <c r="AT517" s="66"/>
      <c r="AU517" s="66"/>
      <c r="AV517" s="66"/>
      <c r="AW517" s="66"/>
      <c r="AX517" s="66"/>
      <c r="AY517" s="66"/>
      <c r="AZ517" s="66"/>
      <c r="BA517" s="66"/>
      <c r="BB517" s="66"/>
      <c r="BC517" s="66"/>
      <c r="BD517" s="66"/>
      <c r="BE517" s="66"/>
      <c r="BF517" s="66"/>
      <c r="BG517" s="66"/>
      <c r="BH517" s="66"/>
      <c r="BI517" s="189" t="s">
        <v>1</v>
      </c>
      <c r="BJ517" s="204"/>
    </row>
    <row r="518" spans="2:62" x14ac:dyDescent="0.35">
      <c r="B518" s="126" t="s">
        <v>21</v>
      </c>
      <c r="C518" s="154" t="s">
        <v>5</v>
      </c>
      <c r="D518" s="124" t="s">
        <v>396</v>
      </c>
      <c r="E518" s="124" t="s">
        <v>307</v>
      </c>
      <c r="F518" s="155">
        <v>1049641</v>
      </c>
      <c r="G518" s="156" t="s">
        <v>142</v>
      </c>
      <c r="H518" s="139">
        <v>0</v>
      </c>
      <c r="I518" s="139">
        <v>0</v>
      </c>
      <c r="J518" s="125">
        <v>0</v>
      </c>
      <c r="K518" s="125">
        <v>0</v>
      </c>
      <c r="L518" s="130">
        <v>0</v>
      </c>
      <c r="M518" s="123">
        <v>0</v>
      </c>
      <c r="N518" s="130">
        <v>0</v>
      </c>
      <c r="O518" s="130">
        <v>0</v>
      </c>
      <c r="P518" s="123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125">
        <v>0</v>
      </c>
      <c r="Y518" s="125" t="s">
        <v>574</v>
      </c>
      <c r="Z518" s="125"/>
      <c r="AA518" s="112">
        <v>0</v>
      </c>
      <c r="AB518" s="112">
        <v>0</v>
      </c>
      <c r="AC518" s="8"/>
      <c r="AD518" s="109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  <c r="AO518" s="66"/>
      <c r="AP518" s="66"/>
      <c r="AQ518" s="66"/>
      <c r="AR518" s="66"/>
      <c r="AS518" s="66"/>
      <c r="AT518" s="66"/>
      <c r="AU518" s="66"/>
      <c r="AV518" s="66"/>
      <c r="AW518" s="66"/>
      <c r="AX518" s="66"/>
      <c r="AY518" s="66"/>
      <c r="AZ518" s="66"/>
      <c r="BA518" s="66"/>
      <c r="BB518" s="66"/>
      <c r="BC518" s="66"/>
      <c r="BD518" s="66"/>
      <c r="BE518" s="66"/>
      <c r="BF518" s="66"/>
      <c r="BG518" s="66"/>
      <c r="BH518" s="66"/>
      <c r="BI518" s="188" t="s">
        <v>1</v>
      </c>
      <c r="BJ518" s="204"/>
    </row>
    <row r="519" spans="2:62" x14ac:dyDescent="0.35">
      <c r="B519" s="126" t="s">
        <v>1</v>
      </c>
      <c r="C519" s="154" t="s">
        <v>5</v>
      </c>
      <c r="D519" s="124" t="s">
        <v>396</v>
      </c>
      <c r="E519" s="124" t="s">
        <v>397</v>
      </c>
      <c r="F519" s="155">
        <v>1044033</v>
      </c>
      <c r="G519" s="156" t="s">
        <v>48</v>
      </c>
      <c r="H519" s="139">
        <v>0</v>
      </c>
      <c r="I519" s="139">
        <v>0</v>
      </c>
      <c r="J519" s="125">
        <v>0</v>
      </c>
      <c r="K519" s="125">
        <v>0</v>
      </c>
      <c r="L519" s="130">
        <v>0</v>
      </c>
      <c r="M519" s="123">
        <v>0</v>
      </c>
      <c r="N519" s="130">
        <v>0</v>
      </c>
      <c r="O519" s="130">
        <v>0</v>
      </c>
      <c r="P519" s="123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125">
        <v>0</v>
      </c>
      <c r="Y519" s="125" t="s">
        <v>574</v>
      </c>
      <c r="Z519" s="125"/>
      <c r="AA519" s="112">
        <v>0</v>
      </c>
      <c r="AB519" s="112">
        <v>0</v>
      </c>
      <c r="AC519" s="8"/>
      <c r="AD519" s="109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  <c r="AO519" s="66"/>
      <c r="AP519" s="66"/>
      <c r="AQ519" s="66"/>
      <c r="AR519" s="66"/>
      <c r="AS519" s="66"/>
      <c r="AT519" s="66"/>
      <c r="AU519" s="66"/>
      <c r="AV519" s="66"/>
      <c r="AW519" s="66"/>
      <c r="AX519" s="66"/>
      <c r="AY519" s="66"/>
      <c r="AZ519" s="66"/>
      <c r="BA519" s="66"/>
      <c r="BB519" s="66"/>
      <c r="BC519" s="66"/>
      <c r="BD519" s="66"/>
      <c r="BE519" s="66"/>
      <c r="BF519" s="66"/>
      <c r="BG519" s="66"/>
      <c r="BH519" s="66"/>
      <c r="BI519" s="189"/>
      <c r="BJ519" s="204"/>
    </row>
    <row r="520" spans="2:62" x14ac:dyDescent="0.35">
      <c r="B520" s="126" t="s">
        <v>1</v>
      </c>
      <c r="C520" s="154" t="s">
        <v>2</v>
      </c>
      <c r="D520" s="124" t="s">
        <v>396</v>
      </c>
      <c r="E520" s="124" t="s">
        <v>397</v>
      </c>
      <c r="F520" s="155">
        <v>1044034</v>
      </c>
      <c r="G520" s="156" t="s">
        <v>137</v>
      </c>
      <c r="H520" s="139">
        <v>0</v>
      </c>
      <c r="I520" s="139">
        <v>0</v>
      </c>
      <c r="J520" s="125">
        <v>0</v>
      </c>
      <c r="K520" s="125">
        <v>0</v>
      </c>
      <c r="L520" s="130">
        <v>0</v>
      </c>
      <c r="M520" s="123">
        <v>0</v>
      </c>
      <c r="N520" s="130">
        <v>0</v>
      </c>
      <c r="O520" s="130">
        <v>0</v>
      </c>
      <c r="P520" s="123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125">
        <v>0</v>
      </c>
      <c r="Y520" s="125" t="s">
        <v>574</v>
      </c>
      <c r="Z520" s="125"/>
      <c r="AA520" s="112">
        <v>0</v>
      </c>
      <c r="AB520" s="112">
        <v>0</v>
      </c>
      <c r="AC520" s="8"/>
      <c r="AD520" s="109"/>
      <c r="AE520" s="66" t="s">
        <v>574</v>
      </c>
      <c r="AF520" s="66"/>
      <c r="AG520" s="66"/>
      <c r="AH520" s="66"/>
      <c r="AI520" s="66"/>
      <c r="AJ520" s="66"/>
      <c r="AK520" s="66"/>
      <c r="AL520" s="66"/>
      <c r="AM520" s="66"/>
      <c r="AN520" s="66"/>
      <c r="AO520" s="66"/>
      <c r="AP520" s="66"/>
      <c r="AQ520" s="66"/>
      <c r="AR520" s="66"/>
      <c r="AS520" s="66"/>
      <c r="AT520" s="66"/>
      <c r="AU520" s="66"/>
      <c r="AV520" s="66"/>
      <c r="AW520" s="66"/>
      <c r="AX520" s="66"/>
      <c r="AY520" s="66"/>
      <c r="AZ520" s="66"/>
      <c r="BA520" s="66"/>
      <c r="BB520" s="66"/>
      <c r="BC520" s="66"/>
      <c r="BD520" s="66"/>
      <c r="BE520" s="66"/>
      <c r="BF520" s="66"/>
      <c r="BG520" s="66"/>
      <c r="BH520" s="66"/>
      <c r="BI520" s="189" t="s">
        <v>1</v>
      </c>
      <c r="BJ520" s="204"/>
    </row>
    <row r="521" spans="2:62" x14ac:dyDescent="0.35">
      <c r="B521" s="126" t="s">
        <v>9</v>
      </c>
      <c r="C521" s="154" t="s">
        <v>5</v>
      </c>
      <c r="D521" s="124" t="s">
        <v>308</v>
      </c>
      <c r="E521" s="124" t="s">
        <v>315</v>
      </c>
      <c r="F521" s="155">
        <v>1057892</v>
      </c>
      <c r="G521" s="156" t="s">
        <v>270</v>
      </c>
      <c r="H521" s="139">
        <v>0</v>
      </c>
      <c r="I521" s="139">
        <v>0</v>
      </c>
      <c r="J521" s="125">
        <v>0</v>
      </c>
      <c r="K521" s="125">
        <v>0</v>
      </c>
      <c r="L521" s="130">
        <v>0</v>
      </c>
      <c r="M521" s="123">
        <v>0</v>
      </c>
      <c r="N521" s="130">
        <v>0</v>
      </c>
      <c r="O521" s="130">
        <v>0</v>
      </c>
      <c r="P521" s="123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125">
        <v>0</v>
      </c>
      <c r="Y521" s="125" t="s">
        <v>574</v>
      </c>
      <c r="Z521" s="125"/>
      <c r="AA521" s="112">
        <v>0</v>
      </c>
      <c r="AB521" s="112">
        <v>0</v>
      </c>
      <c r="AC521" s="8"/>
      <c r="AD521" s="109"/>
      <c r="AE521" s="66">
        <v>26.66123047717663</v>
      </c>
      <c r="AF521" s="66"/>
      <c r="AG521" s="66"/>
      <c r="AH521" s="66"/>
      <c r="AI521" s="66"/>
      <c r="AJ521" s="66"/>
      <c r="AK521" s="66"/>
      <c r="AL521" s="66"/>
      <c r="AM521" s="66"/>
      <c r="AN521" s="66"/>
      <c r="AO521" s="66"/>
      <c r="AP521" s="66"/>
      <c r="AQ521" s="66"/>
      <c r="AR521" s="66"/>
      <c r="AS521" s="66"/>
      <c r="AT521" s="66"/>
      <c r="AU521" s="66"/>
      <c r="AV521" s="66"/>
      <c r="AW521" s="66"/>
      <c r="AX521" s="66"/>
      <c r="AY521" s="66"/>
      <c r="AZ521" s="66"/>
      <c r="BA521" s="66"/>
      <c r="BB521" s="66"/>
      <c r="BC521" s="66"/>
      <c r="BD521" s="66"/>
      <c r="BE521" s="66"/>
      <c r="BF521" s="66"/>
      <c r="BG521" s="66"/>
      <c r="BH521" s="66"/>
      <c r="BI521" s="189" t="s">
        <v>1</v>
      </c>
      <c r="BJ521" s="204"/>
    </row>
    <row r="522" spans="2:62" x14ac:dyDescent="0.35">
      <c r="B522" s="126" t="s">
        <v>9</v>
      </c>
      <c r="C522" s="154" t="s">
        <v>5</v>
      </c>
      <c r="D522" s="124" t="s">
        <v>308</v>
      </c>
      <c r="E522" s="124" t="s">
        <v>315</v>
      </c>
      <c r="F522" s="155">
        <v>1065133</v>
      </c>
      <c r="G522" s="156" t="s">
        <v>527</v>
      </c>
      <c r="H522" s="139">
        <v>0</v>
      </c>
      <c r="I522" s="139">
        <v>0</v>
      </c>
      <c r="J522" s="125">
        <v>0</v>
      </c>
      <c r="K522" s="125">
        <v>0</v>
      </c>
      <c r="L522" s="130">
        <v>0</v>
      </c>
      <c r="M522" s="123">
        <v>0</v>
      </c>
      <c r="N522" s="130">
        <v>0</v>
      </c>
      <c r="O522" s="130">
        <v>0</v>
      </c>
      <c r="P522" s="123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125">
        <v>0</v>
      </c>
      <c r="Y522" s="125" t="s">
        <v>574</v>
      </c>
      <c r="Z522" s="125"/>
      <c r="AA522" s="112">
        <v>0</v>
      </c>
      <c r="AB522" s="112">
        <v>0</v>
      </c>
      <c r="AC522" s="8"/>
      <c r="AD522" s="109"/>
      <c r="AE522" s="66" t="s">
        <v>574</v>
      </c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  <c r="AP522" s="66"/>
      <c r="AQ522" s="66"/>
      <c r="AR522" s="66"/>
      <c r="AS522" s="66"/>
      <c r="AT522" s="66"/>
      <c r="AU522" s="66"/>
      <c r="AV522" s="66"/>
      <c r="AW522" s="66"/>
      <c r="AX522" s="66"/>
      <c r="AY522" s="66"/>
      <c r="AZ522" s="66"/>
      <c r="BA522" s="66"/>
      <c r="BB522" s="66"/>
      <c r="BC522" s="66"/>
      <c r="BD522" s="66"/>
      <c r="BE522" s="66"/>
      <c r="BF522" s="66"/>
      <c r="BG522" s="66"/>
      <c r="BH522" s="66"/>
      <c r="BI522" s="189" t="s">
        <v>1</v>
      </c>
      <c r="BJ522" s="204"/>
    </row>
    <row r="523" spans="2:62" x14ac:dyDescent="0.35">
      <c r="B523" s="126" t="s">
        <v>9</v>
      </c>
      <c r="C523" s="154" t="s">
        <v>5</v>
      </c>
      <c r="D523" s="124" t="s">
        <v>308</v>
      </c>
      <c r="E523" s="124" t="s">
        <v>315</v>
      </c>
      <c r="F523" s="128">
        <v>1047159</v>
      </c>
      <c r="G523" s="129" t="s">
        <v>118</v>
      </c>
      <c r="H523" s="139">
        <v>0</v>
      </c>
      <c r="I523" s="139">
        <v>0</v>
      </c>
      <c r="J523" s="125">
        <v>0</v>
      </c>
      <c r="K523" s="125">
        <v>0</v>
      </c>
      <c r="L523" s="130">
        <v>0</v>
      </c>
      <c r="M523" s="123">
        <v>0</v>
      </c>
      <c r="N523" s="130">
        <v>0</v>
      </c>
      <c r="O523" s="130">
        <v>0</v>
      </c>
      <c r="P523" s="123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125">
        <v>0</v>
      </c>
      <c r="Y523" s="125" t="s">
        <v>574</v>
      </c>
      <c r="Z523" s="125"/>
      <c r="AA523" s="112">
        <v>0</v>
      </c>
      <c r="AB523" s="112">
        <v>0</v>
      </c>
      <c r="AC523" s="8"/>
      <c r="AD523" s="109"/>
      <c r="AE523" s="66" t="s">
        <v>574</v>
      </c>
      <c r="AF523" s="66"/>
      <c r="AG523" s="66"/>
      <c r="AH523" s="66"/>
      <c r="AI523" s="66"/>
      <c r="AJ523" s="66"/>
      <c r="AK523" s="66"/>
      <c r="AL523" s="66"/>
      <c r="AM523" s="66"/>
      <c r="AN523" s="66"/>
      <c r="AO523" s="66"/>
      <c r="AP523" s="66"/>
      <c r="AQ523" s="66"/>
      <c r="AR523" s="66"/>
      <c r="AS523" s="66"/>
      <c r="AT523" s="66"/>
      <c r="AU523" s="66"/>
      <c r="AV523" s="66"/>
      <c r="AW523" s="66"/>
      <c r="AX523" s="66"/>
      <c r="AY523" s="66"/>
      <c r="AZ523" s="66"/>
      <c r="BA523" s="66"/>
      <c r="BB523" s="66"/>
      <c r="BC523" s="66"/>
      <c r="BD523" s="66"/>
      <c r="BE523" s="66"/>
      <c r="BF523" s="66"/>
      <c r="BG523" s="66"/>
      <c r="BH523" s="66"/>
      <c r="BI523" s="189" t="s">
        <v>1</v>
      </c>
      <c r="BJ523" s="204"/>
    </row>
    <row r="524" spans="2:62" x14ac:dyDescent="0.35">
      <c r="B524" s="126" t="s">
        <v>1</v>
      </c>
      <c r="C524" s="154" t="s">
        <v>50</v>
      </c>
      <c r="D524" s="124" t="s">
        <v>316</v>
      </c>
      <c r="E524" s="124" t="s">
        <v>408</v>
      </c>
      <c r="F524" s="128">
        <v>1060742</v>
      </c>
      <c r="G524" s="129" t="s">
        <v>427</v>
      </c>
      <c r="H524" s="139">
        <v>0</v>
      </c>
      <c r="I524" s="139">
        <v>0</v>
      </c>
      <c r="J524" s="125">
        <v>0</v>
      </c>
      <c r="K524" s="125">
        <v>6</v>
      </c>
      <c r="L524" s="130">
        <v>1.7999999999999998</v>
      </c>
      <c r="M524" s="123">
        <v>0</v>
      </c>
      <c r="N524" s="130">
        <v>1.7999999999999998</v>
      </c>
      <c r="O524" s="130">
        <v>0</v>
      </c>
      <c r="P524" s="123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125">
        <v>0</v>
      </c>
      <c r="Y524" s="125" t="s">
        <v>574</v>
      </c>
      <c r="Z524" s="125"/>
      <c r="AA524" s="112">
        <v>0</v>
      </c>
      <c r="AB524" s="112">
        <v>0</v>
      </c>
      <c r="AC524" s="8"/>
      <c r="AD524" s="109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 s="66"/>
      <c r="AP524" s="66"/>
      <c r="AQ524" s="66"/>
      <c r="AR524" s="66"/>
      <c r="AS524" s="66"/>
      <c r="AT524" s="66"/>
      <c r="AU524" s="66"/>
      <c r="AV524" s="66"/>
      <c r="AW524" s="66"/>
      <c r="AX524" s="66"/>
      <c r="AY524" s="66"/>
      <c r="AZ524" s="66"/>
      <c r="BA524" s="66"/>
      <c r="BB524" s="66"/>
      <c r="BC524" s="66"/>
      <c r="BD524" s="66"/>
      <c r="BE524" s="66"/>
      <c r="BF524" s="66"/>
      <c r="BG524" s="66"/>
      <c r="BH524" s="66"/>
      <c r="BI524" s="188" t="s">
        <v>1</v>
      </c>
      <c r="BJ524" s="204"/>
    </row>
    <row r="525" spans="2:62" x14ac:dyDescent="0.35">
      <c r="B525" s="126" t="s">
        <v>1</v>
      </c>
      <c r="C525" s="154" t="s">
        <v>50</v>
      </c>
      <c r="D525" s="124" t="s">
        <v>316</v>
      </c>
      <c r="E525" s="124" t="s">
        <v>408</v>
      </c>
      <c r="F525" s="128">
        <v>1068588</v>
      </c>
      <c r="G525" s="129" t="s">
        <v>581</v>
      </c>
      <c r="H525" s="139">
        <v>0</v>
      </c>
      <c r="I525" s="139">
        <v>0</v>
      </c>
      <c r="J525" s="125">
        <v>0</v>
      </c>
      <c r="K525" s="125">
        <v>0</v>
      </c>
      <c r="L525" s="130">
        <v>0</v>
      </c>
      <c r="M525" s="123">
        <v>0</v>
      </c>
      <c r="N525" s="130">
        <v>0</v>
      </c>
      <c r="O525" s="130">
        <v>0</v>
      </c>
      <c r="P525" s="123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125">
        <v>0</v>
      </c>
      <c r="Y525" s="125" t="s">
        <v>574</v>
      </c>
      <c r="Z525" s="125"/>
      <c r="AA525" s="112">
        <v>0</v>
      </c>
      <c r="AB525" s="112">
        <v>0</v>
      </c>
      <c r="AC525" s="8"/>
      <c r="AD525" s="109"/>
      <c r="AE525" s="66" t="s">
        <v>574</v>
      </c>
      <c r="AF525" s="66"/>
      <c r="AG525" s="66"/>
      <c r="AH525" s="66"/>
      <c r="AI525" s="66"/>
      <c r="AJ525" s="66"/>
      <c r="AK525" s="66"/>
      <c r="AL525" s="66"/>
      <c r="AM525" s="66"/>
      <c r="AN525" s="66"/>
      <c r="AO525" s="66"/>
      <c r="AP525" s="66"/>
      <c r="AQ525" s="66"/>
      <c r="AR525" s="66"/>
      <c r="AS525" s="66"/>
      <c r="AT525" s="66"/>
      <c r="AU525" s="66"/>
      <c r="AV525" s="66"/>
      <c r="AW525" s="66"/>
      <c r="AX525" s="66"/>
      <c r="AY525" s="66"/>
      <c r="AZ525" s="66"/>
      <c r="BA525" s="66"/>
      <c r="BB525" s="66"/>
      <c r="BC525" s="66"/>
      <c r="BD525" s="66"/>
      <c r="BE525" s="66"/>
      <c r="BF525" s="66"/>
      <c r="BG525" s="66"/>
      <c r="BH525" s="66"/>
      <c r="BI525" s="189" t="s">
        <v>1</v>
      </c>
      <c r="BJ525" s="204"/>
    </row>
    <row r="526" spans="2:62" x14ac:dyDescent="0.35">
      <c r="B526" s="126" t="s">
        <v>1</v>
      </c>
      <c r="C526" s="154" t="s">
        <v>24</v>
      </c>
      <c r="D526" s="124" t="s">
        <v>316</v>
      </c>
      <c r="E526" s="124" t="s">
        <v>317</v>
      </c>
      <c r="F526" s="128">
        <v>1053201</v>
      </c>
      <c r="G526" s="129" t="s">
        <v>264</v>
      </c>
      <c r="H526" s="139">
        <v>0</v>
      </c>
      <c r="I526" s="139">
        <v>0</v>
      </c>
      <c r="J526" s="125">
        <v>0</v>
      </c>
      <c r="K526" s="125">
        <v>0</v>
      </c>
      <c r="L526" s="130">
        <v>0</v>
      </c>
      <c r="M526" s="123">
        <v>0</v>
      </c>
      <c r="N526" s="130">
        <v>0</v>
      </c>
      <c r="O526" s="130">
        <v>0</v>
      </c>
      <c r="P526" s="123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125">
        <v>0</v>
      </c>
      <c r="Y526" s="125" t="s">
        <v>574</v>
      </c>
      <c r="Z526" s="125"/>
      <c r="AA526" s="112">
        <v>0</v>
      </c>
      <c r="AB526" s="112">
        <v>0</v>
      </c>
      <c r="AC526" s="8"/>
      <c r="AD526" s="67"/>
      <c r="AE526" s="66" t="s">
        <v>574</v>
      </c>
      <c r="AF526" s="66"/>
      <c r="AG526" s="66"/>
      <c r="AH526" s="66"/>
      <c r="AI526" s="66"/>
      <c r="AJ526" s="66"/>
      <c r="AK526" s="66"/>
      <c r="AL526" s="66"/>
      <c r="AM526" s="66"/>
      <c r="AN526" s="66"/>
      <c r="AO526" s="66"/>
      <c r="AP526" s="66"/>
      <c r="AQ526" s="66"/>
      <c r="AR526" s="66"/>
      <c r="AS526" s="66"/>
      <c r="AT526" s="66"/>
      <c r="AU526" s="66"/>
      <c r="AV526" s="66"/>
      <c r="AW526" s="66"/>
      <c r="AX526" s="66"/>
      <c r="AY526" s="66"/>
      <c r="AZ526" s="66"/>
      <c r="BA526" s="66"/>
      <c r="BB526" s="66"/>
      <c r="BC526" s="66"/>
      <c r="BD526" s="66"/>
      <c r="BE526" s="66"/>
      <c r="BF526" s="66"/>
      <c r="BG526" s="66"/>
      <c r="BH526" s="66"/>
      <c r="BI526" s="189" t="s">
        <v>1</v>
      </c>
      <c r="BJ526" s="204"/>
    </row>
    <row r="527" spans="2:62" x14ac:dyDescent="0.35">
      <c r="B527" s="126" t="s">
        <v>1</v>
      </c>
      <c r="C527" s="154" t="s">
        <v>24</v>
      </c>
      <c r="D527" s="124" t="s">
        <v>316</v>
      </c>
      <c r="E527" s="124" t="s">
        <v>317</v>
      </c>
      <c r="F527" s="155">
        <v>1053200</v>
      </c>
      <c r="G527" s="156" t="s">
        <v>263</v>
      </c>
      <c r="H527" s="139">
        <v>0</v>
      </c>
      <c r="I527" s="139">
        <v>0</v>
      </c>
      <c r="J527" s="125">
        <v>0</v>
      </c>
      <c r="K527" s="125">
        <v>0</v>
      </c>
      <c r="L527" s="130">
        <v>0</v>
      </c>
      <c r="M527" s="123">
        <v>0</v>
      </c>
      <c r="N527" s="130">
        <v>0</v>
      </c>
      <c r="O527" s="130">
        <v>0</v>
      </c>
      <c r="P527" s="123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125">
        <v>0</v>
      </c>
      <c r="Y527" s="125" t="s">
        <v>574</v>
      </c>
      <c r="Z527" s="125"/>
      <c r="AA527" s="112">
        <v>0</v>
      </c>
      <c r="AB527" s="112">
        <v>0</v>
      </c>
      <c r="AC527" s="8"/>
      <c r="AD527" s="109"/>
      <c r="AE527" s="66" t="s">
        <v>574</v>
      </c>
      <c r="AF527" s="66"/>
      <c r="AG527" s="66"/>
      <c r="AH527" s="66"/>
      <c r="AI527" s="66"/>
      <c r="AJ527" s="66"/>
      <c r="AK527" s="66"/>
      <c r="AL527" s="66"/>
      <c r="AM527" s="66"/>
      <c r="AN527" s="66"/>
      <c r="AO527" s="66"/>
      <c r="AP527" s="66"/>
      <c r="AQ527" s="66"/>
      <c r="AR527" s="66"/>
      <c r="AS527" s="66"/>
      <c r="AT527" s="66"/>
      <c r="AU527" s="66"/>
      <c r="AV527" s="66"/>
      <c r="AW527" s="66"/>
      <c r="AX527" s="66"/>
      <c r="AY527" s="66"/>
      <c r="AZ527" s="66"/>
      <c r="BA527" s="66"/>
      <c r="BB527" s="66"/>
      <c r="BC527" s="66"/>
      <c r="BD527" s="66"/>
      <c r="BE527" s="66"/>
      <c r="BF527" s="66"/>
      <c r="BG527" s="66"/>
      <c r="BH527" s="66"/>
      <c r="BI527" s="189" t="s">
        <v>1</v>
      </c>
      <c r="BJ527" s="204"/>
    </row>
    <row r="528" spans="2:62" x14ac:dyDescent="0.35">
      <c r="B528" s="126" t="s">
        <v>1</v>
      </c>
      <c r="C528" s="154" t="s">
        <v>24</v>
      </c>
      <c r="D528" s="124" t="s">
        <v>316</v>
      </c>
      <c r="E528" s="124" t="s">
        <v>317</v>
      </c>
      <c r="F528" s="155">
        <v>1053202</v>
      </c>
      <c r="G528" s="156" t="s">
        <v>498</v>
      </c>
      <c r="H528" s="139">
        <v>0</v>
      </c>
      <c r="I528" s="139">
        <v>0</v>
      </c>
      <c r="J528" s="125">
        <v>0</v>
      </c>
      <c r="K528" s="125">
        <v>0</v>
      </c>
      <c r="L528" s="130">
        <v>0</v>
      </c>
      <c r="M528" s="123">
        <v>0</v>
      </c>
      <c r="N528" s="130">
        <v>0</v>
      </c>
      <c r="O528" s="130">
        <v>0</v>
      </c>
      <c r="P528" s="123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125">
        <v>0</v>
      </c>
      <c r="Y528" s="125" t="s">
        <v>574</v>
      </c>
      <c r="Z528" s="125"/>
      <c r="AA528" s="112">
        <v>0</v>
      </c>
      <c r="AB528" s="112">
        <v>0</v>
      </c>
      <c r="AC528" s="8"/>
      <c r="AD528" s="109"/>
      <c r="AE528" s="66" t="s">
        <v>574</v>
      </c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  <c r="AQ528" s="66"/>
      <c r="AR528" s="66"/>
      <c r="AS528" s="66"/>
      <c r="AT528" s="66"/>
      <c r="AU528" s="66"/>
      <c r="AV528" s="66"/>
      <c r="AW528" s="66"/>
      <c r="AX528" s="66"/>
      <c r="AY528" s="66"/>
      <c r="AZ528" s="66"/>
      <c r="BA528" s="66"/>
      <c r="BB528" s="66"/>
      <c r="BC528" s="66"/>
      <c r="BD528" s="66"/>
      <c r="BE528" s="66"/>
      <c r="BF528" s="66"/>
      <c r="BG528" s="66"/>
      <c r="BH528" s="66"/>
      <c r="BI528" s="189" t="s">
        <v>1</v>
      </c>
      <c r="BJ528" s="204"/>
    </row>
    <row r="529" spans="2:62" x14ac:dyDescent="0.35">
      <c r="B529" s="126" t="s">
        <v>1</v>
      </c>
      <c r="C529" s="5" t="s">
        <v>24</v>
      </c>
      <c r="D529" s="124" t="s">
        <v>316</v>
      </c>
      <c r="E529" s="166" t="s">
        <v>317</v>
      </c>
      <c r="F529" s="172">
        <v>1053203</v>
      </c>
      <c r="G529" s="173" t="s">
        <v>499</v>
      </c>
      <c r="H529" s="139">
        <v>0</v>
      </c>
      <c r="I529" s="139">
        <v>0</v>
      </c>
      <c r="J529" s="125">
        <v>0</v>
      </c>
      <c r="K529" s="125">
        <v>0</v>
      </c>
      <c r="L529" s="130">
        <v>0</v>
      </c>
      <c r="M529" s="123">
        <v>0</v>
      </c>
      <c r="N529" s="130">
        <v>0</v>
      </c>
      <c r="O529" s="130">
        <v>0</v>
      </c>
      <c r="P529" s="123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125">
        <v>0</v>
      </c>
      <c r="Y529" s="125" t="s">
        <v>574</v>
      </c>
      <c r="Z529" s="125"/>
      <c r="AA529" s="112">
        <v>0</v>
      </c>
      <c r="AB529" s="112">
        <v>0</v>
      </c>
      <c r="AC529" s="8"/>
      <c r="AD529" s="67"/>
      <c r="AE529" s="66" t="s">
        <v>574</v>
      </c>
      <c r="AF529" s="66"/>
      <c r="AG529" s="66"/>
      <c r="AH529" s="66"/>
      <c r="AI529" s="66"/>
      <c r="AJ529" s="66"/>
      <c r="AK529" s="66"/>
      <c r="AL529" s="66"/>
      <c r="AM529" s="66"/>
      <c r="AN529" s="66"/>
      <c r="AO529" s="66"/>
      <c r="AP529" s="66"/>
      <c r="AQ529" s="66"/>
      <c r="AR529" s="66"/>
      <c r="AS529" s="66"/>
      <c r="AT529" s="66"/>
      <c r="AU529" s="66"/>
      <c r="AV529" s="66"/>
      <c r="AW529" s="66"/>
      <c r="AX529" s="66"/>
      <c r="AY529" s="66"/>
      <c r="AZ529" s="66"/>
      <c r="BA529" s="66"/>
      <c r="BB529" s="66"/>
      <c r="BC529" s="66"/>
      <c r="BD529" s="66"/>
      <c r="BE529" s="66"/>
      <c r="BF529" s="66"/>
      <c r="BG529" s="66"/>
      <c r="BH529" s="66"/>
      <c r="BI529" s="189" t="s">
        <v>1</v>
      </c>
      <c r="BJ529" s="204"/>
    </row>
    <row r="530" spans="2:62" x14ac:dyDescent="0.35">
      <c r="B530" s="126" t="s">
        <v>1</v>
      </c>
      <c r="C530" s="5" t="s">
        <v>24</v>
      </c>
      <c r="D530" s="124" t="s">
        <v>316</v>
      </c>
      <c r="E530" s="166" t="s">
        <v>400</v>
      </c>
      <c r="F530" s="121">
        <v>1036842</v>
      </c>
      <c r="G530" s="120" t="s">
        <v>26</v>
      </c>
      <c r="H530" s="139">
        <v>0</v>
      </c>
      <c r="I530" s="139">
        <v>0</v>
      </c>
      <c r="J530" s="125">
        <v>0</v>
      </c>
      <c r="K530" s="125">
        <v>0</v>
      </c>
      <c r="L530" s="130">
        <v>0</v>
      </c>
      <c r="M530" s="123">
        <v>0</v>
      </c>
      <c r="N530" s="130">
        <v>0</v>
      </c>
      <c r="O530" s="130">
        <v>0</v>
      </c>
      <c r="P530" s="123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125">
        <v>0</v>
      </c>
      <c r="Y530" s="125" t="s">
        <v>574</v>
      </c>
      <c r="Z530" s="125"/>
      <c r="AA530" s="112">
        <v>0</v>
      </c>
      <c r="AB530" s="112">
        <v>0</v>
      </c>
      <c r="AC530" s="8"/>
      <c r="AD530" s="109"/>
      <c r="AE530" s="66" t="s">
        <v>574</v>
      </c>
      <c r="AF530" s="66"/>
      <c r="AG530" s="66"/>
      <c r="AH530" s="66"/>
      <c r="AI530" s="66"/>
      <c r="AJ530" s="66"/>
      <c r="AK530" s="66"/>
      <c r="AL530" s="66"/>
      <c r="AM530" s="66"/>
      <c r="AN530" s="66"/>
      <c r="AO530" s="66"/>
      <c r="AP530" s="66"/>
      <c r="AQ530" s="66"/>
      <c r="AR530" s="66"/>
      <c r="AS530" s="66"/>
      <c r="AT530" s="66"/>
      <c r="AU530" s="66"/>
      <c r="AV530" s="66"/>
      <c r="AW530" s="66"/>
      <c r="AX530" s="66"/>
      <c r="AY530" s="66"/>
      <c r="AZ530" s="66"/>
      <c r="BA530" s="66"/>
      <c r="BB530" s="66"/>
      <c r="BC530" s="66"/>
      <c r="BD530" s="66"/>
      <c r="BE530" s="66"/>
      <c r="BF530" s="66"/>
      <c r="BG530" s="66"/>
      <c r="BH530" s="66"/>
      <c r="BI530" s="189" t="s">
        <v>1</v>
      </c>
      <c r="BJ530" s="204"/>
    </row>
    <row r="531" spans="2:62" x14ac:dyDescent="0.35">
      <c r="B531" s="126" t="s">
        <v>1</v>
      </c>
      <c r="C531" s="5" t="s">
        <v>24</v>
      </c>
      <c r="D531" s="124" t="s">
        <v>316</v>
      </c>
      <c r="E531" s="166" t="s">
        <v>400</v>
      </c>
      <c r="F531" s="121">
        <v>1041366</v>
      </c>
      <c r="G531" s="120" t="s">
        <v>173</v>
      </c>
      <c r="H531" s="139">
        <v>0</v>
      </c>
      <c r="I531" s="139">
        <v>0</v>
      </c>
      <c r="J531" s="125">
        <v>0</v>
      </c>
      <c r="K531" s="125">
        <v>0</v>
      </c>
      <c r="L531" s="130">
        <v>0</v>
      </c>
      <c r="M531" s="123">
        <v>0</v>
      </c>
      <c r="N531" s="130">
        <v>0</v>
      </c>
      <c r="O531" s="130">
        <v>0</v>
      </c>
      <c r="P531" s="123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125">
        <v>0</v>
      </c>
      <c r="Y531" s="125" t="s">
        <v>574</v>
      </c>
      <c r="Z531" s="125"/>
      <c r="AA531" s="112">
        <v>0</v>
      </c>
      <c r="AB531" s="112">
        <v>0</v>
      </c>
      <c r="AC531" s="8"/>
      <c r="AD531" s="109"/>
      <c r="AE531" s="66" t="s">
        <v>574</v>
      </c>
      <c r="AF531" s="66"/>
      <c r="AG531" s="66"/>
      <c r="AH531" s="66"/>
      <c r="AI531" s="66"/>
      <c r="AJ531" s="66"/>
      <c r="AK531" s="66"/>
      <c r="AL531" s="66"/>
      <c r="AM531" s="66"/>
      <c r="AN531" s="66"/>
      <c r="AO531" s="66"/>
      <c r="AP531" s="66"/>
      <c r="AQ531" s="66"/>
      <c r="AR531" s="66"/>
      <c r="AS531" s="66"/>
      <c r="AT531" s="66"/>
      <c r="AU531" s="66"/>
      <c r="AV531" s="66"/>
      <c r="AW531" s="66"/>
      <c r="AX531" s="66"/>
      <c r="AY531" s="66"/>
      <c r="AZ531" s="66"/>
      <c r="BA531" s="66"/>
      <c r="BB531" s="66"/>
      <c r="BC531" s="66"/>
      <c r="BD531" s="66"/>
      <c r="BE531" s="66"/>
      <c r="BF531" s="66"/>
      <c r="BG531" s="66"/>
      <c r="BH531" s="66"/>
      <c r="BI531" s="189" t="s">
        <v>1</v>
      </c>
      <c r="BJ531" s="204"/>
    </row>
    <row r="532" spans="2:62" x14ac:dyDescent="0.35">
      <c r="B532" s="126" t="s">
        <v>1</v>
      </c>
      <c r="C532" s="5" t="s">
        <v>24</v>
      </c>
      <c r="D532" s="124" t="s">
        <v>316</v>
      </c>
      <c r="E532" s="166" t="s">
        <v>317</v>
      </c>
      <c r="F532" s="121">
        <v>1032133</v>
      </c>
      <c r="G532" s="120" t="s">
        <v>281</v>
      </c>
      <c r="H532" s="139">
        <v>0</v>
      </c>
      <c r="I532" s="139">
        <v>0</v>
      </c>
      <c r="J532" s="125">
        <v>0</v>
      </c>
      <c r="K532" s="125">
        <v>0</v>
      </c>
      <c r="L532" s="130">
        <v>0</v>
      </c>
      <c r="M532" s="123">
        <v>0</v>
      </c>
      <c r="N532" s="130">
        <v>0</v>
      </c>
      <c r="O532" s="130">
        <v>0</v>
      </c>
      <c r="P532" s="123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125">
        <v>0</v>
      </c>
      <c r="Y532" s="125" t="s">
        <v>574</v>
      </c>
      <c r="Z532" s="125"/>
      <c r="AA532" s="112">
        <v>0</v>
      </c>
      <c r="AB532" s="112">
        <v>0</v>
      </c>
      <c r="AC532" s="8"/>
      <c r="AD532" s="109"/>
      <c r="AE532" s="66">
        <v>37.590918872390787</v>
      </c>
      <c r="AF532" s="66"/>
      <c r="AG532" s="66"/>
      <c r="AH532" s="66"/>
      <c r="AI532" s="66"/>
      <c r="AJ532" s="66"/>
      <c r="AK532" s="66"/>
      <c r="AL532" s="66"/>
      <c r="AM532" s="66"/>
      <c r="AN532" s="66"/>
      <c r="AO532" s="66"/>
      <c r="AP532" s="66"/>
      <c r="AQ532" s="66"/>
      <c r="AR532" s="66"/>
      <c r="AS532" s="66"/>
      <c r="AT532" s="66"/>
      <c r="AU532" s="66"/>
      <c r="AV532" s="66"/>
      <c r="AW532" s="66"/>
      <c r="AX532" s="66"/>
      <c r="AY532" s="66"/>
      <c r="AZ532" s="66"/>
      <c r="BA532" s="66"/>
      <c r="BB532" s="66"/>
      <c r="BC532" s="66"/>
      <c r="BD532" s="66"/>
      <c r="BE532" s="66"/>
      <c r="BF532" s="66"/>
      <c r="BG532" s="66"/>
      <c r="BH532" s="66"/>
      <c r="BI532" s="188" t="s">
        <v>1</v>
      </c>
      <c r="BJ532" s="204"/>
    </row>
    <row r="533" spans="2:62" x14ac:dyDescent="0.35">
      <c r="B533" s="126" t="s">
        <v>1</v>
      </c>
      <c r="C533" s="5" t="s">
        <v>24</v>
      </c>
      <c r="D533" s="124" t="s">
        <v>316</v>
      </c>
      <c r="E533" s="166" t="s">
        <v>317</v>
      </c>
      <c r="F533" s="121">
        <v>1032151</v>
      </c>
      <c r="G533" s="120" t="s">
        <v>449</v>
      </c>
      <c r="H533" s="139">
        <v>0</v>
      </c>
      <c r="I533" s="139">
        <v>0</v>
      </c>
      <c r="J533" s="125">
        <v>0</v>
      </c>
      <c r="K533" s="125">
        <v>0</v>
      </c>
      <c r="L533" s="130">
        <v>0</v>
      </c>
      <c r="M533" s="123">
        <v>0</v>
      </c>
      <c r="N533" s="130">
        <v>0</v>
      </c>
      <c r="O533" s="130">
        <v>0</v>
      </c>
      <c r="P533" s="123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125">
        <v>0</v>
      </c>
      <c r="Y533" s="125" t="s">
        <v>574</v>
      </c>
      <c r="Z533" s="125"/>
      <c r="AA533" s="112">
        <v>0</v>
      </c>
      <c r="AB533" s="112">
        <v>0</v>
      </c>
      <c r="AC533" s="8"/>
      <c r="AD533" s="109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 s="66"/>
      <c r="AP533" s="66"/>
      <c r="AQ533" s="66"/>
      <c r="AR533" s="66"/>
      <c r="AS533" s="66"/>
      <c r="AT533" s="66"/>
      <c r="AU533" s="66"/>
      <c r="AV533" s="66"/>
      <c r="AW533" s="66"/>
      <c r="AX533" s="66"/>
      <c r="AY533" s="66"/>
      <c r="AZ533" s="66"/>
      <c r="BA533" s="66"/>
      <c r="BB533" s="66"/>
      <c r="BC533" s="66"/>
      <c r="BD533" s="66"/>
      <c r="BE533" s="66"/>
      <c r="BF533" s="66"/>
      <c r="BG533" s="66"/>
      <c r="BH533" s="66"/>
      <c r="BI533" s="188" t="s">
        <v>1</v>
      </c>
      <c r="BJ533" s="204"/>
    </row>
    <row r="534" spans="2:62" x14ac:dyDescent="0.35">
      <c r="B534" s="126" t="s">
        <v>1</v>
      </c>
      <c r="C534" s="5" t="s">
        <v>24</v>
      </c>
      <c r="D534" s="124" t="s">
        <v>316</v>
      </c>
      <c r="E534" s="166" t="s">
        <v>317</v>
      </c>
      <c r="F534" s="121">
        <v>1062207</v>
      </c>
      <c r="G534" s="120" t="s">
        <v>451</v>
      </c>
      <c r="H534" s="139">
        <v>0</v>
      </c>
      <c r="I534" s="139">
        <v>0</v>
      </c>
      <c r="J534" s="125">
        <v>0</v>
      </c>
      <c r="K534" s="125">
        <v>0</v>
      </c>
      <c r="L534" s="130">
        <v>0</v>
      </c>
      <c r="M534" s="123">
        <v>0</v>
      </c>
      <c r="N534" s="130">
        <v>0</v>
      </c>
      <c r="O534" s="130">
        <v>0</v>
      </c>
      <c r="P534" s="123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125">
        <v>0</v>
      </c>
      <c r="Y534" s="125" t="s">
        <v>574</v>
      </c>
      <c r="Z534" s="125"/>
      <c r="AA534" s="112">
        <v>0</v>
      </c>
      <c r="AB534" s="112">
        <v>0</v>
      </c>
      <c r="AC534" s="8"/>
      <c r="AD534" s="67"/>
      <c r="AE534" s="66" t="s">
        <v>574</v>
      </c>
      <c r="AF534" s="66"/>
      <c r="AG534" s="66"/>
      <c r="AH534" s="66"/>
      <c r="AI534" s="66"/>
      <c r="AJ534" s="66"/>
      <c r="AK534" s="66"/>
      <c r="AL534" s="66"/>
      <c r="AM534" s="66"/>
      <c r="AN534" s="66"/>
      <c r="AO534" s="66"/>
      <c r="AP534" s="66"/>
      <c r="AQ534" s="66"/>
      <c r="AR534" s="66"/>
      <c r="AS534" s="66"/>
      <c r="AT534" s="66"/>
      <c r="AU534" s="66"/>
      <c r="AV534" s="66"/>
      <c r="AW534" s="66"/>
      <c r="AX534" s="66"/>
      <c r="AY534" s="66"/>
      <c r="AZ534" s="66"/>
      <c r="BA534" s="66"/>
      <c r="BB534" s="66"/>
      <c r="BC534" s="66"/>
      <c r="BD534" s="66"/>
      <c r="BE534" s="66"/>
      <c r="BF534" s="66"/>
      <c r="BG534" s="66"/>
      <c r="BH534" s="66"/>
      <c r="BI534" s="189" t="s">
        <v>1</v>
      </c>
      <c r="BJ534" s="204"/>
    </row>
    <row r="535" spans="2:62" x14ac:dyDescent="0.35">
      <c r="B535" s="126" t="s">
        <v>1</v>
      </c>
      <c r="C535" s="5" t="s">
        <v>24</v>
      </c>
      <c r="D535" s="124" t="s">
        <v>316</v>
      </c>
      <c r="E535" s="166" t="s">
        <v>317</v>
      </c>
      <c r="F535" s="121">
        <v>1032153</v>
      </c>
      <c r="G535" s="120" t="s">
        <v>172</v>
      </c>
      <c r="H535" s="139">
        <v>0</v>
      </c>
      <c r="I535" s="139">
        <v>0</v>
      </c>
      <c r="J535" s="125">
        <v>0</v>
      </c>
      <c r="K535" s="125">
        <v>0</v>
      </c>
      <c r="L535" s="130">
        <v>0</v>
      </c>
      <c r="M535" s="123">
        <v>0</v>
      </c>
      <c r="N535" s="130">
        <v>0</v>
      </c>
      <c r="O535" s="130">
        <v>0</v>
      </c>
      <c r="P535" s="123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125">
        <v>0</v>
      </c>
      <c r="Y535" s="125" t="s">
        <v>574</v>
      </c>
      <c r="Z535" s="125"/>
      <c r="AA535" s="112">
        <v>0</v>
      </c>
      <c r="AB535" s="112">
        <v>0</v>
      </c>
      <c r="AC535" s="8"/>
      <c r="AD535" s="109"/>
      <c r="AE535" s="66">
        <v>8.0700956540970914</v>
      </c>
      <c r="AF535" s="66"/>
      <c r="AG535" s="66"/>
      <c r="AH535" s="66"/>
      <c r="AI535" s="66"/>
      <c r="AJ535" s="66"/>
      <c r="AK535" s="66"/>
      <c r="AL535" s="66"/>
      <c r="AM535" s="66"/>
      <c r="AN535" s="66"/>
      <c r="AO535" s="66"/>
      <c r="AP535" s="66"/>
      <c r="AQ535" s="66"/>
      <c r="AR535" s="66"/>
      <c r="AS535" s="66"/>
      <c r="AT535" s="66"/>
      <c r="AU535" s="66"/>
      <c r="AV535" s="66"/>
      <c r="AW535" s="66"/>
      <c r="AX535" s="66"/>
      <c r="AY535" s="66"/>
      <c r="AZ535" s="66"/>
      <c r="BA535" s="66"/>
      <c r="BB535" s="66"/>
      <c r="BC535" s="66"/>
      <c r="BD535" s="66"/>
      <c r="BE535" s="66"/>
      <c r="BF535" s="66"/>
      <c r="BG535" s="66"/>
      <c r="BH535" s="66"/>
      <c r="BI535" s="188" t="s">
        <v>1</v>
      </c>
      <c r="BJ535" s="204"/>
    </row>
    <row r="536" spans="2:62" x14ac:dyDescent="0.35">
      <c r="B536" s="126" t="s">
        <v>1</v>
      </c>
      <c r="C536" s="5" t="s">
        <v>24</v>
      </c>
      <c r="D536" s="124" t="s">
        <v>316</v>
      </c>
      <c r="E536" s="166" t="s">
        <v>317</v>
      </c>
      <c r="F536" s="121">
        <v>1003535</v>
      </c>
      <c r="G536" s="120" t="s">
        <v>113</v>
      </c>
      <c r="H536" s="139">
        <v>0</v>
      </c>
      <c r="I536" s="139">
        <v>0</v>
      </c>
      <c r="J536" s="125">
        <v>0</v>
      </c>
      <c r="K536" s="125">
        <v>3</v>
      </c>
      <c r="L536" s="130">
        <v>0.15000000000000002</v>
      </c>
      <c r="M536" s="123">
        <v>0</v>
      </c>
      <c r="N536" s="130">
        <v>0.15000000000000002</v>
      </c>
      <c r="O536" s="130">
        <v>0</v>
      </c>
      <c r="P536" s="123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125">
        <v>0</v>
      </c>
      <c r="Y536" s="125" t="s">
        <v>574</v>
      </c>
      <c r="Z536" s="125"/>
      <c r="AA536" s="112">
        <v>0</v>
      </c>
      <c r="AB536" s="112">
        <v>0</v>
      </c>
      <c r="AC536" s="8"/>
      <c r="AD536" s="67"/>
      <c r="AE536" s="66" t="s">
        <v>574</v>
      </c>
      <c r="AF536" s="66"/>
      <c r="AG536" s="66"/>
      <c r="AH536" s="66"/>
      <c r="AI536" s="66"/>
      <c r="AJ536" s="66"/>
      <c r="AK536" s="66"/>
      <c r="AL536" s="66"/>
      <c r="AM536" s="66"/>
      <c r="AN536" s="66"/>
      <c r="AO536" s="66"/>
      <c r="AP536" s="66"/>
      <c r="AQ536" s="66"/>
      <c r="AR536" s="66"/>
      <c r="AS536" s="66"/>
      <c r="AT536" s="66"/>
      <c r="AU536" s="66"/>
      <c r="AV536" s="66"/>
      <c r="AW536" s="66"/>
      <c r="AX536" s="66"/>
      <c r="AY536" s="66"/>
      <c r="AZ536" s="66"/>
      <c r="BA536" s="66"/>
      <c r="BB536" s="66"/>
      <c r="BC536" s="66"/>
      <c r="BD536" s="66"/>
      <c r="BE536" s="66"/>
      <c r="BF536" s="66"/>
      <c r="BG536" s="66"/>
      <c r="BH536" s="66"/>
      <c r="BI536" s="189" t="s">
        <v>1</v>
      </c>
      <c r="BJ536" s="204"/>
    </row>
    <row r="537" spans="2:62" x14ac:dyDescent="0.35">
      <c r="B537" s="126" t="s">
        <v>1</v>
      </c>
      <c r="C537" s="5" t="s">
        <v>24</v>
      </c>
      <c r="D537" s="124" t="s">
        <v>316</v>
      </c>
      <c r="E537" s="166" t="s">
        <v>317</v>
      </c>
      <c r="F537" s="121">
        <v>1003570</v>
      </c>
      <c r="G537" s="120" t="s">
        <v>119</v>
      </c>
      <c r="H537" s="139">
        <v>0</v>
      </c>
      <c r="I537" s="139">
        <v>0</v>
      </c>
      <c r="J537" s="125">
        <v>0</v>
      </c>
      <c r="K537" s="125">
        <v>0</v>
      </c>
      <c r="L537" s="130">
        <v>0</v>
      </c>
      <c r="M537" s="123">
        <v>0</v>
      </c>
      <c r="N537" s="130">
        <v>0</v>
      </c>
      <c r="O537" s="130">
        <v>0</v>
      </c>
      <c r="P537" s="123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125">
        <v>0</v>
      </c>
      <c r="Y537" s="125" t="s">
        <v>574</v>
      </c>
      <c r="Z537" s="125"/>
      <c r="AA537" s="112">
        <v>0</v>
      </c>
      <c r="AB537" s="112">
        <v>0</v>
      </c>
      <c r="AC537" s="8"/>
      <c r="AD537" s="109"/>
      <c r="AE537" s="66">
        <v>20.282333051563818</v>
      </c>
      <c r="AF537" s="66"/>
      <c r="AG537" s="66"/>
      <c r="AH537" s="66"/>
      <c r="AI537" s="66"/>
      <c r="AJ537" s="66"/>
      <c r="AK537" s="66"/>
      <c r="AL537" s="66"/>
      <c r="AM537" s="66"/>
      <c r="AN537" s="66"/>
      <c r="AO537" s="66"/>
      <c r="AP537" s="66"/>
      <c r="AQ537" s="66"/>
      <c r="AR537" s="66"/>
      <c r="AS537" s="66"/>
      <c r="AT537" s="66"/>
      <c r="AU537" s="66"/>
      <c r="AV537" s="66"/>
      <c r="AW537" s="66"/>
      <c r="AX537" s="66"/>
      <c r="AY537" s="66"/>
      <c r="AZ537" s="66"/>
      <c r="BA537" s="66"/>
      <c r="BB537" s="66"/>
      <c r="BC537" s="66"/>
      <c r="BD537" s="66"/>
      <c r="BE537" s="66"/>
      <c r="BF537" s="66"/>
      <c r="BG537" s="66"/>
      <c r="BH537" s="66"/>
      <c r="BI537" s="188" t="s">
        <v>1</v>
      </c>
      <c r="BJ537" s="204"/>
    </row>
    <row r="538" spans="2:62" x14ac:dyDescent="0.35">
      <c r="B538" s="126" t="s">
        <v>1</v>
      </c>
      <c r="C538" s="5" t="s">
        <v>24</v>
      </c>
      <c r="D538" s="124" t="s">
        <v>316</v>
      </c>
      <c r="E538" s="166" t="s">
        <v>317</v>
      </c>
      <c r="F538" s="121">
        <v>1062206</v>
      </c>
      <c r="G538" s="120" t="s">
        <v>505</v>
      </c>
      <c r="H538" s="139">
        <v>0</v>
      </c>
      <c r="I538" s="139">
        <v>0</v>
      </c>
      <c r="J538" s="125">
        <v>0</v>
      </c>
      <c r="K538" s="125">
        <v>0</v>
      </c>
      <c r="L538" s="130">
        <v>0</v>
      </c>
      <c r="M538" s="123">
        <v>0</v>
      </c>
      <c r="N538" s="130">
        <v>0</v>
      </c>
      <c r="O538" s="130">
        <v>0</v>
      </c>
      <c r="P538" s="123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125">
        <v>0</v>
      </c>
      <c r="Y538" s="125" t="s">
        <v>574</v>
      </c>
      <c r="Z538" s="125"/>
      <c r="AA538" s="112">
        <v>0</v>
      </c>
      <c r="AB538" s="112">
        <v>0</v>
      </c>
      <c r="AC538" s="8"/>
      <c r="AD538" s="67"/>
      <c r="AE538" s="66" t="s">
        <v>574</v>
      </c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  <c r="AP538" s="66"/>
      <c r="AQ538" s="66"/>
      <c r="AR538" s="66"/>
      <c r="AS538" s="66"/>
      <c r="AT538" s="66"/>
      <c r="AU538" s="66"/>
      <c r="AV538" s="66"/>
      <c r="AW538" s="66"/>
      <c r="AX538" s="66"/>
      <c r="AY538" s="66"/>
      <c r="AZ538" s="66"/>
      <c r="BA538" s="66"/>
      <c r="BB538" s="66"/>
      <c r="BC538" s="66"/>
      <c r="BD538" s="66"/>
      <c r="BE538" s="66"/>
      <c r="BF538" s="66"/>
      <c r="BG538" s="66"/>
      <c r="BH538" s="66"/>
      <c r="BI538" s="189" t="s">
        <v>1</v>
      </c>
      <c r="BJ538" s="204"/>
    </row>
    <row r="539" spans="2:62" x14ac:dyDescent="0.35">
      <c r="B539" s="126" t="s">
        <v>148</v>
      </c>
      <c r="C539" s="5" t="s">
        <v>5</v>
      </c>
      <c r="D539" s="124" t="s">
        <v>318</v>
      </c>
      <c r="E539" s="166" t="s">
        <v>307</v>
      </c>
      <c r="F539" s="121">
        <v>1054926</v>
      </c>
      <c r="G539" s="120" t="s">
        <v>206</v>
      </c>
      <c r="H539" s="139">
        <v>0</v>
      </c>
      <c r="I539" s="139">
        <v>0</v>
      </c>
      <c r="J539" s="125">
        <v>0</v>
      </c>
      <c r="K539" s="125">
        <v>0</v>
      </c>
      <c r="L539" s="130">
        <v>0</v>
      </c>
      <c r="M539" s="123">
        <v>0</v>
      </c>
      <c r="N539" s="130">
        <v>0</v>
      </c>
      <c r="O539" s="130">
        <v>0</v>
      </c>
      <c r="P539" s="123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125">
        <v>0</v>
      </c>
      <c r="Y539" s="125" t="s">
        <v>574</v>
      </c>
      <c r="Z539" s="125"/>
      <c r="AA539" s="112">
        <v>0</v>
      </c>
      <c r="AB539" s="112">
        <v>0</v>
      </c>
      <c r="AC539" s="8"/>
      <c r="AD539" s="109"/>
      <c r="AE539" s="66" t="s">
        <v>574</v>
      </c>
      <c r="AF539" s="66"/>
      <c r="AG539" s="66"/>
      <c r="AH539" s="66"/>
      <c r="AI539" s="66"/>
      <c r="AJ539" s="66"/>
      <c r="AK539" s="66"/>
      <c r="AL539" s="66"/>
      <c r="AM539" s="66"/>
      <c r="AN539" s="66"/>
      <c r="AO539" s="66"/>
      <c r="AP539" s="66"/>
      <c r="AQ539" s="66"/>
      <c r="AR539" s="66"/>
      <c r="AS539" s="66"/>
      <c r="AT539" s="66"/>
      <c r="AU539" s="66"/>
      <c r="AV539" s="66"/>
      <c r="AW539" s="66"/>
      <c r="AX539" s="66"/>
      <c r="AY539" s="66"/>
      <c r="AZ539" s="66"/>
      <c r="BA539" s="66"/>
      <c r="BB539" s="66"/>
      <c r="BC539" s="66"/>
      <c r="BD539" s="66"/>
      <c r="BE539" s="66"/>
      <c r="BF539" s="66"/>
      <c r="BG539" s="66"/>
      <c r="BH539" s="66"/>
      <c r="BI539" s="189" t="s">
        <v>1</v>
      </c>
      <c r="BJ539" s="204"/>
    </row>
    <row r="540" spans="2:62" x14ac:dyDescent="0.35">
      <c r="B540" s="146" t="s">
        <v>1</v>
      </c>
      <c r="C540" s="127" t="s">
        <v>2</v>
      </c>
      <c r="D540" s="124" t="s">
        <v>409</v>
      </c>
      <c r="E540" s="166" t="s">
        <v>410</v>
      </c>
      <c r="F540" s="121">
        <v>1056133</v>
      </c>
      <c r="G540" s="120" t="s">
        <v>212</v>
      </c>
      <c r="H540" s="139">
        <v>0</v>
      </c>
      <c r="I540" s="147">
        <v>0</v>
      </c>
      <c r="J540" s="131">
        <v>0</v>
      </c>
      <c r="K540" s="131">
        <v>0</v>
      </c>
      <c r="L540" s="171">
        <v>0</v>
      </c>
      <c r="M540" s="122">
        <v>0</v>
      </c>
      <c r="N540" s="171">
        <v>0</v>
      </c>
      <c r="O540" s="130">
        <v>0</v>
      </c>
      <c r="P540" s="123">
        <v>0</v>
      </c>
      <c r="Q540" s="127">
        <v>0</v>
      </c>
      <c r="R540" s="127">
        <v>0</v>
      </c>
      <c r="S540" s="5">
        <v>0</v>
      </c>
      <c r="T540" s="127">
        <v>0</v>
      </c>
      <c r="U540" s="5">
        <v>0</v>
      </c>
      <c r="V540" s="127">
        <v>0</v>
      </c>
      <c r="W540" s="127">
        <v>0</v>
      </c>
      <c r="X540" s="131">
        <v>0</v>
      </c>
      <c r="Y540" s="131" t="s">
        <v>574</v>
      </c>
      <c r="Z540" s="131"/>
      <c r="AA540" s="179">
        <v>0</v>
      </c>
      <c r="AB540" s="179">
        <v>0</v>
      </c>
      <c r="AC540" s="117"/>
      <c r="AD540" s="67"/>
      <c r="AE540" s="67" t="s">
        <v>574</v>
      </c>
      <c r="AF540" s="67"/>
      <c r="AG540" s="67"/>
      <c r="AH540" s="67"/>
      <c r="AI540" s="67"/>
      <c r="AJ540" s="67"/>
      <c r="AK540" s="67"/>
      <c r="AL540" s="67"/>
      <c r="AM540" s="67"/>
      <c r="AN540" s="67"/>
      <c r="AO540" s="67"/>
      <c r="AP540" s="67"/>
      <c r="AQ540" s="67"/>
      <c r="AR540" s="67"/>
      <c r="AS540" s="67"/>
      <c r="AT540" s="67"/>
      <c r="AU540" s="67"/>
      <c r="AV540" s="67"/>
      <c r="AW540" s="67"/>
      <c r="AX540" s="67"/>
      <c r="AY540" s="67"/>
      <c r="AZ540" s="67"/>
      <c r="BA540" s="67"/>
      <c r="BB540" s="67"/>
      <c r="BC540" s="67"/>
      <c r="BD540" s="67"/>
      <c r="BE540" s="67"/>
      <c r="BF540" s="67"/>
      <c r="BG540" s="67"/>
      <c r="BH540" s="67"/>
      <c r="BI540" s="190" t="s">
        <v>1</v>
      </c>
      <c r="BJ540" s="204"/>
    </row>
    <row r="541" spans="2:62" x14ac:dyDescent="0.35">
      <c r="B541" s="146" t="s">
        <v>1</v>
      </c>
      <c r="C541" s="127" t="s">
        <v>2</v>
      </c>
      <c r="D541" s="124" t="s">
        <v>409</v>
      </c>
      <c r="E541" s="166" t="s">
        <v>410</v>
      </c>
      <c r="F541" s="121">
        <v>1056131</v>
      </c>
      <c r="G541" s="120" t="s">
        <v>210</v>
      </c>
      <c r="H541" s="139">
        <v>0</v>
      </c>
      <c r="I541" s="147">
        <v>0</v>
      </c>
      <c r="J541" s="131">
        <v>0</v>
      </c>
      <c r="K541" s="131">
        <v>0</v>
      </c>
      <c r="L541" s="171">
        <v>0</v>
      </c>
      <c r="M541" s="122">
        <v>0</v>
      </c>
      <c r="N541" s="171">
        <v>0</v>
      </c>
      <c r="O541" s="130">
        <v>0</v>
      </c>
      <c r="P541" s="123">
        <v>0</v>
      </c>
      <c r="Q541" s="127">
        <v>0</v>
      </c>
      <c r="R541" s="127">
        <v>0</v>
      </c>
      <c r="S541" s="5">
        <v>0</v>
      </c>
      <c r="T541" s="127">
        <v>0</v>
      </c>
      <c r="U541" s="5">
        <v>0</v>
      </c>
      <c r="V541" s="127">
        <v>0</v>
      </c>
      <c r="W541" s="127">
        <v>0</v>
      </c>
      <c r="X541" s="131">
        <v>0</v>
      </c>
      <c r="Y541" s="131" t="s">
        <v>574</v>
      </c>
      <c r="Z541" s="131"/>
      <c r="AA541" s="179">
        <v>0</v>
      </c>
      <c r="AB541" s="179">
        <v>0</v>
      </c>
      <c r="AC541" s="117"/>
      <c r="AD541" s="67"/>
      <c r="AE541" s="67" t="s">
        <v>574</v>
      </c>
      <c r="AF541" s="67"/>
      <c r="AG541" s="67"/>
      <c r="AH541" s="67"/>
      <c r="AI541" s="67"/>
      <c r="AJ541" s="67"/>
      <c r="AK541" s="67"/>
      <c r="AL541" s="67"/>
      <c r="AM541" s="67"/>
      <c r="AN541" s="67"/>
      <c r="AO541" s="67"/>
      <c r="AP541" s="67"/>
      <c r="AQ541" s="67"/>
      <c r="AR541" s="67"/>
      <c r="AS541" s="67"/>
      <c r="AT541" s="67"/>
      <c r="AU541" s="67"/>
      <c r="AV541" s="67"/>
      <c r="AW541" s="67"/>
      <c r="AX541" s="67"/>
      <c r="AY541" s="67"/>
      <c r="AZ541" s="67"/>
      <c r="BA541" s="67"/>
      <c r="BB541" s="67"/>
      <c r="BC541" s="67"/>
      <c r="BD541" s="67"/>
      <c r="BE541" s="67"/>
      <c r="BF541" s="67"/>
      <c r="BG541" s="67"/>
      <c r="BH541" s="67"/>
      <c r="BI541" s="190" t="s">
        <v>1</v>
      </c>
      <c r="BJ541" s="204"/>
    </row>
    <row r="542" spans="2:62" x14ac:dyDescent="0.35">
      <c r="B542" s="126" t="s">
        <v>1</v>
      </c>
      <c r="C542" s="5" t="s">
        <v>2</v>
      </c>
      <c r="D542" s="124" t="s">
        <v>409</v>
      </c>
      <c r="E542" s="166" t="s">
        <v>410</v>
      </c>
      <c r="F542" s="121">
        <v>1056132</v>
      </c>
      <c r="G542" s="120" t="s">
        <v>211</v>
      </c>
      <c r="H542" s="139">
        <v>0</v>
      </c>
      <c r="I542" s="139">
        <v>0</v>
      </c>
      <c r="J542" s="125">
        <v>0</v>
      </c>
      <c r="K542" s="125">
        <v>0</v>
      </c>
      <c r="L542" s="130">
        <v>0</v>
      </c>
      <c r="M542" s="123">
        <v>0</v>
      </c>
      <c r="N542" s="130">
        <v>0</v>
      </c>
      <c r="O542" s="130">
        <v>0</v>
      </c>
      <c r="P542" s="123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125">
        <v>0</v>
      </c>
      <c r="Y542" s="125" t="s">
        <v>574</v>
      </c>
      <c r="Z542" s="125"/>
      <c r="AA542" s="112">
        <v>0</v>
      </c>
      <c r="AB542" s="112">
        <v>0</v>
      </c>
      <c r="AC542" s="8"/>
      <c r="AD542" s="67"/>
      <c r="AE542" s="66" t="s">
        <v>574</v>
      </c>
      <c r="AF542" s="66"/>
      <c r="AG542" s="66"/>
      <c r="AH542" s="66"/>
      <c r="AI542" s="66"/>
      <c r="AJ542" s="66"/>
      <c r="AK542" s="66"/>
      <c r="AL542" s="66"/>
      <c r="AM542" s="66"/>
      <c r="AN542" s="66"/>
      <c r="AO542" s="66"/>
      <c r="AP542" s="66"/>
      <c r="AQ542" s="66"/>
      <c r="AR542" s="66"/>
      <c r="AS542" s="66"/>
      <c r="AT542" s="66"/>
      <c r="AU542" s="66"/>
      <c r="AV542" s="66"/>
      <c r="AW542" s="66"/>
      <c r="AX542" s="66"/>
      <c r="AY542" s="66"/>
      <c r="AZ542" s="66"/>
      <c r="BA542" s="66"/>
      <c r="BB542" s="66"/>
      <c r="BC542" s="66"/>
      <c r="BD542" s="66"/>
      <c r="BE542" s="66"/>
      <c r="BF542" s="66"/>
      <c r="BG542" s="66"/>
      <c r="BH542" s="66"/>
      <c r="BI542" s="189" t="s">
        <v>1</v>
      </c>
      <c r="BJ542" s="204"/>
    </row>
    <row r="543" spans="2:62" x14ac:dyDescent="0.35">
      <c r="B543" s="126" t="s">
        <v>1</v>
      </c>
      <c r="C543" s="5" t="s">
        <v>2</v>
      </c>
      <c r="D543" s="124" t="s">
        <v>409</v>
      </c>
      <c r="E543" s="166" t="s">
        <v>410</v>
      </c>
      <c r="F543" s="121">
        <v>1056128</v>
      </c>
      <c r="G543" s="120" t="s">
        <v>216</v>
      </c>
      <c r="H543" s="139">
        <v>0</v>
      </c>
      <c r="I543" s="139">
        <v>0</v>
      </c>
      <c r="J543" s="125">
        <v>0</v>
      </c>
      <c r="K543" s="125">
        <v>0</v>
      </c>
      <c r="L543" s="130">
        <v>0</v>
      </c>
      <c r="M543" s="123">
        <v>0</v>
      </c>
      <c r="N543" s="130">
        <v>0</v>
      </c>
      <c r="O543" s="130">
        <v>0</v>
      </c>
      <c r="P543" s="123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125">
        <v>0</v>
      </c>
      <c r="Y543" s="125" t="s">
        <v>574</v>
      </c>
      <c r="Z543" s="125"/>
      <c r="AA543" s="112">
        <v>0</v>
      </c>
      <c r="AB543" s="112">
        <v>0</v>
      </c>
      <c r="AC543" s="8"/>
      <c r="AD543" s="109"/>
      <c r="AE543" s="66" t="s">
        <v>574</v>
      </c>
      <c r="AF543" s="66"/>
      <c r="AG543" s="66"/>
      <c r="AH543" s="66"/>
      <c r="AI543" s="66"/>
      <c r="AJ543" s="66"/>
      <c r="AK543" s="66"/>
      <c r="AL543" s="66"/>
      <c r="AM543" s="66"/>
      <c r="AN543" s="66"/>
      <c r="AO543" s="66"/>
      <c r="AP543" s="66"/>
      <c r="AQ543" s="66"/>
      <c r="AR543" s="66"/>
      <c r="AS543" s="66"/>
      <c r="AT543" s="66"/>
      <c r="AU543" s="66"/>
      <c r="AV543" s="66"/>
      <c r="AW543" s="66"/>
      <c r="AX543" s="66"/>
      <c r="AY543" s="66"/>
      <c r="AZ543" s="66"/>
      <c r="BA543" s="66"/>
      <c r="BB543" s="66"/>
      <c r="BC543" s="66"/>
      <c r="BD543" s="66"/>
      <c r="BE543" s="66"/>
      <c r="BF543" s="66"/>
      <c r="BG543" s="66"/>
      <c r="BH543" s="66"/>
      <c r="BI543" s="189" t="s">
        <v>1</v>
      </c>
      <c r="BJ543" s="204"/>
    </row>
    <row r="544" spans="2:62" x14ac:dyDescent="0.35">
      <c r="B544" s="126" t="s">
        <v>1</v>
      </c>
      <c r="C544" s="5" t="s">
        <v>2</v>
      </c>
      <c r="D544" s="124" t="s">
        <v>409</v>
      </c>
      <c r="E544" s="166" t="s">
        <v>410</v>
      </c>
      <c r="F544" s="121">
        <v>1056130</v>
      </c>
      <c r="G544" s="120" t="s">
        <v>217</v>
      </c>
      <c r="H544" s="139">
        <v>0</v>
      </c>
      <c r="I544" s="139">
        <v>0</v>
      </c>
      <c r="J544" s="125">
        <v>0</v>
      </c>
      <c r="K544" s="125">
        <v>0</v>
      </c>
      <c r="L544" s="130">
        <v>0</v>
      </c>
      <c r="M544" s="123">
        <v>0</v>
      </c>
      <c r="N544" s="130">
        <v>0</v>
      </c>
      <c r="O544" s="130">
        <v>0</v>
      </c>
      <c r="P544" s="123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125">
        <v>0</v>
      </c>
      <c r="Y544" s="125" t="s">
        <v>574</v>
      </c>
      <c r="Z544" s="125"/>
      <c r="AA544" s="112">
        <v>0</v>
      </c>
      <c r="AB544" s="112">
        <v>0</v>
      </c>
      <c r="AC544" s="8"/>
      <c r="AD544" s="109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 s="66"/>
      <c r="AP544" s="66"/>
      <c r="AQ544" s="66"/>
      <c r="AR544" s="66"/>
      <c r="AS544" s="66"/>
      <c r="AT544" s="66"/>
      <c r="AU544" s="66"/>
      <c r="AV544" s="66"/>
      <c r="AW544" s="66"/>
      <c r="AX544" s="66"/>
      <c r="AY544" s="66"/>
      <c r="AZ544" s="66"/>
      <c r="BA544" s="66"/>
      <c r="BB544" s="66"/>
      <c r="BC544" s="66"/>
      <c r="BD544" s="66"/>
      <c r="BE544" s="66"/>
      <c r="BF544" s="66"/>
      <c r="BG544" s="66"/>
      <c r="BH544" s="66"/>
      <c r="BI544" s="188" t="s">
        <v>1</v>
      </c>
      <c r="BJ544" s="204"/>
    </row>
    <row r="545" spans="2:62" x14ac:dyDescent="0.35">
      <c r="B545" s="126" t="s">
        <v>27</v>
      </c>
      <c r="C545" s="5" t="s">
        <v>5</v>
      </c>
      <c r="D545" s="124" t="s">
        <v>312</v>
      </c>
      <c r="E545" s="166" t="s">
        <v>313</v>
      </c>
      <c r="F545" s="121">
        <v>1058230</v>
      </c>
      <c r="G545" s="120" t="s">
        <v>345</v>
      </c>
      <c r="H545" s="139">
        <v>0</v>
      </c>
      <c r="I545" s="139">
        <v>0</v>
      </c>
      <c r="J545" s="125">
        <v>0</v>
      </c>
      <c r="K545" s="125">
        <v>0</v>
      </c>
      <c r="L545" s="130">
        <v>0</v>
      </c>
      <c r="M545" s="123">
        <v>0</v>
      </c>
      <c r="N545" s="130">
        <v>0</v>
      </c>
      <c r="O545" s="130">
        <v>0</v>
      </c>
      <c r="P545" s="123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125">
        <v>0</v>
      </c>
      <c r="Y545" s="125" t="s">
        <v>574</v>
      </c>
      <c r="Z545" s="125"/>
      <c r="AA545" s="112">
        <v>0</v>
      </c>
      <c r="AB545" s="112">
        <v>0</v>
      </c>
      <c r="AC545" s="8"/>
      <c r="AD545" s="109"/>
      <c r="AE545" s="66">
        <v>8.7767094017094021</v>
      </c>
      <c r="AF545" s="66"/>
      <c r="AG545" s="66"/>
      <c r="AH545" s="66"/>
      <c r="AI545" s="66"/>
      <c r="AJ545" s="66"/>
      <c r="AK545" s="66"/>
      <c r="AL545" s="66"/>
      <c r="AM545" s="66"/>
      <c r="AN545" s="66"/>
      <c r="AO545" s="66"/>
      <c r="AP545" s="66"/>
      <c r="AQ545" s="66"/>
      <c r="AR545" s="66"/>
      <c r="AS545" s="66"/>
      <c r="AT545" s="66"/>
      <c r="AU545" s="66"/>
      <c r="AV545" s="66"/>
      <c r="AW545" s="66"/>
      <c r="AX545" s="66"/>
      <c r="AY545" s="66"/>
      <c r="AZ545" s="66"/>
      <c r="BA545" s="66"/>
      <c r="BB545" s="66"/>
      <c r="BC545" s="66"/>
      <c r="BD545" s="66"/>
      <c r="BE545" s="66"/>
      <c r="BF545" s="66"/>
      <c r="BG545" s="66"/>
      <c r="BH545" s="66"/>
      <c r="BI545" s="188" t="s">
        <v>1</v>
      </c>
      <c r="BJ545" s="204"/>
    </row>
    <row r="546" spans="2:62" x14ac:dyDescent="0.35">
      <c r="B546" s="126" t="s">
        <v>1</v>
      </c>
      <c r="C546" s="5" t="s">
        <v>24</v>
      </c>
      <c r="D546" s="124" t="s">
        <v>316</v>
      </c>
      <c r="E546" s="166" t="s">
        <v>317</v>
      </c>
      <c r="F546" s="121">
        <v>1034530</v>
      </c>
      <c r="G546" s="120" t="s">
        <v>77</v>
      </c>
      <c r="H546" s="139">
        <v>0</v>
      </c>
      <c r="I546" s="139">
        <v>0</v>
      </c>
      <c r="J546" s="125">
        <v>0</v>
      </c>
      <c r="K546" s="125">
        <v>0</v>
      </c>
      <c r="L546" s="130">
        <v>0</v>
      </c>
      <c r="M546" s="123">
        <v>0</v>
      </c>
      <c r="N546" s="130">
        <v>0</v>
      </c>
      <c r="O546" s="130">
        <v>0</v>
      </c>
      <c r="P546" s="123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125">
        <v>0</v>
      </c>
      <c r="Y546" s="125" t="s">
        <v>574</v>
      </c>
      <c r="Z546" s="125"/>
      <c r="AA546" s="112">
        <v>0</v>
      </c>
      <c r="AB546" s="112">
        <v>0</v>
      </c>
      <c r="AC546" s="8"/>
      <c r="AD546" s="109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 s="66"/>
      <c r="AP546" s="66"/>
      <c r="AQ546" s="66"/>
      <c r="AR546" s="66"/>
      <c r="AS546" s="66"/>
      <c r="AT546" s="66"/>
      <c r="AU546" s="66"/>
      <c r="AV546" s="66"/>
      <c r="AW546" s="66"/>
      <c r="AX546" s="66"/>
      <c r="AY546" s="66"/>
      <c r="AZ546" s="66"/>
      <c r="BA546" s="66"/>
      <c r="BB546" s="66"/>
      <c r="BC546" s="66"/>
      <c r="BD546" s="66"/>
      <c r="BE546" s="66"/>
      <c r="BF546" s="66"/>
      <c r="BG546" s="66"/>
      <c r="BH546" s="66"/>
      <c r="BI546" s="189" t="s">
        <v>1</v>
      </c>
      <c r="BJ546" s="204"/>
    </row>
    <row r="547" spans="2:62" x14ac:dyDescent="0.35">
      <c r="B547" s="146" t="s">
        <v>27</v>
      </c>
      <c r="C547" s="127" t="s">
        <v>5</v>
      </c>
      <c r="D547" s="124" t="s">
        <v>312</v>
      </c>
      <c r="E547" s="166" t="s">
        <v>313</v>
      </c>
      <c r="F547" s="121">
        <v>1052771</v>
      </c>
      <c r="G547" s="120" t="s">
        <v>193</v>
      </c>
      <c r="H547" s="139">
        <v>0</v>
      </c>
      <c r="I547" s="147">
        <v>0</v>
      </c>
      <c r="J547" s="131">
        <v>0</v>
      </c>
      <c r="K547" s="131">
        <v>0</v>
      </c>
      <c r="L547" s="171">
        <v>0</v>
      </c>
      <c r="M547" s="122">
        <v>0</v>
      </c>
      <c r="N547" s="171">
        <v>0</v>
      </c>
      <c r="O547" s="130">
        <v>0</v>
      </c>
      <c r="P547" s="123">
        <v>0</v>
      </c>
      <c r="Q547" s="127">
        <v>0</v>
      </c>
      <c r="R547" s="127">
        <v>0</v>
      </c>
      <c r="S547" s="5">
        <v>0</v>
      </c>
      <c r="T547" s="127">
        <v>0</v>
      </c>
      <c r="U547" s="5">
        <v>0</v>
      </c>
      <c r="V547" s="127">
        <v>0</v>
      </c>
      <c r="W547" s="127">
        <v>0</v>
      </c>
      <c r="X547" s="131">
        <v>0</v>
      </c>
      <c r="Y547" s="131" t="s">
        <v>574</v>
      </c>
      <c r="Z547" s="131"/>
      <c r="AA547" s="179">
        <v>0</v>
      </c>
      <c r="AB547" s="179">
        <v>0</v>
      </c>
      <c r="AC547" s="117"/>
      <c r="AD547" s="109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  <c r="AQ547" s="67"/>
      <c r="AR547" s="67"/>
      <c r="AS547" s="67"/>
      <c r="AT547" s="67"/>
      <c r="AU547" s="67"/>
      <c r="AV547" s="67"/>
      <c r="AW547" s="67"/>
      <c r="AX547" s="67"/>
      <c r="AY547" s="67"/>
      <c r="AZ547" s="67"/>
      <c r="BA547" s="67"/>
      <c r="BB547" s="67"/>
      <c r="BC547" s="67"/>
      <c r="BD547" s="67"/>
      <c r="BE547" s="67"/>
      <c r="BF547" s="67"/>
      <c r="BG547" s="67"/>
      <c r="BH547" s="67"/>
      <c r="BI547" s="191"/>
      <c r="BJ547" s="204"/>
    </row>
    <row r="548" spans="2:62" x14ac:dyDescent="0.3">
      <c r="B548" s="126" t="s">
        <v>15</v>
      </c>
      <c r="C548" s="5" t="s">
        <v>5</v>
      </c>
      <c r="D548" s="127" t="s">
        <v>308</v>
      </c>
      <c r="E548" s="2" t="s">
        <v>315</v>
      </c>
      <c r="F548" s="180">
        <v>1075202</v>
      </c>
      <c r="G548" s="181" t="s">
        <v>641</v>
      </c>
      <c r="H548" s="182"/>
      <c r="I548" s="139">
        <v>0</v>
      </c>
      <c r="J548" s="125">
        <v>0</v>
      </c>
      <c r="K548" s="125">
        <v>0</v>
      </c>
      <c r="L548" s="130">
        <v>0</v>
      </c>
      <c r="M548" s="123">
        <v>0</v>
      </c>
      <c r="N548" s="130">
        <v>0</v>
      </c>
      <c r="O548" s="130">
        <v>0</v>
      </c>
      <c r="P548" s="123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125">
        <v>0</v>
      </c>
      <c r="Y548" s="125" t="s">
        <v>574</v>
      </c>
      <c r="Z548" s="125"/>
      <c r="AA548" s="112">
        <v>0</v>
      </c>
      <c r="AB548" s="112">
        <v>0</v>
      </c>
      <c r="AC548" s="8"/>
      <c r="AD548" s="67"/>
      <c r="AE548" s="66"/>
      <c r="AF548" s="66"/>
      <c r="AG548" s="66"/>
      <c r="AH548" s="66"/>
      <c r="AI548" s="66"/>
      <c r="AJ548" s="66"/>
      <c r="AK548" s="66"/>
      <c r="AL548" s="66"/>
      <c r="AM548" s="66"/>
      <c r="AN548" s="66"/>
      <c r="AO548" s="66"/>
      <c r="AP548" s="66"/>
      <c r="AQ548" s="66"/>
      <c r="AR548" s="66"/>
      <c r="AS548" s="66"/>
      <c r="AT548" s="66"/>
      <c r="AU548" s="66"/>
      <c r="AV548" s="66"/>
      <c r="AW548" s="66"/>
      <c r="AX548" s="66"/>
      <c r="AY548" s="66"/>
      <c r="AZ548" s="66"/>
      <c r="BA548" s="66"/>
      <c r="BB548" s="66"/>
      <c r="BC548" s="66"/>
      <c r="BD548" s="66"/>
      <c r="BE548" s="66"/>
      <c r="BF548" s="66"/>
      <c r="BG548" s="66"/>
      <c r="BH548" s="66"/>
      <c r="BI548" s="189"/>
      <c r="BJ548" s="204"/>
    </row>
    <row r="549" spans="2:62" x14ac:dyDescent="0.35">
      <c r="H549" s="119"/>
    </row>
  </sheetData>
  <mergeCells count="5">
    <mergeCell ref="AC17:BG17"/>
    <mergeCell ref="B2:F3"/>
    <mergeCell ref="G2:G3"/>
    <mergeCell ref="Q17:S17"/>
    <mergeCell ref="T17:W17"/>
  </mergeCells>
  <phoneticPr fontId="33" type="noConversion"/>
  <conditionalFormatting sqref="F17">
    <cfRule type="duplicateValues" dxfId="123" priority="1228"/>
  </conditionalFormatting>
  <conditionalFormatting sqref="F18">
    <cfRule type="duplicateValues" dxfId="122" priority="1456"/>
  </conditionalFormatting>
  <conditionalFormatting sqref="M18:O18">
    <cfRule type="expression" dxfId="94" priority="1362" stopIfTrue="1">
      <formula>"g4&gt;1"</formula>
    </cfRule>
  </conditionalFormatting>
  <conditionalFormatting sqref="P18">
    <cfRule type="expression" dxfId="93" priority="1361" stopIfTrue="1">
      <formula>"g4&gt;1"</formula>
    </cfRule>
  </conditionalFormatting>
  <conditionalFormatting sqref="F19">
    <cfRule type="duplicateValues" dxfId="90" priority="27"/>
  </conditionalFormatting>
  <conditionalFormatting sqref="F25">
    <cfRule type="duplicateValues" dxfId="89" priority="18"/>
  </conditionalFormatting>
  <conditionalFormatting sqref="F28:F34">
    <cfRule type="duplicateValues" dxfId="88" priority="17"/>
  </conditionalFormatting>
  <conditionalFormatting sqref="F59">
    <cfRule type="duplicateValues" dxfId="87" priority="23"/>
  </conditionalFormatting>
  <conditionalFormatting sqref="F60:F98 F261:F299 F118:F125 F100:F116 F216:F225 F127:F207 F483 F427:F473 F354:F389 F209:F214 F238:F251 F253:F259 F303:F314 F301 F486:F517 F475:F481 F391:F425 F227:F236 F35:F58 F26:F27 F20:F24 F316:F331 F333:F352">
    <cfRule type="duplicateValues" dxfId="86" priority="2"/>
  </conditionalFormatting>
  <conditionalFormatting sqref="F99">
    <cfRule type="duplicateValues" dxfId="85" priority="24"/>
  </conditionalFormatting>
  <conditionalFormatting sqref="F117">
    <cfRule type="duplicateValues" dxfId="84" priority="25"/>
  </conditionalFormatting>
  <conditionalFormatting sqref="F126">
    <cfRule type="duplicateValues" dxfId="83" priority="21"/>
  </conditionalFormatting>
  <conditionalFormatting sqref="F208">
    <cfRule type="duplicateValues" dxfId="82" priority="13"/>
  </conditionalFormatting>
  <conditionalFormatting sqref="F215">
    <cfRule type="duplicateValues" dxfId="81" priority="22"/>
  </conditionalFormatting>
  <conditionalFormatting sqref="F226">
    <cfRule type="duplicateValues" dxfId="80" priority="4"/>
  </conditionalFormatting>
  <conditionalFormatting sqref="F237">
    <cfRule type="duplicateValues" dxfId="79" priority="12"/>
  </conditionalFormatting>
  <conditionalFormatting sqref="F252">
    <cfRule type="duplicateValues" dxfId="78" priority="11"/>
  </conditionalFormatting>
  <conditionalFormatting sqref="F260">
    <cfRule type="duplicateValues" dxfId="77" priority="26"/>
  </conditionalFormatting>
  <conditionalFormatting sqref="F300">
    <cfRule type="duplicateValues" dxfId="76" priority="9"/>
  </conditionalFormatting>
  <conditionalFormatting sqref="F302">
    <cfRule type="duplicateValues" dxfId="75" priority="10"/>
  </conditionalFormatting>
  <conditionalFormatting sqref="F315">
    <cfRule type="duplicateValues" dxfId="74" priority="3"/>
  </conditionalFormatting>
  <conditionalFormatting sqref="F353">
    <cfRule type="duplicateValues" dxfId="73" priority="14"/>
  </conditionalFormatting>
  <conditionalFormatting sqref="F390">
    <cfRule type="duplicateValues" dxfId="72" priority="5"/>
  </conditionalFormatting>
  <conditionalFormatting sqref="F426">
    <cfRule type="duplicateValues" dxfId="71" priority="15"/>
  </conditionalFormatting>
  <conditionalFormatting sqref="F474">
    <cfRule type="duplicateValues" dxfId="70" priority="6"/>
  </conditionalFormatting>
  <conditionalFormatting sqref="F484">
    <cfRule type="duplicateValues" dxfId="69" priority="7"/>
  </conditionalFormatting>
  <conditionalFormatting sqref="F485">
    <cfRule type="duplicateValues" dxfId="68" priority="8"/>
  </conditionalFormatting>
  <conditionalFormatting sqref="F523">
    <cfRule type="duplicateValues" dxfId="67" priority="16"/>
  </conditionalFormatting>
  <conditionalFormatting sqref="F524">
    <cfRule type="duplicateValues" dxfId="66" priority="20"/>
  </conditionalFormatting>
  <conditionalFormatting sqref="F525:F526">
    <cfRule type="duplicateValues" dxfId="65" priority="19"/>
  </conditionalFormatting>
  <conditionalFormatting sqref="G45">
    <cfRule type="duplicateValues" dxfId="64" priority="1"/>
  </conditionalFormatting>
  <conditionalFormatting sqref="Y19:Y515">
    <cfRule type="cellIs" dxfId="63" priority="28" operator="between">
      <formula>5</formula>
      <formula>10</formula>
    </cfRule>
    <cfRule type="cellIs" dxfId="62" priority="29" operator="lessThan">
      <formula>5</formula>
    </cfRule>
  </conditionalFormatting>
  <pageMargins left="0.7" right="0.7" top="0.75" bottom="0.75" header="0.3" footer="0.3"/>
  <pageSetup scale="18" orientation="portrait" horizontalDpi="300" r:id="rId1"/>
  <customProperties>
    <customPr name="_pios_id" r:id="rId2"/>
  </customProperties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0" id="{475D8EE4-259A-4211-8409-198DBB1EE84C}">
            <x14:iconSet custom="1">
              <x14:cfvo type="percent">
                <xm:f>0</xm:f>
              </x14:cfvo>
              <x14:cfvo type="num">
                <xm:f>10</xm:f>
              </x14:cfvo>
              <x14:cfvo type="num">
                <xm:f>46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Y481</xm:sqref>
        </x14:conditionalFormatting>
        <x14:conditionalFormatting xmlns:xm="http://schemas.microsoft.com/office/excel/2006/main">
          <x14:cfRule type="iconSet" priority="32" id="{F6892A3C-2C20-492E-BA87-1D062E1486EB}">
            <x14:iconSet custom="1">
              <x14:cfvo type="percent">
                <xm:f>0</xm:f>
              </x14:cfvo>
              <x14:cfvo type="num">
                <xm:f>10</xm:f>
              </x14:cfvo>
              <x14:cfvo type="num">
                <xm:f>46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Y482:Y508</xm:sqref>
        </x14:conditionalFormatting>
        <x14:conditionalFormatting xmlns:xm="http://schemas.microsoft.com/office/excel/2006/main">
          <x14:cfRule type="iconSet" priority="31" id="{B7C28C50-6572-48A5-8C2D-62014DF75BD4}">
            <x14:iconSet custom="1">
              <x14:cfvo type="percent">
                <xm:f>0</xm:f>
              </x14:cfvo>
              <x14:cfvo type="num">
                <xm:f>10</xm:f>
              </x14:cfvo>
              <x14:cfvo type="num">
                <xm:f>46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Y509:Y515 Y19:Y480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2.7.600.89395</Revision>
</Application>
</file>

<file path=customXml/itemProps1.xml><?xml version="1.0" encoding="utf-8"?>
<ds:datastoreItem xmlns:ds="http://schemas.openxmlformats.org/officeDocument/2006/customXml" ds:itemID="{8C2CF535-428B-4986-B63A-84E1E2A79E51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TMR</vt:lpstr>
      <vt:lpstr>Codigos Descontinuados</vt:lpstr>
      <vt:lpstr>PRINCIPAL</vt:lpstr>
      <vt:lpstr>PRINCIPAL!Área_de_impresión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Jair Vilela Quispe</dc:creator>
  <cp:lastModifiedBy>Jorge Miguel Ojeda Anchante</cp:lastModifiedBy>
  <dcterms:created xsi:type="dcterms:W3CDTF">2022-09-28T14:32:31Z</dcterms:created>
  <dcterms:modified xsi:type="dcterms:W3CDTF">2026-05-27T14:48:27Z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