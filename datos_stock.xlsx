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0546BA2A-C926-4F7C-8E11-D527C9864E83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<sst xmlns="http://schemas.openxmlformats.org/spreadsheetml/2006/main" count="5204" uniqueCount="836">
  <si>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</si>
  <si>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</si>
  <si>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</si>
  <si>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</si>
  <si>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</si>
  <si>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</si>
  <si>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</si>
  <si>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</si>
  <si>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</si>
  <si>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</si>
  <si>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</si>
  <si>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</si>
  <si>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</si>
  <si>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</si>
  <si>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</si>
  <si>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</si>
  <si>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</si>
  <si>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</si>
  <si>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</si>
  <si>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</si>
  <si>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</si>
  <si>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</si>
  <si>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</si>
  <si>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</si>
  <si>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</si>
  <si>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</si>
  <si>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</si>
  <si>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</si>
  <si>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</si>
  <si>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</si>
  <si>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</si>
  <si>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</si>
  <si>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</si>
  <si>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</si>
  <si>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</si>
  <si>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</si>
  <si>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</si>
  <si>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</si>
  <si>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</si>
  <si>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</si>
  <si>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</si>
  <si>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</si>
  <si>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</si>
  <si>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</si>
  <si>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</si>
  <si>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</si>
  <si>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</si>
  <si>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</si>
  <si>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</si>
  <si>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</si>
  <si>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</si>
  <si>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</si>
  <si>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</si>
  <si>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</si>
  <si>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</si>
  <si>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</si>
  <si>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</si>
  <si>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</si>
  <si>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</si>
  <si>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</si>
  <si>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</si>
  <si>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</si>
  <si>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</si>
  <si>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</si>
  <si>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</si>
  <si>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</si>
  <si>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</si>
  <si>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</si>
  <si>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</si>
  <si>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</si>
  <si>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</si>
  <si>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</si>
  <si>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</si>
  <si>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</si>
  <si>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</si>
  <si>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</si>
  <si>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</si>
  <si>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</si>
  <si>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</si>
  <si>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</si>
  <si>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</si>
  <si>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</si>
  <si>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</si>
  <si>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</si>
  <si>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</si>
  <si>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</si>
  <si>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</si>
  <si>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</si>
  <si>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</si>
  <si>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</si>
  <si>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</si>
  <si>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</si>
  <si>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</si>
  <si>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</si>
  <si>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</si>
  <si>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</si>
  <si>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</si>
  <si>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</si>
  <si>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</si>
  <si>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</si>
  <si>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</si>
  <si>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</si>
  <si>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</si>
  <si>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</si>
  <si>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</si>
  <si>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</si>
  <si>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</si>
  <si>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</si>
  <si>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</si>
  <si>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</si>
  <si>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</si>
  <si>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</si>
  <si>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</si>
  <si>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</si>
  <si>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</si>
  <si>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</si>
  <si>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</si>
  <si>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</si>
  <si>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</si>
  <si>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</si>
  <si>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</si>
  <si>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</si>
  <si>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</si>
  <si>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</si>
  <si>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</si>
  <si>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</si>
  <si>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</si>
  <si>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</si>
  <si>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</si>
  <si>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</si>
  <si>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</si>
  <si>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</si>
  <si>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</si>
  <si>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</si>
  <si>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</si>
  <si>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</si>
  <si>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</si>
  <si>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</si>
  <si>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</si>
  <si>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</si>
  <si>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</si>
  <si>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</si>
  <si>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</si>
  <si>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</si>
  <si>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</si>
  <si>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</si>
  <si>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</si>
  <si>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</si>
  <si>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</si>
  <si>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</si>
  <si>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</si>
  <si>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</si>
  <si>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</si>
  <si>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</si>
  <si>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</si>
  <si>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</si>
  <si>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</si>
  <si>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</si>
  <si>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</si>
  <si>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</si>
  <si>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</si>
  <si>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</si>
  <si>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</si>
  <si>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</si>
  <si>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</si>
  <si>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</si>
  <si>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</si>
  <si>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</si>
  <si>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</si>
  <si>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</si>
  <si>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</si>
  <si>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</si>
  <si>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</si>
  <si>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</si>
  <si>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</si>
  <si>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</si>
  <si>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</si>
  <si>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</si>
  <si>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</si>
  <si>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</si>
  <si>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</si>
  <si>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</si>
  <si>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</si>
  <si>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</si>
  <si>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</si>
  <si>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</si>
  <si>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</si>
  <si>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</si>
  <si>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</si>
  <si>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</si>
  <si>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</si>
  <si>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</si>
  <si>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</si>
  <si>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</si>
  <si>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</si>
  <si>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</si>
  <si>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</si>
  <si>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</si>
  <si>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</si>
  <si>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</si>
  <si>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</si>
  <si>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</si>
  <si>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</si>
  <si>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</si>
  <si>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</si>
  <si>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</si>
  <si>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</si>
  <si>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</si>
  <si>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</si>
  <si>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</si>
  <si>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</si>
  <si>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</si>
  <si>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</si>
  <si>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</si>
  <si>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</si>
  <si>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</si>
  <si>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</si>
  <si>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</si>
  <si>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</si>
  <si>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</si>
  <si>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</si>
  <si>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</si>
  <si>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</si>
  <si>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</si>
  <si>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</si>
  <si>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</si>
  <si>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</si>
  <si>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</si>
  <si>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</si>
  <si>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</si>
  <si>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</si>
  <si>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</si>
  <si>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</si>
  <si>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</si>
  <si>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</si>
  <si>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</si>
  <si>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</si>
  <si>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</si>
  <si>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</si>
  <si>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</si>
  <si>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</si>
  <si>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</si>
  <si>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</si>
  <si>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</si>
  <si>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</si>
  <si>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</si>
  <si>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</si>
  <si>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</si>
  <si>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</si>
  <si>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</si>
  <si>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</si>
  <si>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</si>
  <si>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</si>
  <si>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</si>
  <si>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</si>
  <si>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</si>
  <si>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</si>
  <si>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</si>
  <si>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</si>
  <si>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</si>
  <si>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</si>
  <si>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</si>
  <si>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</si>
  <si>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</si>
  <si>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</si>
  <si>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</si>
  <si>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</si>
  <si>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</si>
  <si>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</si>
  <si>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</si>
  <si>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</si>
  <si>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</si>
  <si>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</si>
  <si>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</si>
  <si>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</si>
  <si>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</si>
  <si>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</si>
  <si>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</si>
  <si>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</si>
  <si>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</si>
  <si>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</si>
  <si>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</si>
  <si>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</si>
  <si>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</si>
  <si>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</si>
  <si>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</si>
  <si>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</si>
  <si>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</si>
  <si>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</si>
  <si>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</si>
  <si>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</si>
  <si>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</si>
  <si>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</si>
  <si>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</si>
  <si>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</si>
  <si>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</si>
  <si>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</si>
  <si>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</si>
  <si>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</si>
  <si>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</si>
  <si>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</si>
  <si>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</si>
  <si>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</si>
  <si>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</si>
  <si>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</si>
  <si>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</si>
  <si>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</si>
  <si>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</si>
  <si>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</si>
  <si>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</si>
  <si>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</si>
  <si>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</si>
  <si>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</si>
  <si>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</si>
  <si>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</si>
  <si>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</si>
  <si>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</si>
  <si>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</si>
  <si>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</si>
  <si>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</si>
  <si>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</si>
  <si>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</si>
  <si>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</si>
  <si>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</si>
  <si>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</si>
  <si>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</si>
  <si>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</si>
  <si>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</si>
  <si>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</si>
  <si>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</si>
  <si>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</si>
  <si>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</si>
  <si>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</si>
  <si>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</si>
  <si>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</si>
  <si>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</si>
  <si>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</si>
  <si>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</si>
  <si>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</si>
  <si>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</si>
  <si>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</si>
  <si>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</si>
  <si>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</si>
  <si>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</si>
  <si>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</si>
  <si>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</si>
  <si>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</si>
  <si>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</si>
  <si>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</si>
  <si>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</si>
  <si>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</si>
  <si>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</si>
  <si>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</si>
  <si>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</si>
  <si>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</si>
  <si>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</si>
  <si>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</si>
  <si>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</si>
  <si>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</si>
  <si>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</si>
  <si>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</si>
  <si>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</si>
  <si>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</si>
  <si>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</si>
  <si>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</si>
  <si>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</si>
  <si>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</si>
  <si>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</si>
  <si>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</si>
  <si>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</si>
  <si>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</si>
  <si>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</si>
  <si>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</si>
  <si>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</si>
  <si>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</si>
  <si>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</si>
  <si>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</si>
  <si>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</si>
  <si>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</si>
  <si>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</si>
  <si>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</si>
  <si>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</si>
  <si>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</si>
  <si>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</si>
  <si>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</si>
  <si>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</si>
  <si>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</si>
  <si>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</si>
  <si>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</si>
  <si>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</si>
  <si>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</si>
  <si>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</si>
  <si>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</si>
  <si>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</si>
  <si>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</si>
  <si>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</si>
  <si>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</si>
  <si>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</si>
  <si>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</si>
  <si>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</si>
  <si>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</si>
  <si>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</si>
  <si>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</si>
  <si>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</si>
  <si>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</si>
  <si>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</si>
  <si>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</si>
  <si>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</si>
  <si>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</si>
  <si>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</si>
  <si>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</si>
  <si>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</si>
  <si>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</si>
  <si>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</si>
  <si>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</si>
  <si>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</si>
  <si>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</si>
  <si>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</si>
  <si>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</si>
  <si>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</si>
  <si>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</si>
  <si>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</si>
  <si>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</si>
  <si>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</si>
  <si>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</si>
  <si>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</si>
  <si>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</si>
  <si>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</si>
  <si>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</si>
  <si>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</si>
  <si>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</si>
  <si>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</si>
  <si>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</si>
  <si>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</si>
  <si>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</si>
  <si>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</si>
  <si>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</si>
  <si>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</si>
  <si>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</si>
  <si>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</si>
  <si>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</si>
  <si>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</si>
  <si>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</si>
  <si>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</si>
  <si>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</si>
  <si>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</si>
  <si>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</si>
  <si>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</si>
  <si>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</si>
  <si>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</si>
  <si>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</si>
  <si>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</si>
  <si>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</si>
  <si>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</si>
  <si>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</si>
  <si>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</si>
  <si>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</si>
  <si>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</si>
  <si>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</si>
  <si>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</si>
  <si>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</si>
  <si>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</si>
  <si>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</si>
  <si>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</si>
  <si>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</si>
  <si>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</si>
  <si>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</si>
  <si>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</si>
  <si>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</si>
  <si>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</si>
  <si>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</si>
  <si>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</si>
  <si>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</si>
  <si>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</si>
  <si>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</si>
  <si>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</si>
  <si>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</si>
  <si>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</si>
  <si>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</si>
  <si>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</si>
  <si>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</si>
  <si>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</si>
  <si>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</si>
  <si>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</si>
  <si>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</si>
  <si>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</si>
  <si>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</si>
  <si>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</si>
  <si>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</si>
  <si>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</si>
  <si>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</si>
  <si>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</si>
  <si>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</si>
  <si>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</si>
  <si>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</si>
  <si>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</si>
  <si>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</si>
  <si>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</si>
  <si>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</si>
  <si>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</si>
  <si>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</si>
  <si>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</si>
  <si>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</si>
  <si>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</si>
  <si>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</si>
  <si>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</si>
  <si>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</si>
  <si>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</si>
  <si>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</si>
  <si>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</si>
  <si>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</si>
  <si>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</si>
  <si>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</si>
  <si>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</si>
  <si>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</si>
  <si>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</si>
  <si>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</si>
  <si>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</si>
  <si>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</si>
  <si>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</si>
  <si>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</si>
  <si>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</si>
  <si>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</si>
  <si>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</si>
  <si>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</si>
  <si>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</si>
  <si>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</si>
  <si>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</si>
  <si>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</si>
  <si>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</si>
  <si>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</si>
  <si>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</si>
  <si>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</si>
  <si>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</si>
  <si>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</si>
  <si>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</si>
  <si>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</si>
  <si>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</si>
  <si>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</si>
  <si>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</si>
  <si>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</si>
  <si>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</si>
  <si>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</si>
  <si>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</si>
  <si>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</si>
  <si>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</si>
  <si>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</si>
  <si>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</si>
  <si>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</si>
  <si>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</si>
  <si>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</si>
  <si>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</si>
  <si>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</si>
  <si>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</si>
  <si>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</si>
  <si>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</si>
  <si>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</si>
  <si>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</si>
  <si>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</si>
  <si>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</si>
  <si>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</si>
  <si>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</si>
  <si>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</si>
  <si>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</si>
  <si>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</si>
  <si>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</si>
  <si>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</si>
  <si>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</si>
  <si>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</si>
  <si>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</si>
  <si>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</si>
  <si>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</si>
  <si>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</si>
  <si>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</si>
  <si>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</si>
  <si>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</si>
  <si>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</si>
  <si>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</si>
  <si>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</si>
  <si>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</si>
  <si>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</si>
  <si>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</si>
  <si>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</si>
  <si>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</si>
  <si>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</si>
  <si>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</si>
  <si>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</si>
  <si>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</si>
  <si>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</si>
  <si>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</si>
  <si>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</si>
  <si>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</si>
  <si>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</si>
  <si>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</si>
  <si>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</si>
  <si>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</si>
  <si>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</si>
  <si>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</si>
  <si>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</si>
  <si>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</si>
  <si>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</si>
  <si>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</si>
  <si>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</si>
  <si>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</si>
  <si>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</si>
  <si>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</si>
  <si>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</si>
  <si>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</si>
  <si>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</si>
  <si>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</si>
  <si>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</si>
  <si>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</si>
  <si>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</si>
  <si>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</si>
  <si>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</si>
  <si>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</si>
  <si>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</si>
  <si>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</si>
  <si>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</si>
  <si>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</si>
  <si>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</si>
  <si>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</si>
  <si>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</si>
  <si>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</si>
  <si>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</si>
  <si>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</si>
  <si>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</si>
  <si>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</si>
  <si>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</si>
  <si>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</si>
  <si>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</si>
  <si>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</si>
  <si>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</si>
  <si>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</si>
  <si>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</si>
  <si>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</si>
  <si>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</si>
  <si>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</si>
  <si>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</si>
  <si>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</si>
  <si>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</si>
  <si>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</si>
  <si>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</si>
  <si>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</si>
  <si>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</si>
  <si>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</si>
  <si>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</si>
  <si>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</si>
  <si>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</si>
  <si>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</si>
  <si>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</si>
  <si>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</si>
  <si>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</si>
  <si>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</si>
  <si>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</si>
  <si>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</si>
  <si>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</si>
  <si>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</si>
  <si>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</si>
  <si>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</si>
  <si>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</si>
  <si>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</si>
  <si>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</si>
  <si>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</si>
  <si>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</si>
  <si>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</si>
  <si>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</si>
  <si>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</si>
  <si>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</si>
  <si>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</si>
  <si>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</si>
  <si>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</si>
  <si>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</si>
  <si>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</si>
  <si>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</si>
  <si>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</si>
  <si>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</si>
  <si>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</si>
  <si>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</si>
  <si>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</si>
  <si>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</si>
  <si>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</si>
  <si>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</si>
  <si>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</si>
  <si>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</si>
  <si>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</si>
  <si>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</si>
  <si>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</si>
  <si>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</si>
  <si>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</si>
  <si>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</si>
  <si>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</si>
  <si>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</si>
  <si>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</si>
  <si>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</si>
  <si>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</si>
  <si>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</si>
  <si>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</si>
  <si>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</si>
  <si>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</si>
  <si>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</si>
  <si>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</si>
  <si>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</si>
  <si>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</si>
  <si>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</si>
  <si>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</si>
  <si>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</si>
  <si>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</si>
  <si>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</si>
  <si>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</si>
  <si>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</si>
  <si>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</si>
  <si>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</si>
  <si>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</si>
  <si>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</si>
  <si>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</si>
  <si>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</si>
  <si>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</si>
  <si>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</si>
  <si>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</si>
  <si>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</si>
  <si>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</si>
  <si>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</si>
  <si>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</si>
  <si>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</si>
  <si>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</si>
  <si>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</si>
  <si>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</si>
  <si>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</si>
  <si>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</si>
  <si>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</si>
  <si>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</si>
  <si>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</si>
  <si>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</si>
  <si>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</si>
  <si>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</si>
  <si>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</si>
  <si>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</si>
  <si>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</si>
  <si>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</si>
  <si>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</si>
  <si>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</si>
  <si>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</si>
  <si>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</si>
  <si>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</si>
  <si>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</si>
  <si>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</si>
  <si>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</si>
  <si>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</si>
  <si>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</si>
  <si>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</si>
  <si>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</si>
  <si>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</si>
  <si>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</si>
  <si>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</si>
  <si>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</si>
  <si>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</si>
  <si>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</si>
  <si>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</si>
  <si>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</si>
  <si>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</si>
  <si>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</si>
  <si>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</si>
  <si>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</si>
  <si>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</si>
  <si>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</si>
  <si>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</si>
  <si>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</si>
  <si>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</si>
  <si>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</si>
  <si>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</si>
  <si>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</si>
  <si>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</si>
  <si>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</si>
  <si>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</si>
  <si>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</si>
  <si>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</si>
  <si>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</si>
  <si>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</si>
  <si>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</si>
  <si>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</si>
  <si>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</si>
  <si>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</si>
  <si>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</si>
  <si>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</si>
  <si>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</si>
  <si>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</si>
  <si>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</si>
  <si>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</si>
  <si>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</si>
  <si>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</si>
  <si>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</si>
  <si>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</si>
  <si>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</si>
  <si>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</si>
  <si>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</si>
  <si>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</si>
  <si>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</si>
  <si>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</si>
  <si>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</si>
  <si>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</si>
  <si>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</si>
  <si>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</si>
  <si>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</si>
  <si>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</si>
  <si>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</si>
  <si>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</si>
  <si>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</si>
  <si>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</si>
  <si>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</si>
  <si>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</si>
  <si>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</si>
  <si>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</si>
  <si>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</si>
  <si>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</si>
  <si>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</si>
  <si>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</si>
  <si>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</si>
  <si>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</si>
  <si>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</si>
  <si>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</si>
  <si>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</si>
  <si>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</si>
  <si>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</si>
  <si>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</si>
  <si>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</si>
  <si>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</si>
  <si>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</si>
  <si>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</si>
  <si>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</si>
  <si>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</si>
  <si>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</si>
  <si>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</si>
  <si>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</si>
  <si>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</si>
  <si>
    <t>El 17/04 ingresa 99,000 und entre las 11am - 1pm
El 18/04 ingresa 99,000 und entre las 10am - 11am
El 21/04 ingresa 99,000 und
El 23/04 ingresa 99,000 und
El 24/04 ingresa 49,632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</si>
</sst>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9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14" fontId="2" fillId="0" borderId="3" xfId="3" applyNumberFormat="1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0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03"/>
      <tableStyleElement type="headerRow" dxfId="202"/>
      <tableStyleElement type="totalRow" dxfId="201"/>
      <tableStyleElement type="firstRowStripe" dxfId="200"/>
      <tableStyleElement type="firstColumnStripe" dxfId="199"/>
      <tableStyleElement type="firstHeaderCell" dxfId="198"/>
      <tableStyleElement type="firstSubtotalRow" dxfId="197"/>
      <tableStyleElement type="secondSubtotalRow" dxfId="196"/>
      <tableStyleElement type="firstColumnSubheading" dxfId="195"/>
      <tableStyleElement type="firstRowSubheading" dxfId="194"/>
      <tableStyleElement type="secondRowSubheading" dxfId="193"/>
      <tableStyleElement type="pageFieldLabels" dxfId="192"/>
      <tableStyleElement type="pageFieldValues" dxfId="191"/>
    </tableStyle>
    <tableStyle name="PivotStyleMedium6 3" table="0" count="13" xr9:uid="{00000000-0011-0000-FFFF-FFFF01000000}">
      <tableStyleElement type="wholeTable" dxfId="190"/>
      <tableStyleElement type="headerRow" dxfId="189"/>
      <tableStyleElement type="totalRow" dxfId="188"/>
      <tableStyleElement type="firstRowStripe" dxfId="187"/>
      <tableStyleElement type="firstColumnStripe" dxfId="186"/>
      <tableStyleElement type="firstHeaderCell" dxfId="185"/>
      <tableStyleElement type="firstSubtotalRow" dxfId="184"/>
      <tableStyleElement type="secondSubtotalRow" dxfId="183"/>
      <tableStyleElement type="firstColumnSubheading" dxfId="182"/>
      <tableStyleElement type="firstRowSubheading" dxfId="181"/>
      <tableStyleElement type="secondRowSubheading" dxfId="180"/>
      <tableStyleElement type="pageFieldLabels" dxfId="179"/>
      <tableStyleElement type="pageFieldValues" dxfId="17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2" dataDxfId="50" headerRowBorderDxfId="51" tableBorderDxfId="49" totalsRowBorderDxfId="48">
  <autoFilter ref="B2:L222" xr:uid="{00000000-0009-0000-0100-000006000000}"/>
  <tableColumns count="11">
    <tableColumn id="1" xr3:uid="{00000000-0010-0000-0100-000001000000}" name="CÓDIGO" dataDxfId="47"/>
    <tableColumn id="2" xr3:uid="{00000000-0010-0000-0100-000002000000}" name="DESCRIPCIÓN" dataDxfId="46"/>
    <tableColumn id="11" xr3:uid="{00000000-0010-0000-0100-00000B000000}" name="ORIGEN" dataDxfId="45"/>
    <tableColumn id="10" xr3:uid="{00000000-0010-0000-0100-00000A000000}" name="CATEGORÍA" dataDxfId="44"/>
    <tableColumn id="3" xr3:uid="{00000000-0010-0000-0100-000003000000}" name="Tiempo de Vida" dataDxfId="43"/>
    <tableColumn id="4" xr3:uid="{00000000-0010-0000-0100-000004000000}" name="Tottus" dataDxfId="42">
      <calculatedColumnFormula>IF(F3&lt;=210,F3*0.6,IF(F3&lt;=365,120,IF(F3&lt;=3600,150)))</calculatedColumnFormula>
    </tableColumn>
    <tableColumn id="5" xr3:uid="{00000000-0010-0000-0100-000005000000}" name="Cencosud" dataDxfId="41"/>
    <tableColumn id="6" xr3:uid="{00000000-0010-0000-0100-000006000000}" name="Tambo" dataDxfId="40"/>
    <tableColumn id="7" xr3:uid="{00000000-0010-0000-0100-000007000000}" name="Oxxo" dataDxfId="39"/>
    <tableColumn id="8" xr3:uid="{00000000-0010-0000-0100-000008000000}" name="SPSA / MAKRO" dataDxfId="38">
      <calculatedColumnFormula>ROUNDDOWN(F3/3,0)-1</calculatedColumnFormula>
    </tableColumn>
    <tableColumn id="9" xr3:uid="{00000000-0010-0000-0100-000009000000}" name="Canal Tradicional / Otros" dataDxfId="3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77" dataDxfId="176" tableBorderDxfId="175" headerRowCellStyle="Normal 10 2">
  <autoFilter ref="B18:BJ546" xr:uid="{00000000-000C-0000-FFFF-FFFF00000000}"/>
  <tableColumns count="61">
    <tableColumn id="1" xr3:uid="{00000000-0010-0000-0000-000001000000}" name="RESPONSABLE DE PRODUCCIÓN" dataDxfId="174" totalsRowDxfId="173"/>
    <tableColumn id="2" xr3:uid="{00000000-0010-0000-0000-000002000000}" name="GEOGRAFÍA" dataDxfId="172" totalsRowDxfId="171"/>
    <tableColumn id="53" xr3:uid="{00000000-0010-0000-0000-000035000000}" name="CATEGORÍA" dataDxfId="170" totalsRowDxfId="169"/>
    <tableColumn id="54" xr3:uid="{00000000-0010-0000-0000-000036000000}" name="MARCA" dataDxfId="168" totalsRowDxfId="167"/>
    <tableColumn id="3" xr3:uid="{00000000-0010-0000-0000-000003000000}" name="CÓDIGO" dataDxfId="166" totalsRowDxfId="165"/>
    <tableColumn id="4" xr3:uid="{00000000-0010-0000-0000-000004000000}" name="DESCRIPCIÓN" dataDxfId="164" totalsRowDxfId="163"/>
    <tableColumn id="5" xr3:uid="{00000000-0010-0000-0000-000005000000}" name="Plan de demanda" dataDxfId="162" totalsRowDxfId="161"/>
    <tableColumn id="55" xr3:uid="{00000000-0010-0000-0000-000037000000}" name="Plan Demanda (Kg)" dataDxfId="160" totalsRowDxfId="159"/>
    <tableColumn id="60" xr3:uid="{00000000-0010-0000-0000-00003C000000}" name="Salidas varias" dataDxfId="158" totalsRowDxfId="157"/>
    <tableColumn id="6" xr3:uid="{00000000-0010-0000-0000-000006000000}" name="Avance Vta." dataDxfId="156" totalsRowDxfId="155"/>
    <tableColumn id="57" xr3:uid="{00000000-0010-0000-0000-000039000000}" name="Avance _x000a_Vta. (Kg)" dataDxfId="154" totalsRowDxfId="153" dataCellStyle="Porcentaje"/>
    <tableColumn id="7" xr3:uid="{00000000-0010-0000-0000-000007000000}" name="%V Mes actual" dataDxfId="152" totalsRowDxfId="151" dataCellStyle="Porcentaje"/>
    <tableColumn id="58" xr3:uid="{00000000-0010-0000-0000-00003A000000}" name="Error ABS_x000a_(KG)" dataDxfId="150" totalsRowDxfId="149" dataCellStyle="Porcentaje"/>
    <tableColumn id="56" xr3:uid="{00000000-0010-0000-0000-000038000000}" name="Días consumidos por sobreventa en el mes pasado" dataDxfId="148" totalsRowDxfId="147" dataCellStyle="Porcentaje"/>
    <tableColumn id="8" xr3:uid="{00000000-0010-0000-0000-000008000000}" name="%V Mes pasado" dataDxfId="146" totalsRowDxfId="145" dataCellStyle="Porcentaje"/>
    <tableColumn id="9" xr3:uid="{00000000-0010-0000-0000-000009000000}" name="STOCK TOTAL" dataDxfId="144" totalsRowDxfId="143"/>
    <tableColumn id="10" xr3:uid="{00000000-0010-0000-0000-00000A000000}" name="STOCK POR FACTURAR" dataDxfId="142" totalsRowDxfId="141"/>
    <tableColumn id="11" xr3:uid="{00000000-0010-0000-0000-00000B000000}" name="CEDI FINAL" dataDxfId="140" totalsRowDxfId="139"/>
    <tableColumn id="12" xr3:uid="{00000000-0010-0000-0000-00000C000000}" name="PLANTA" dataDxfId="138" totalsRowDxfId="137"/>
    <tableColumn id="13" xr3:uid="{00000000-0010-0000-0000-00000D000000}" name="TRANSITO" dataDxfId="136" totalsRowDxfId="135"/>
    <tableColumn id="14" xr3:uid="{00000000-0010-0000-0000-00000E000000}" name="CALIDAD" dataDxfId="134" totalsRowDxfId="133"/>
    <tableColumn id="15" xr3:uid="{00000000-0010-0000-0000-00000F000000}" name="BLOQUEADO" dataDxfId="132" totalsRowDxfId="131"/>
    <tableColumn id="16" xr3:uid="{00000000-0010-0000-0000-000010000000}" name="Vta. Proy." dataDxfId="130" totalsRowDxfId="129"/>
    <tableColumn id="17" xr3:uid="{00000000-0010-0000-0000-000011000000}" name="Días De Inventario" dataDxfId="128" totalsRowDxfId="127"/>
    <tableColumn id="18" xr3:uid="{00000000-0010-0000-0000-000012000000}" name="Faltante" dataDxfId="126" totalsRowDxfId="125"/>
    <tableColumn id="61" xr3:uid="{00000000-0010-0000-0000-00003D000000}" name="Valorizado Plan de Demanda" dataDxfId="124" totalsRowDxfId="123" dataCellStyle="Moneda"/>
    <tableColumn id="59" xr3:uid="{00000000-0010-0000-0000-00003B000000}" name="Valorizado Stock" dataDxfId="122" totalsRowDxfId="121" dataCellStyle="Moneda"/>
    <tableColumn id="19" xr3:uid="{00000000-0010-0000-0000-000013000000}" name="% Cob." dataDxfId="120" totalsRowDxfId="119" dataCellStyle="Porcentaje"/>
    <tableColumn id="20" xr3:uid="{00000000-0010-0000-0000-000014000000}" name="1" dataDxfId="118" totalsRowDxfId="117"/>
    <tableColumn id="21" xr3:uid="{00000000-0010-0000-0000-000015000000}" name="2" dataDxfId="116" totalsRowDxfId="115"/>
    <tableColumn id="22" xr3:uid="{00000000-0010-0000-0000-000016000000}" name="3" dataDxfId="114" totalsRowDxfId="113"/>
    <tableColumn id="23" xr3:uid="{00000000-0010-0000-0000-000017000000}" name="4" dataDxfId="112" totalsRowDxfId="111"/>
    <tableColumn id="24" xr3:uid="{00000000-0010-0000-0000-000018000000}" name="5" dataDxfId="110" totalsRowDxfId="109"/>
    <tableColumn id="25" xr3:uid="{00000000-0010-0000-0000-000019000000}" name="6" dataDxfId="108" totalsRowDxfId="107"/>
    <tableColumn id="26" xr3:uid="{00000000-0010-0000-0000-00001A000000}" name="7" dataDxfId="106" totalsRowDxfId="105"/>
    <tableColumn id="27" xr3:uid="{00000000-0010-0000-0000-00001B000000}" name="8" dataDxfId="104" totalsRowDxfId="103"/>
    <tableColumn id="28" xr3:uid="{00000000-0010-0000-0000-00001C000000}" name="9" dataDxfId="102" totalsRowDxfId="101"/>
    <tableColumn id="29" xr3:uid="{00000000-0010-0000-0000-00001D000000}" name="10" dataDxfId="100" totalsRowDxfId="99"/>
    <tableColumn id="30" xr3:uid="{00000000-0010-0000-0000-00001E000000}" name="11" dataDxfId="98" totalsRowDxfId="97"/>
    <tableColumn id="31" xr3:uid="{00000000-0010-0000-0000-00001F000000}" name="12" dataDxfId="96" totalsRowDxfId="95"/>
    <tableColumn id="32" xr3:uid="{00000000-0010-0000-0000-000020000000}" name="13" dataDxfId="94" totalsRowDxfId="93"/>
    <tableColumn id="33" xr3:uid="{00000000-0010-0000-0000-000021000000}" name="14" dataDxfId="92" totalsRowDxfId="91"/>
    <tableColumn id="34" xr3:uid="{00000000-0010-0000-0000-000022000000}" name="15" dataDxfId="90" totalsRowDxfId="89"/>
    <tableColumn id="35" xr3:uid="{00000000-0010-0000-0000-000023000000}" name="16" dataDxfId="88" totalsRowDxfId="87"/>
    <tableColumn id="36" xr3:uid="{00000000-0010-0000-0000-000024000000}" name="17" dataDxfId="86" totalsRowDxfId="85"/>
    <tableColumn id="37" xr3:uid="{00000000-0010-0000-0000-000025000000}" name="18" dataDxfId="84" totalsRowDxfId="83"/>
    <tableColumn id="38" xr3:uid="{00000000-0010-0000-0000-000026000000}" name="19" dataDxfId="82" totalsRowDxfId="81"/>
    <tableColumn id="39" xr3:uid="{00000000-0010-0000-0000-000027000000}" name="20" dataDxfId="80" totalsRowDxfId="79"/>
    <tableColumn id="40" xr3:uid="{00000000-0010-0000-0000-000028000000}" name="21" dataDxfId="78" totalsRowDxfId="77"/>
    <tableColumn id="41" xr3:uid="{00000000-0010-0000-0000-000029000000}" name="22" dataDxfId="76" totalsRowDxfId="75"/>
    <tableColumn id="42" xr3:uid="{00000000-0010-0000-0000-00002A000000}" name="23" dataDxfId="74" totalsRowDxfId="73"/>
    <tableColumn id="43" xr3:uid="{00000000-0010-0000-0000-00002B000000}" name="24" dataDxfId="72" totalsRowDxfId="71"/>
    <tableColumn id="44" xr3:uid="{00000000-0010-0000-0000-00002C000000}" name="25" dataDxfId="70" totalsRowDxfId="69"/>
    <tableColumn id="45" xr3:uid="{00000000-0010-0000-0000-00002D000000}" name="26" dataDxfId="68" totalsRowDxfId="67"/>
    <tableColumn id="46" xr3:uid="{00000000-0010-0000-0000-00002E000000}" name="27" dataDxfId="66" totalsRowDxfId="65"/>
    <tableColumn id="47" xr3:uid="{00000000-0010-0000-0000-00002F000000}" name="28" dataDxfId="64" totalsRowDxfId="63"/>
    <tableColumn id="48" xr3:uid="{00000000-0010-0000-0000-000030000000}" name="29" dataDxfId="62" totalsRowDxfId="61"/>
    <tableColumn id="49" xr3:uid="{00000000-0010-0000-0000-000031000000}" name="30" dataDxfId="60" totalsRowDxfId="59"/>
    <tableColumn id="50" xr3:uid="{00000000-0010-0000-0000-000032000000}" name="31" dataDxfId="58" totalsRowDxfId="57"/>
    <tableColumn id="51" xr3:uid="{00000000-0010-0000-0000-000033000000}" name="Fecha de _x000a_Ingreso según RAS" dataDxfId="56" totalsRowDxfId="55" dataCellStyle="Millares 10"/>
    <tableColumn id="52" xr3:uid="{00000000-0010-0000-0000-000034000000}" name="Causal / Observado" dataDxfId="54" totalsRowDxfId="53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36" priority="2"/>
  </conditionalFormatting>
  <conditionalFormatting sqref="B3:B222">
    <cfRule type="duplicateValues" dxfId="3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34" priority="2"/>
  </conditionalFormatting>
  <conditionalFormatting sqref="D2">
    <cfRule type="duplicateValues" dxfId="3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topLeftCell="W6" zoomScale="85" zoomScaleNormal="85" workbookViewId="0">
      <selection activeCell="BJ30" sqref="BJ30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200" t="s">
        <v>341</v>
      </c>
      <c r="C2" s="201"/>
      <c r="D2" s="201"/>
      <c r="E2" s="201"/>
      <c r="F2" s="201"/>
      <c r="G2" s="204">
        <v>46127</v>
      </c>
    </row>
    <row r="3" spans="1:59" ht="13.5" customHeight="1" thickBot="1" x14ac:dyDescent="0.4">
      <c r="A3" s="118"/>
      <c r="B3" s="202"/>
      <c r="C3" s="203"/>
      <c r="D3" s="203"/>
      <c r="E3" s="203"/>
      <c r="F3" s="203"/>
      <c r="G3" s="205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45.833333333333329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8204114.9700000202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6" t="s">
        <v>342</v>
      </c>
      <c r="R17" s="207"/>
      <c r="S17" s="208"/>
      <c r="T17" s="206" t="s">
        <v>497</v>
      </c>
      <c r="U17" s="207"/>
      <c r="V17" s="207"/>
      <c r="W17" s="207"/>
      <c r="X17" s="28"/>
      <c r="Y17" s="28"/>
      <c r="Z17" s="26"/>
      <c r="AA17" s="26"/>
      <c r="AB17" s="26"/>
      <c r="AC17" s="199" t="s">
        <v>331</v>
      </c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9"/>
      <c r="AS17" s="199"/>
      <c r="AT17" s="199"/>
      <c r="AU17" s="199"/>
      <c r="AV17" s="199"/>
      <c r="AW17" s="199"/>
      <c r="AX17" s="199"/>
      <c r="AY17" s="199"/>
      <c r="AZ17" s="199"/>
      <c r="BA17" s="199"/>
      <c r="BB17" s="199"/>
      <c r="BC17" s="199"/>
      <c r="BD17" s="199"/>
      <c r="BE17" s="199"/>
      <c r="BF17" s="199"/>
      <c r="BG17" s="199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50</v>
      </c>
      <c r="D19" s="6" t="s">
        <v>320</v>
      </c>
      <c r="E19" s="6" t="s">
        <v>402</v>
      </c>
      <c r="F19" s="133">
        <v>1060961</v>
      </c>
      <c r="G19" s="134" t="s">
        <v>726</v>
      </c>
      <c r="H19" s="129">
        <v>25941.717791411047</v>
      </c>
      <c r="I19" s="129">
        <v>4669.5092024539881</v>
      </c>
      <c r="J19" s="9">
        <v>0</v>
      </c>
      <c r="K19" s="9">
        <v>0</v>
      </c>
      <c r="L19" s="100">
        <v>0</v>
      </c>
      <c r="M19" s="10">
        <v>0</v>
      </c>
      <c r="N19" s="100">
        <v>4669.5092024539881</v>
      </c>
      <c r="O19" s="100">
        <v>0</v>
      </c>
      <c r="P19" s="10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25941.717791411047</v>
      </c>
      <c r="Y19" s="9">
        <v>0</v>
      </c>
      <c r="Z19" s="9">
        <v>25941.717791411047</v>
      </c>
      <c r="AA19" s="132">
        <v>176922.51533742333</v>
      </c>
      <c r="AB19" s="132">
        <v>0</v>
      </c>
      <c r="AC19" s="11">
        <v>0</v>
      </c>
      <c r="AD19" s="71"/>
      <c r="AE19" s="71">
        <v>33.495568685376661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50</v>
      </c>
      <c r="D20" s="6" t="s">
        <v>320</v>
      </c>
      <c r="E20" s="6" t="s">
        <v>402</v>
      </c>
      <c r="F20" s="133">
        <v>1060962</v>
      </c>
      <c r="G20" s="134" t="s">
        <v>727</v>
      </c>
      <c r="H20" s="129">
        <v>31305.056179775278</v>
      </c>
      <c r="I20" s="129">
        <v>5634.9101123595501</v>
      </c>
      <c r="J20" s="9">
        <v>0</v>
      </c>
      <c r="K20" s="9">
        <v>0</v>
      </c>
      <c r="L20" s="100">
        <v>0</v>
      </c>
      <c r="M20" s="10">
        <v>0</v>
      </c>
      <c r="N20" s="100">
        <v>5634.9101123595501</v>
      </c>
      <c r="O20" s="100">
        <v>0</v>
      </c>
      <c r="P20" s="10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31305.056179775278</v>
      </c>
      <c r="Y20" s="9">
        <v>0</v>
      </c>
      <c r="Z20" s="9">
        <v>31305.056179775278</v>
      </c>
      <c r="AA20" s="132">
        <v>213500.48314606742</v>
      </c>
      <c r="AB20" s="132">
        <v>0</v>
      </c>
      <c r="AC20" s="11">
        <v>0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2"/>
      <c r="BJ20" s="31"/>
    </row>
    <row r="21" spans="1:62" ht="12.75" customHeight="1" x14ac:dyDescent="0.35">
      <c r="A21" s="118"/>
      <c r="B21" s="30" t="s">
        <v>1</v>
      </c>
      <c r="C21" s="6" t="s">
        <v>2</v>
      </c>
      <c r="D21" s="6" t="s">
        <v>310</v>
      </c>
      <c r="E21" s="6" t="s">
        <v>311</v>
      </c>
      <c r="F21" s="127">
        <v>1068294</v>
      </c>
      <c r="G21" s="128" t="s">
        <v>565</v>
      </c>
      <c r="H21" s="129">
        <v>627.10326087234557</v>
      </c>
      <c r="I21" s="129">
        <v>94.06548913085183</v>
      </c>
      <c r="J21" s="9">
        <v>0</v>
      </c>
      <c r="K21" s="9">
        <v>0</v>
      </c>
      <c r="L21" s="100">
        <v>0</v>
      </c>
      <c r="M21" s="10">
        <v>0</v>
      </c>
      <c r="N21" s="100">
        <v>94.06548913085183</v>
      </c>
      <c r="O21" s="100">
        <v>0</v>
      </c>
      <c r="P21" s="10">
        <v>0.35855639024825814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2503</v>
      </c>
      <c r="X21" s="9">
        <v>627.10326087234557</v>
      </c>
      <c r="Y21" s="9">
        <v>0</v>
      </c>
      <c r="Z21" s="9">
        <v>627.10326087234557</v>
      </c>
      <c r="AA21" s="132">
        <v>1279.2906521795851</v>
      </c>
      <c r="AB21" s="132">
        <v>5106.12</v>
      </c>
      <c r="AC21" s="11">
        <v>0</v>
      </c>
      <c r="AD21" s="71"/>
      <c r="AE21" s="71">
        <v>105.57129340524175</v>
      </c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 t="s">
        <v>1</v>
      </c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2</v>
      </c>
      <c r="K22" s="9">
        <v>25715</v>
      </c>
      <c r="L22" s="100">
        <v>9771.7000000000007</v>
      </c>
      <c r="M22" s="10">
        <v>0.78481827476743971</v>
      </c>
      <c r="N22" s="100">
        <v>2679.2078269050089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47473.846153846163</v>
      </c>
      <c r="Y22" s="9">
        <v>0</v>
      </c>
      <c r="Z22" s="9">
        <v>7050.5469129079174</v>
      </c>
      <c r="AA22" s="132">
        <v>128768.59936772812</v>
      </c>
      <c r="AB22" s="132">
        <v>0</v>
      </c>
      <c r="AC22" s="11">
        <v>0.78481827476743971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 t="s">
        <v>801</v>
      </c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316</v>
      </c>
      <c r="E23" s="6" t="s">
        <v>408</v>
      </c>
      <c r="F23" s="6">
        <v>1060670</v>
      </c>
      <c r="G23" s="8" t="s">
        <v>518</v>
      </c>
      <c r="H23" s="129">
        <v>2050</v>
      </c>
      <c r="I23" s="129">
        <v>512.5</v>
      </c>
      <c r="J23" s="9">
        <v>0</v>
      </c>
      <c r="K23" s="9">
        <v>16</v>
      </c>
      <c r="L23" s="100">
        <v>4</v>
      </c>
      <c r="M23" s="10">
        <v>0.37658536585365854</v>
      </c>
      <c r="N23" s="100">
        <v>508.5</v>
      </c>
      <c r="O23" s="100">
        <v>0</v>
      </c>
      <c r="P23" s="10">
        <v>0.69065091000939727</v>
      </c>
      <c r="Q23" s="6">
        <v>756</v>
      </c>
      <c r="R23" s="6">
        <v>756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2050</v>
      </c>
      <c r="Y23" s="9">
        <v>0</v>
      </c>
      <c r="Z23" s="9">
        <v>1278</v>
      </c>
      <c r="AA23" s="132">
        <v>40426</v>
      </c>
      <c r="AB23" s="132">
        <v>0</v>
      </c>
      <c r="AC23" s="11">
        <v>0.37658536585365854</v>
      </c>
      <c r="AD23" s="71"/>
      <c r="AE23" s="71">
        <v>14.586349534643228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/>
    </row>
    <row r="24" spans="1:62" ht="12.75" customHeight="1" x14ac:dyDescent="0.35">
      <c r="A24" s="118"/>
      <c r="B24" s="30" t="s">
        <v>1</v>
      </c>
      <c r="C24" s="6" t="s">
        <v>17</v>
      </c>
      <c r="D24" s="6" t="s">
        <v>312</v>
      </c>
      <c r="E24" s="6" t="s">
        <v>398</v>
      </c>
      <c r="F24" s="6">
        <v>1058451</v>
      </c>
      <c r="G24" s="8" t="s">
        <v>268</v>
      </c>
      <c r="H24" s="129">
        <v>738867.64238772611</v>
      </c>
      <c r="I24" s="129">
        <v>178067.10181544197</v>
      </c>
      <c r="J24" s="9">
        <v>203</v>
      </c>
      <c r="K24" s="9">
        <v>186554</v>
      </c>
      <c r="L24" s="100">
        <v>44959.513999999996</v>
      </c>
      <c r="M24" s="10">
        <v>0.26294831286988213</v>
      </c>
      <c r="N24" s="100">
        <v>133107.58781544198</v>
      </c>
      <c r="O24" s="100">
        <v>6.8391036369083071</v>
      </c>
      <c r="P24" s="10">
        <v>1.3029722543123703</v>
      </c>
      <c r="Q24" s="6">
        <v>7730</v>
      </c>
      <c r="R24" s="6">
        <v>7730</v>
      </c>
      <c r="S24" s="6">
        <v>0</v>
      </c>
      <c r="T24" s="6">
        <v>0</v>
      </c>
      <c r="U24" s="6">
        <v>0</v>
      </c>
      <c r="V24" s="6">
        <v>0</v>
      </c>
      <c r="W24" s="6">
        <v>345</v>
      </c>
      <c r="X24" s="9">
        <v>738867.64238772611</v>
      </c>
      <c r="Y24" s="9">
        <v>0</v>
      </c>
      <c r="Z24" s="9">
        <v>544583.64238772611</v>
      </c>
      <c r="AA24" s="132">
        <v>1913667.1937842106</v>
      </c>
      <c r="AB24" s="132">
        <v>893.55</v>
      </c>
      <c r="AC24" s="11">
        <v>0.26294831286988218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 t="s">
        <v>1</v>
      </c>
      <c r="BJ24" s="195" t="s">
        <v>835</v>
      </c>
    </row>
    <row r="25" spans="1:62" ht="12.75" customHeight="1" x14ac:dyDescent="0.35">
      <c r="A25" s="118"/>
      <c r="B25" s="30" t="s">
        <v>1</v>
      </c>
      <c r="C25" s="6" t="s">
        <v>2</v>
      </c>
      <c r="D25" s="116" t="s">
        <v>310</v>
      </c>
      <c r="E25" s="6" t="s">
        <v>311</v>
      </c>
      <c r="F25" s="6">
        <v>1068805</v>
      </c>
      <c r="G25" s="8" t="s">
        <v>564</v>
      </c>
      <c r="H25" s="129">
        <v>29000.001500000009</v>
      </c>
      <c r="I25" s="129">
        <v>5220.0002700000014</v>
      </c>
      <c r="J25" s="9">
        <v>1</v>
      </c>
      <c r="K25" s="9">
        <v>30087.006000000001</v>
      </c>
      <c r="L25" s="100">
        <v>5415.6610799999999</v>
      </c>
      <c r="M25" s="10">
        <v>1.0374829118543318</v>
      </c>
      <c r="N25" s="100">
        <v>195.66080999999849</v>
      </c>
      <c r="O25" s="100">
        <v>0</v>
      </c>
      <c r="P25" s="10">
        <v>0.50666666666666671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55545.241846153847</v>
      </c>
      <c r="Y25" s="9">
        <v>0</v>
      </c>
      <c r="Z25" s="9">
        <v>-1087.0044999999918</v>
      </c>
      <c r="AA25" s="132">
        <v>54810.002835000014</v>
      </c>
      <c r="AB25" s="132">
        <v>0</v>
      </c>
      <c r="AC25" s="11">
        <v>1.0374829118543318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/>
    </row>
    <row r="26" spans="1:62" ht="12.75" customHeight="1" x14ac:dyDescent="0.35">
      <c r="A26" s="118"/>
      <c r="B26" s="30" t="s">
        <v>1</v>
      </c>
      <c r="C26" s="6" t="s">
        <v>2</v>
      </c>
      <c r="D26" s="6" t="s">
        <v>306</v>
      </c>
      <c r="E26" s="6" t="s">
        <v>401</v>
      </c>
      <c r="F26" s="6">
        <v>1070092</v>
      </c>
      <c r="G26" s="8" t="s">
        <v>585</v>
      </c>
      <c r="H26" s="129">
        <v>4436.99118578249</v>
      </c>
      <c r="I26" s="129">
        <v>4436.99118578249</v>
      </c>
      <c r="J26" s="9">
        <v>0</v>
      </c>
      <c r="K26" s="9">
        <v>169</v>
      </c>
      <c r="L26" s="100">
        <v>169</v>
      </c>
      <c r="M26" s="10">
        <v>3.8088874402439417E-2</v>
      </c>
      <c r="N26" s="100">
        <v>4267.99118578249</v>
      </c>
      <c r="O26" s="100">
        <v>0</v>
      </c>
      <c r="P26" s="10">
        <v>0.75763937814395377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4436.99118578249</v>
      </c>
      <c r="Y26" s="9">
        <v>0</v>
      </c>
      <c r="Z26" s="9">
        <v>4267.99118578249</v>
      </c>
      <c r="AA26" s="132">
        <v>40066.030407615879</v>
      </c>
      <c r="AB26" s="132">
        <v>0</v>
      </c>
      <c r="AC26" s="11">
        <v>3.8088874402439465E-2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126"/>
      <c r="BJ26" s="31"/>
    </row>
    <row r="27" spans="1:62" ht="12.75" customHeight="1" x14ac:dyDescent="0.35">
      <c r="A27" s="118"/>
      <c r="B27" s="30" t="s">
        <v>148</v>
      </c>
      <c r="C27" s="6" t="s">
        <v>5</v>
      </c>
      <c r="D27" s="6" t="s">
        <v>318</v>
      </c>
      <c r="E27" s="6" t="s">
        <v>319</v>
      </c>
      <c r="F27" s="120">
        <v>1065299</v>
      </c>
      <c r="G27" s="121" t="s">
        <v>506</v>
      </c>
      <c r="H27" s="129">
        <v>50000</v>
      </c>
      <c r="I27" s="129">
        <v>40000</v>
      </c>
      <c r="J27" s="9">
        <v>6</v>
      </c>
      <c r="K27" s="9">
        <v>19470</v>
      </c>
      <c r="L27" s="100">
        <v>15576</v>
      </c>
      <c r="M27" s="10">
        <v>0.38940000000000002</v>
      </c>
      <c r="N27" s="100">
        <v>24424</v>
      </c>
      <c r="O27" s="100">
        <v>0</v>
      </c>
      <c r="P27" s="10">
        <v>-57499999.999999993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50000</v>
      </c>
      <c r="Y27" s="9">
        <v>0</v>
      </c>
      <c r="Z27" s="9">
        <v>30530</v>
      </c>
      <c r="AA27" s="132">
        <v>366000</v>
      </c>
      <c r="AB27" s="132">
        <v>0</v>
      </c>
      <c r="AC27" s="11">
        <v>0.38939999999999997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/>
      <c r="BJ27" s="31" t="s">
        <v>814</v>
      </c>
    </row>
    <row r="28" spans="1:62" ht="12.75" customHeight="1" x14ac:dyDescent="0.35">
      <c r="A28" s="118"/>
      <c r="B28" s="30" t="s">
        <v>1</v>
      </c>
      <c r="C28" s="6" t="s">
        <v>2</v>
      </c>
      <c r="D28" s="6" t="s">
        <v>310</v>
      </c>
      <c r="E28" s="6" t="s">
        <v>311</v>
      </c>
      <c r="F28" s="6">
        <v>1078888</v>
      </c>
      <c r="G28" s="8" t="s">
        <v>717</v>
      </c>
      <c r="H28" s="129">
        <v>13050</v>
      </c>
      <c r="I28" s="129">
        <v>1305</v>
      </c>
      <c r="J28" s="9">
        <v>3</v>
      </c>
      <c r="K28" s="9">
        <v>7681</v>
      </c>
      <c r="L28" s="100">
        <v>768.1</v>
      </c>
      <c r="M28" s="10">
        <v>0.70444444444444443</v>
      </c>
      <c r="N28" s="100">
        <v>536.9</v>
      </c>
      <c r="O28" s="100">
        <v>0</v>
      </c>
      <c r="P28" s="10">
        <v>0.13187662241295764</v>
      </c>
      <c r="Q28" s="6">
        <v>1560</v>
      </c>
      <c r="R28" s="6">
        <v>1512</v>
      </c>
      <c r="S28" s="6">
        <v>48</v>
      </c>
      <c r="T28" s="6">
        <v>0</v>
      </c>
      <c r="U28" s="6">
        <v>0</v>
      </c>
      <c r="V28" s="6">
        <v>0</v>
      </c>
      <c r="W28" s="6">
        <v>36711</v>
      </c>
      <c r="X28" s="9">
        <v>16971.692307692309</v>
      </c>
      <c r="Y28" s="9">
        <v>8.484716632220167E-2</v>
      </c>
      <c r="Z28" s="9">
        <v>3809</v>
      </c>
      <c r="AA28" s="132">
        <v>18400.5</v>
      </c>
      <c r="AB28" s="132">
        <v>51830.189999999995</v>
      </c>
      <c r="AC28" s="11">
        <v>0.70812260536398464</v>
      </c>
      <c r="AD28" s="71"/>
      <c r="AE28" s="71">
        <v>109.37333145988478</v>
      </c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 t="s">
        <v>1</v>
      </c>
      <c r="BJ28" s="31"/>
    </row>
    <row r="29" spans="1:62" ht="12.75" customHeight="1" x14ac:dyDescent="0.35">
      <c r="A29" s="118"/>
      <c r="B29" s="30" t="s">
        <v>9</v>
      </c>
      <c r="C29" s="6" t="s">
        <v>5</v>
      </c>
      <c r="D29" s="6" t="s">
        <v>308</v>
      </c>
      <c r="E29" s="6" t="s">
        <v>802</v>
      </c>
      <c r="F29" s="6">
        <v>1079783</v>
      </c>
      <c r="G29" s="162" t="s">
        <v>803</v>
      </c>
      <c r="H29" s="129">
        <v>1070</v>
      </c>
      <c r="I29" s="129">
        <v>535</v>
      </c>
      <c r="J29" s="9">
        <v>0</v>
      </c>
      <c r="K29" s="9">
        <v>460</v>
      </c>
      <c r="L29" s="100">
        <v>230</v>
      </c>
      <c r="M29" s="10">
        <v>0.42990654205607476</v>
      </c>
      <c r="N29" s="100">
        <v>305</v>
      </c>
      <c r="O29" s="100">
        <v>0</v>
      </c>
      <c r="P29" s="10">
        <v>0</v>
      </c>
      <c r="Q29" s="6">
        <v>16</v>
      </c>
      <c r="R29" s="6">
        <v>0</v>
      </c>
      <c r="S29" s="6">
        <v>16</v>
      </c>
      <c r="T29" s="6">
        <v>0</v>
      </c>
      <c r="U29" s="6">
        <v>0</v>
      </c>
      <c r="V29" s="6">
        <v>0</v>
      </c>
      <c r="W29" s="6">
        <v>0</v>
      </c>
      <c r="X29" s="9">
        <v>1070</v>
      </c>
      <c r="Y29" s="9">
        <v>0.44859813084112149</v>
      </c>
      <c r="Z29" s="9">
        <v>594</v>
      </c>
      <c r="AA29" s="132">
        <v>22534.199999999997</v>
      </c>
      <c r="AB29" s="132">
        <v>336.96</v>
      </c>
      <c r="AC29" s="11">
        <v>0.44485981308411215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2"/>
      <c r="BJ29" s="31"/>
    </row>
    <row r="30" spans="1:62" ht="12.75" customHeight="1" x14ac:dyDescent="0.35">
      <c r="A30" s="118"/>
      <c r="B30" s="30" t="s">
        <v>31</v>
      </c>
      <c r="C30" s="6" t="s">
        <v>5</v>
      </c>
      <c r="D30" s="6" t="s">
        <v>306</v>
      </c>
      <c r="E30" s="6" t="s">
        <v>307</v>
      </c>
      <c r="F30" s="6">
        <v>1074077</v>
      </c>
      <c r="G30" s="8" t="s">
        <v>696</v>
      </c>
      <c r="H30" s="129">
        <v>50474.663472302091</v>
      </c>
      <c r="I30" s="129">
        <v>9388.2874058481884</v>
      </c>
      <c r="J30" s="9">
        <v>3</v>
      </c>
      <c r="K30" s="9">
        <v>10017</v>
      </c>
      <c r="L30" s="100">
        <v>1863.162</v>
      </c>
      <c r="M30" s="10">
        <v>0.21842641914888555</v>
      </c>
      <c r="N30" s="100">
        <v>7525.1254058481882</v>
      </c>
      <c r="O30" s="100">
        <v>0</v>
      </c>
      <c r="P30" s="10">
        <v>0.81202239874358628</v>
      </c>
      <c r="Q30" s="6">
        <v>2678</v>
      </c>
      <c r="R30" s="6">
        <v>1008</v>
      </c>
      <c r="S30" s="6">
        <v>1670</v>
      </c>
      <c r="T30" s="6">
        <v>0</v>
      </c>
      <c r="U30" s="6">
        <v>0</v>
      </c>
      <c r="V30" s="6">
        <v>0</v>
      </c>
      <c r="W30" s="6">
        <v>0</v>
      </c>
      <c r="X30" s="9">
        <v>50474.663472302091</v>
      </c>
      <c r="Y30" s="9">
        <v>0.99257719722078597</v>
      </c>
      <c r="Z30" s="9">
        <v>37779.663472302091</v>
      </c>
      <c r="AA30" s="132">
        <v>160509.42984192065</v>
      </c>
      <c r="AB30" s="132">
        <v>5310.6</v>
      </c>
      <c r="AC30" s="11">
        <v>0.25151232572291171</v>
      </c>
      <c r="AD30" s="71"/>
      <c r="AE30" s="71" t="s">
        <v>574</v>
      </c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2" t="s">
        <v>1</v>
      </c>
      <c r="BJ30" s="31" t="s">
        <v>809</v>
      </c>
    </row>
    <row r="31" spans="1:62" ht="12.75" customHeight="1" x14ac:dyDescent="0.35">
      <c r="A31" s="118"/>
      <c r="B31" s="30" t="s">
        <v>21</v>
      </c>
      <c r="C31" s="6" t="s">
        <v>2</v>
      </c>
      <c r="D31" s="6" t="s">
        <v>308</v>
      </c>
      <c r="E31" s="6" t="s">
        <v>395</v>
      </c>
      <c r="F31" s="141">
        <v>1070484</v>
      </c>
      <c r="G31" s="142" t="s">
        <v>615</v>
      </c>
      <c r="H31" s="129">
        <v>1800</v>
      </c>
      <c r="I31" s="129">
        <v>170.1</v>
      </c>
      <c r="J31" s="9">
        <v>37</v>
      </c>
      <c r="K31" s="9">
        <v>1592</v>
      </c>
      <c r="L31" s="100">
        <v>150.44399999999999</v>
      </c>
      <c r="M31" s="10">
        <v>0.89777777777777779</v>
      </c>
      <c r="N31" s="100">
        <v>19.656000000000006</v>
      </c>
      <c r="O31" s="100">
        <v>0</v>
      </c>
      <c r="P31" s="10">
        <v>0.46443305781390104</v>
      </c>
      <c r="Q31" s="6">
        <v>141</v>
      </c>
      <c r="R31" s="6">
        <v>24</v>
      </c>
      <c r="S31" s="6">
        <v>117</v>
      </c>
      <c r="T31" s="6">
        <v>0</v>
      </c>
      <c r="U31" s="6">
        <v>0</v>
      </c>
      <c r="V31" s="6">
        <v>0</v>
      </c>
      <c r="W31" s="6">
        <v>0</v>
      </c>
      <c r="X31" s="9">
        <v>2983.3846153846157</v>
      </c>
      <c r="Y31" s="9">
        <v>1.1765160891089106</v>
      </c>
      <c r="Z31" s="9">
        <v>67</v>
      </c>
      <c r="AA31" s="132">
        <v>13968</v>
      </c>
      <c r="AB31" s="132">
        <v>907.92</v>
      </c>
      <c r="AC31" s="11">
        <v>0.96277777777777773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2" t="s">
        <v>1</v>
      </c>
      <c r="BJ31" s="31"/>
    </row>
    <row r="32" spans="1:62" ht="12.75" customHeight="1" x14ac:dyDescent="0.35">
      <c r="A32" s="118"/>
      <c r="B32" s="30">
        <v>0</v>
      </c>
      <c r="C32" s="6" t="s">
        <v>2</v>
      </c>
      <c r="D32" s="6" t="s">
        <v>308</v>
      </c>
      <c r="E32" s="6" t="s">
        <v>395</v>
      </c>
      <c r="F32" s="154">
        <v>1080731</v>
      </c>
      <c r="G32" s="162" t="s">
        <v>786</v>
      </c>
      <c r="H32" s="129">
        <v>5112.0003000000006</v>
      </c>
      <c r="I32" s="129">
        <v>417.65042451000005</v>
      </c>
      <c r="J32" s="9">
        <v>7</v>
      </c>
      <c r="K32" s="9">
        <v>6321</v>
      </c>
      <c r="L32" s="100">
        <v>516.42570000000001</v>
      </c>
      <c r="M32" s="10">
        <v>1.2365022748531527</v>
      </c>
      <c r="N32" s="100">
        <v>98.775275489999956</v>
      </c>
      <c r="O32" s="100">
        <v>0</v>
      </c>
      <c r="P32" s="10">
        <v>0</v>
      </c>
      <c r="Q32" s="6">
        <v>587</v>
      </c>
      <c r="R32" s="6">
        <v>0</v>
      </c>
      <c r="S32" s="6">
        <v>587</v>
      </c>
      <c r="T32" s="6">
        <v>0</v>
      </c>
      <c r="U32" s="6">
        <v>0</v>
      </c>
      <c r="V32" s="6">
        <v>0</v>
      </c>
      <c r="W32" s="6">
        <v>0</v>
      </c>
      <c r="X32" s="9">
        <v>11669.538461538463</v>
      </c>
      <c r="Y32" s="9">
        <v>1.5090571112165796</v>
      </c>
      <c r="Z32" s="9">
        <v>-1795.9996999999994</v>
      </c>
      <c r="AA32" s="132">
        <v>63439.923723000007</v>
      </c>
      <c r="AB32" s="132">
        <v>7284.67</v>
      </c>
      <c r="AC32" s="11">
        <v>1.3513301241394684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2" t="s">
        <v>1</v>
      </c>
      <c r="BJ32" s="31"/>
    </row>
    <row r="33" spans="1:62" ht="12.75" customHeight="1" x14ac:dyDescent="0.35">
      <c r="A33" s="118"/>
      <c r="B33" s="30">
        <v>0</v>
      </c>
      <c r="C33" s="6" t="s">
        <v>5</v>
      </c>
      <c r="D33" s="6" t="s">
        <v>318</v>
      </c>
      <c r="E33" s="6" t="s">
        <v>319</v>
      </c>
      <c r="F33" s="120">
        <v>1079428</v>
      </c>
      <c r="G33" s="121" t="s">
        <v>734</v>
      </c>
      <c r="H33" s="129">
        <v>10000</v>
      </c>
      <c r="I33" s="129">
        <v>8000</v>
      </c>
      <c r="J33" s="9">
        <v>6</v>
      </c>
      <c r="K33" s="9">
        <v>10002</v>
      </c>
      <c r="L33" s="100">
        <v>8001.6</v>
      </c>
      <c r="M33" s="10">
        <v>1.0002</v>
      </c>
      <c r="N33" s="100">
        <v>1.6000000000003638</v>
      </c>
      <c r="O33" s="100">
        <v>0</v>
      </c>
      <c r="P33" s="10">
        <v>0</v>
      </c>
      <c r="Q33" s="6">
        <v>1170</v>
      </c>
      <c r="R33" s="6">
        <v>0</v>
      </c>
      <c r="S33" s="6">
        <v>1170</v>
      </c>
      <c r="T33" s="6">
        <v>0</v>
      </c>
      <c r="U33" s="6">
        <v>0</v>
      </c>
      <c r="V33" s="6">
        <v>0</v>
      </c>
      <c r="W33" s="6">
        <v>0</v>
      </c>
      <c r="X33" s="9">
        <v>18465.23076923077</v>
      </c>
      <c r="Y33" s="9">
        <v>1.9008698260347929</v>
      </c>
      <c r="Z33" s="9">
        <v>-1172</v>
      </c>
      <c r="AA33" s="132">
        <v>77800</v>
      </c>
      <c r="AB33" s="132">
        <v>9102.6</v>
      </c>
      <c r="AC33" s="11">
        <v>1.1172</v>
      </c>
      <c r="AD33" s="71"/>
      <c r="AE33" s="71" t="s">
        <v>574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31"/>
    </row>
    <row r="34" spans="1:62" ht="12.75" customHeight="1" x14ac:dyDescent="0.35">
      <c r="A34" s="118"/>
      <c r="B34" s="30" t="s">
        <v>1</v>
      </c>
      <c r="C34" s="6" t="s">
        <v>24</v>
      </c>
      <c r="D34" s="6" t="s">
        <v>316</v>
      </c>
      <c r="E34" s="6" t="s">
        <v>400</v>
      </c>
      <c r="F34" s="6">
        <v>1024997</v>
      </c>
      <c r="G34" s="8" t="s">
        <v>62</v>
      </c>
      <c r="H34" s="129">
        <v>64206.610054715675</v>
      </c>
      <c r="I34" s="129">
        <v>13611.801331599723</v>
      </c>
      <c r="J34" s="9">
        <v>11</v>
      </c>
      <c r="K34" s="9">
        <v>57723</v>
      </c>
      <c r="L34" s="100">
        <v>12237.276</v>
      </c>
      <c r="M34" s="10">
        <v>0.95944950134422413</v>
      </c>
      <c r="N34" s="100">
        <v>1374.5253315997234</v>
      </c>
      <c r="O34" s="100">
        <v>0</v>
      </c>
      <c r="P34" s="10">
        <v>0.65575821224895914</v>
      </c>
      <c r="Q34" s="6">
        <v>16649</v>
      </c>
      <c r="R34" s="6">
        <v>3880</v>
      </c>
      <c r="S34" s="6">
        <v>12769</v>
      </c>
      <c r="T34" s="6">
        <v>0</v>
      </c>
      <c r="U34" s="6">
        <v>0</v>
      </c>
      <c r="V34" s="6">
        <v>0</v>
      </c>
      <c r="W34" s="6">
        <v>0</v>
      </c>
      <c r="X34" s="9">
        <v>113728.61538461539</v>
      </c>
      <c r="Y34" s="9">
        <v>3.3682815771959156</v>
      </c>
      <c r="Z34" s="9">
        <v>-10165.389945284325</v>
      </c>
      <c r="AA34" s="132">
        <v>325527.51297740848</v>
      </c>
      <c r="AB34" s="132">
        <v>64738.83</v>
      </c>
      <c r="AC34" s="11">
        <v>1.1583231062443815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2" t="s">
        <v>1</v>
      </c>
      <c r="BJ34" s="31" t="s">
        <v>811</v>
      </c>
    </row>
    <row r="35" spans="1:62" ht="12.75" customHeight="1" x14ac:dyDescent="0.35">
      <c r="A35" s="118"/>
      <c r="B35" s="30" t="s">
        <v>1</v>
      </c>
      <c r="C35" s="6" t="s">
        <v>24</v>
      </c>
      <c r="D35" s="6" t="s">
        <v>316</v>
      </c>
      <c r="E35" s="6" t="s">
        <v>317</v>
      </c>
      <c r="F35" s="6">
        <v>1070881</v>
      </c>
      <c r="G35" s="8" t="s">
        <v>684</v>
      </c>
      <c r="H35" s="129">
        <v>817.98821238750725</v>
      </c>
      <c r="I35" s="129">
        <v>88.342726937850784</v>
      </c>
      <c r="J35" s="9">
        <v>0</v>
      </c>
      <c r="K35" s="9">
        <v>786</v>
      </c>
      <c r="L35" s="100">
        <v>84.888000000000005</v>
      </c>
      <c r="M35" s="10">
        <v>1.0195745945601811</v>
      </c>
      <c r="N35" s="100">
        <v>3.4547269378507792</v>
      </c>
      <c r="O35" s="100">
        <v>15.753558310988762</v>
      </c>
      <c r="P35" s="10">
        <v>1.6346414618561793</v>
      </c>
      <c r="Q35" s="6">
        <v>259</v>
      </c>
      <c r="R35" s="6">
        <v>48</v>
      </c>
      <c r="S35" s="6">
        <v>211</v>
      </c>
      <c r="T35" s="6">
        <v>0</v>
      </c>
      <c r="U35" s="6">
        <v>0</v>
      </c>
      <c r="V35" s="6">
        <v>0</v>
      </c>
      <c r="W35" s="6">
        <v>0</v>
      </c>
      <c r="X35" s="9">
        <v>1539.6923076923078</v>
      </c>
      <c r="Y35" s="9">
        <v>4.1112110311750598</v>
      </c>
      <c r="Z35" s="9">
        <v>-227.01178761249275</v>
      </c>
      <c r="AA35" s="132">
        <v>4335.3375256537884</v>
      </c>
      <c r="AB35" s="132">
        <v>1118.3</v>
      </c>
      <c r="AC35" s="11">
        <v>1.2775245219608984</v>
      </c>
      <c r="AD35" s="71"/>
      <c r="AE35" s="71" t="s">
        <v>574</v>
      </c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 t="s">
        <v>1</v>
      </c>
      <c r="BJ35" s="31"/>
    </row>
    <row r="36" spans="1:62" ht="12.75" customHeight="1" x14ac:dyDescent="0.35">
      <c r="A36" s="118"/>
      <c r="B36" s="30" t="s">
        <v>21</v>
      </c>
      <c r="C36" s="6" t="s">
        <v>5</v>
      </c>
      <c r="D36" s="6" t="s">
        <v>396</v>
      </c>
      <c r="E36" s="6" t="s">
        <v>307</v>
      </c>
      <c r="F36" s="6">
        <v>1058296</v>
      </c>
      <c r="G36" s="8" t="s">
        <v>249</v>
      </c>
      <c r="H36" s="129">
        <v>5803.4381918460649</v>
      </c>
      <c r="I36" s="129">
        <v>2901.7190959230325</v>
      </c>
      <c r="J36" s="9">
        <v>0</v>
      </c>
      <c r="K36" s="9">
        <v>3803</v>
      </c>
      <c r="L36" s="100">
        <v>1901.5</v>
      </c>
      <c r="M36" s="10">
        <v>0.71319791185428139</v>
      </c>
      <c r="N36" s="100">
        <v>1000.2190959230325</v>
      </c>
      <c r="O36" s="100">
        <v>0</v>
      </c>
      <c r="P36" s="10">
        <v>0.40700647800886469</v>
      </c>
      <c r="Q36" s="6">
        <v>1558</v>
      </c>
      <c r="R36" s="6">
        <v>336</v>
      </c>
      <c r="S36" s="6">
        <v>1222</v>
      </c>
      <c r="T36" s="6">
        <v>0</v>
      </c>
      <c r="U36" s="6">
        <v>0</v>
      </c>
      <c r="V36" s="6">
        <v>0</v>
      </c>
      <c r="W36" s="6">
        <v>0</v>
      </c>
      <c r="X36" s="9">
        <v>7641.2307692307695</v>
      </c>
      <c r="Y36" s="9">
        <v>4.7976564387533216</v>
      </c>
      <c r="Z36" s="9">
        <v>442.43819184606491</v>
      </c>
      <c r="AA36" s="132">
        <v>32209.081964745659</v>
      </c>
      <c r="AB36" s="132">
        <v>6782.0999999999995</v>
      </c>
      <c r="AC36" s="11">
        <v>0.92376274594124252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/>
      <c r="BJ36" s="31"/>
    </row>
    <row r="37" spans="1:62" ht="12.75" customHeight="1" x14ac:dyDescent="0.35">
      <c r="A37" s="118"/>
      <c r="B37" s="30" t="s">
        <v>1</v>
      </c>
      <c r="C37" s="6" t="s">
        <v>24</v>
      </c>
      <c r="D37" s="6" t="s">
        <v>316</v>
      </c>
      <c r="E37" s="6" t="s">
        <v>317</v>
      </c>
      <c r="F37" s="6">
        <v>1070721</v>
      </c>
      <c r="G37" s="8" t="s">
        <v>683</v>
      </c>
      <c r="H37" s="129">
        <v>3064.7964694214656</v>
      </c>
      <c r="I37" s="129">
        <v>330.99801869751826</v>
      </c>
      <c r="J37" s="9">
        <v>0</v>
      </c>
      <c r="K37" s="9">
        <v>4188</v>
      </c>
      <c r="L37" s="100">
        <v>452.30399999999997</v>
      </c>
      <c r="M37" s="10">
        <v>1.444794146749935</v>
      </c>
      <c r="N37" s="100">
        <v>121.30598130248171</v>
      </c>
      <c r="O37" s="100">
        <v>0</v>
      </c>
      <c r="P37" s="10">
        <v>0.84488487140410262</v>
      </c>
      <c r="Q37" s="6">
        <v>1812</v>
      </c>
      <c r="R37" s="6">
        <v>240</v>
      </c>
      <c r="S37" s="6">
        <v>1572</v>
      </c>
      <c r="T37" s="6">
        <v>0</v>
      </c>
      <c r="U37" s="6">
        <v>0</v>
      </c>
      <c r="V37" s="6">
        <v>0</v>
      </c>
      <c r="W37" s="6">
        <v>0</v>
      </c>
      <c r="X37" s="9">
        <v>8174.7692307692314</v>
      </c>
      <c r="Y37" s="9">
        <v>5.7689701897018963</v>
      </c>
      <c r="Z37" s="9">
        <v>-2935.2035305785344</v>
      </c>
      <c r="AA37" s="132">
        <v>16212.773323239553</v>
      </c>
      <c r="AB37" s="132">
        <v>8315.8799999999992</v>
      </c>
      <c r="AC37" s="11">
        <v>1.9577156460026219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 t="s">
        <v>796</v>
      </c>
    </row>
    <row r="38" spans="1:62" ht="12.75" customHeight="1" x14ac:dyDescent="0.35">
      <c r="A38" s="118"/>
      <c r="B38" s="30" t="s">
        <v>21</v>
      </c>
      <c r="C38" s="6" t="s">
        <v>5</v>
      </c>
      <c r="D38" s="116" t="s">
        <v>396</v>
      </c>
      <c r="E38" s="6" t="s">
        <v>307</v>
      </c>
      <c r="F38" s="6">
        <v>1082268</v>
      </c>
      <c r="G38" s="8" t="s">
        <v>773</v>
      </c>
      <c r="H38" s="129">
        <v>7988.1708583734708</v>
      </c>
      <c r="I38" s="129">
        <v>1597.6341716746942</v>
      </c>
      <c r="J38" s="9">
        <v>0</v>
      </c>
      <c r="K38" s="9">
        <v>5248</v>
      </c>
      <c r="L38" s="100">
        <v>1049.6000000000001</v>
      </c>
      <c r="M38" s="10">
        <v>0.70504250595696105</v>
      </c>
      <c r="N38" s="100">
        <v>548.03417167469411</v>
      </c>
      <c r="O38" s="100">
        <v>9.3501538754522819</v>
      </c>
      <c r="P38" s="10">
        <v>1.3814837542702303</v>
      </c>
      <c r="Q38" s="6">
        <v>2476</v>
      </c>
      <c r="R38" s="6">
        <v>384</v>
      </c>
      <c r="S38" s="6">
        <v>2092</v>
      </c>
      <c r="T38" s="6">
        <v>0</v>
      </c>
      <c r="U38" s="6">
        <v>0</v>
      </c>
      <c r="V38" s="6">
        <v>0</v>
      </c>
      <c r="W38" s="6">
        <v>0</v>
      </c>
      <c r="X38" s="9">
        <v>10397.538461538463</v>
      </c>
      <c r="Y38" s="9">
        <v>6.0360440340909083</v>
      </c>
      <c r="Z38" s="9">
        <v>264.17085837347076</v>
      </c>
      <c r="AA38" s="132">
        <v>19251.491768680065</v>
      </c>
      <c r="AB38" s="132">
        <v>5041.72</v>
      </c>
      <c r="AC38" s="11">
        <v>0.96692974361000827</v>
      </c>
      <c r="AD38" s="72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1</v>
      </c>
      <c r="C39" s="6" t="s">
        <v>24</v>
      </c>
      <c r="D39" s="116" t="s">
        <v>316</v>
      </c>
      <c r="E39" s="6" t="s">
        <v>400</v>
      </c>
      <c r="F39" s="6">
        <v>1057538</v>
      </c>
      <c r="G39" s="4" t="s">
        <v>450</v>
      </c>
      <c r="H39" s="129">
        <v>5783.2229539555683</v>
      </c>
      <c r="I39" s="129">
        <v>4915.7395108622331</v>
      </c>
      <c r="J39" s="9">
        <v>10</v>
      </c>
      <c r="K39" s="9">
        <v>5225</v>
      </c>
      <c r="L39" s="100">
        <v>4441.25</v>
      </c>
      <c r="M39" s="10">
        <v>0.92768341160537215</v>
      </c>
      <c r="N39" s="100">
        <v>474.48951086223315</v>
      </c>
      <c r="O39" s="100">
        <v>25.942455056052843</v>
      </c>
      <c r="P39" s="10">
        <v>57.577142314021508</v>
      </c>
      <c r="Q39" s="6">
        <v>2750</v>
      </c>
      <c r="R39" s="6">
        <v>140</v>
      </c>
      <c r="S39" s="6">
        <v>2610</v>
      </c>
      <c r="T39" s="6">
        <v>0</v>
      </c>
      <c r="U39" s="6">
        <v>0</v>
      </c>
      <c r="V39" s="6">
        <v>0</v>
      </c>
      <c r="W39" s="6">
        <v>0</v>
      </c>
      <c r="X39" s="9">
        <v>9904.6153846153848</v>
      </c>
      <c r="Y39" s="9">
        <v>7.9054054054054044</v>
      </c>
      <c r="Z39" s="9">
        <v>-2191.7770460444317</v>
      </c>
      <c r="AA39" s="132">
        <v>107047.45687771757</v>
      </c>
      <c r="AB39" s="132">
        <v>48311.100000000006</v>
      </c>
      <c r="AC39" s="11">
        <v>1.3789888550890668</v>
      </c>
      <c r="AD39" s="72"/>
      <c r="AE39" s="71" t="s">
        <v>574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 t="s">
        <v>1</v>
      </c>
      <c r="BJ39" s="31"/>
    </row>
    <row r="40" spans="1:62" ht="12.75" customHeight="1" x14ac:dyDescent="0.35">
      <c r="A40" s="118"/>
      <c r="B40" s="30" t="s">
        <v>1</v>
      </c>
      <c r="C40" s="6" t="s">
        <v>17</v>
      </c>
      <c r="D40" s="116" t="s">
        <v>312</v>
      </c>
      <c r="E40" s="6" t="s">
        <v>398</v>
      </c>
      <c r="F40" s="6">
        <v>1067656</v>
      </c>
      <c r="G40" s="8" t="s">
        <v>536</v>
      </c>
      <c r="H40" s="129">
        <v>13306.06301006055</v>
      </c>
      <c r="I40" s="129">
        <v>1596.727561207266</v>
      </c>
      <c r="J40" s="9">
        <v>0</v>
      </c>
      <c r="K40" s="9">
        <v>12291</v>
      </c>
      <c r="L40" s="100">
        <v>1474.9199999999998</v>
      </c>
      <c r="M40" s="10">
        <v>1.3349553497957747</v>
      </c>
      <c r="N40" s="100">
        <v>121.80756120726619</v>
      </c>
      <c r="O40" s="100">
        <v>15.712344731653895</v>
      </c>
      <c r="P40" s="10">
        <v>1.7809669747989676</v>
      </c>
      <c r="Q40" s="6">
        <v>14976</v>
      </c>
      <c r="R40" s="6">
        <v>5472</v>
      </c>
      <c r="S40" s="6">
        <v>9504</v>
      </c>
      <c r="T40" s="6">
        <v>0</v>
      </c>
      <c r="U40" s="6">
        <v>0</v>
      </c>
      <c r="V40" s="6">
        <v>0</v>
      </c>
      <c r="W40" s="6">
        <v>0</v>
      </c>
      <c r="X40" s="9">
        <v>32793.230769230773</v>
      </c>
      <c r="Y40" s="9">
        <v>8.6944772842425255</v>
      </c>
      <c r="Z40" s="9">
        <v>-13960.93698993945</v>
      </c>
      <c r="AA40" s="132">
        <v>16632.578762575689</v>
      </c>
      <c r="AB40" s="132">
        <v>11880</v>
      </c>
      <c r="AC40" s="11">
        <v>2.0492162091359223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26" t="s">
        <v>1</v>
      </c>
      <c r="BJ40" s="31"/>
    </row>
    <row r="41" spans="1:62" ht="12.75" customHeight="1" x14ac:dyDescent="0.35">
      <c r="A41" s="118"/>
      <c r="B41" s="30">
        <v>0</v>
      </c>
      <c r="C41" s="6" t="s">
        <v>2</v>
      </c>
      <c r="D41" s="116" t="s">
        <v>308</v>
      </c>
      <c r="E41" s="6" t="s">
        <v>395</v>
      </c>
      <c r="F41" s="154">
        <v>1080732</v>
      </c>
      <c r="G41" s="162" t="s">
        <v>787</v>
      </c>
      <c r="H41" s="129">
        <v>4462.0001199999997</v>
      </c>
      <c r="I41" s="129">
        <v>417.19701121999998</v>
      </c>
      <c r="J41" s="9">
        <v>20</v>
      </c>
      <c r="K41" s="9">
        <v>3504</v>
      </c>
      <c r="L41" s="100">
        <v>327.62400000000002</v>
      </c>
      <c r="M41" s="10">
        <v>0.79336618215958277</v>
      </c>
      <c r="N41" s="100">
        <v>89.573011219999955</v>
      </c>
      <c r="O41" s="100">
        <v>0</v>
      </c>
      <c r="P41" s="10">
        <v>0</v>
      </c>
      <c r="Q41" s="6">
        <v>1944</v>
      </c>
      <c r="R41" s="6">
        <v>36</v>
      </c>
      <c r="S41" s="6">
        <v>1908</v>
      </c>
      <c r="T41" s="6">
        <v>0</v>
      </c>
      <c r="U41" s="6">
        <v>0</v>
      </c>
      <c r="V41" s="6">
        <v>0</v>
      </c>
      <c r="W41" s="6">
        <v>0</v>
      </c>
      <c r="X41" s="9">
        <v>6535.3846153846152</v>
      </c>
      <c r="Y41" s="9">
        <v>8.7584745762711869</v>
      </c>
      <c r="Z41" s="9">
        <v>-985.9998800000003</v>
      </c>
      <c r="AA41" s="132">
        <v>48992.761317600001</v>
      </c>
      <c r="AB41" s="132">
        <v>20949.84</v>
      </c>
      <c r="AC41" s="11">
        <v>1.2209771074591544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 t="s">
        <v>1</v>
      </c>
      <c r="BJ41" s="31"/>
    </row>
    <row r="42" spans="1:62" ht="12.75" customHeight="1" x14ac:dyDescent="0.35">
      <c r="A42" s="118"/>
      <c r="B42" s="30" t="s">
        <v>1</v>
      </c>
      <c r="C42" s="6" t="s">
        <v>2</v>
      </c>
      <c r="D42" s="6" t="s">
        <v>306</v>
      </c>
      <c r="E42" s="6" t="s">
        <v>401</v>
      </c>
      <c r="F42" s="6">
        <v>1077615</v>
      </c>
      <c r="G42" s="8" t="s">
        <v>725</v>
      </c>
      <c r="H42" s="129">
        <v>3848.7630089802624</v>
      </c>
      <c r="I42" s="129">
        <v>2116.8196549391446</v>
      </c>
      <c r="J42" s="9">
        <v>0</v>
      </c>
      <c r="K42" s="9">
        <v>1704</v>
      </c>
      <c r="L42" s="100">
        <v>937.2</v>
      </c>
      <c r="M42" s="10">
        <v>0.50197946599780052</v>
      </c>
      <c r="N42" s="100">
        <v>1179.6196549391445</v>
      </c>
      <c r="O42" s="100">
        <v>4.0771873983883173</v>
      </c>
      <c r="P42" s="10">
        <v>1.1571873474281942</v>
      </c>
      <c r="Q42" s="6">
        <v>1392</v>
      </c>
      <c r="R42" s="6">
        <v>228</v>
      </c>
      <c r="S42" s="6">
        <v>1164</v>
      </c>
      <c r="T42" s="6">
        <v>0</v>
      </c>
      <c r="U42" s="6">
        <v>0</v>
      </c>
      <c r="V42" s="6">
        <v>0</v>
      </c>
      <c r="W42" s="6">
        <v>0</v>
      </c>
      <c r="X42" s="9">
        <v>3848.7630089802624</v>
      </c>
      <c r="Y42" s="9">
        <v>9.0730450065440973</v>
      </c>
      <c r="Z42" s="9">
        <v>752.76300898026238</v>
      </c>
      <c r="AA42" s="132">
        <v>24478.132737114469</v>
      </c>
      <c r="AB42" s="132">
        <v>7403.04</v>
      </c>
      <c r="AC42" s="11">
        <v>0.80441429954927035</v>
      </c>
      <c r="AD42" s="71"/>
      <c r="AE42" s="71">
        <v>532.11500000000001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15</v>
      </c>
      <c r="C43" s="6" t="s">
        <v>5</v>
      </c>
      <c r="D43" s="6" t="s">
        <v>308</v>
      </c>
      <c r="E43" s="6" t="s">
        <v>315</v>
      </c>
      <c r="F43" s="6">
        <v>1073438</v>
      </c>
      <c r="G43" s="8" t="s">
        <v>634</v>
      </c>
      <c r="H43" s="129">
        <v>45954.882033875074</v>
      </c>
      <c r="I43" s="129">
        <v>17646.674701008029</v>
      </c>
      <c r="J43" s="9">
        <v>1</v>
      </c>
      <c r="K43" s="9">
        <v>23150</v>
      </c>
      <c r="L43" s="100">
        <v>8889.6</v>
      </c>
      <c r="M43" s="10">
        <v>0.59253769773421983</v>
      </c>
      <c r="N43" s="100">
        <v>8757.0747010080286</v>
      </c>
      <c r="O43" s="100">
        <v>0</v>
      </c>
      <c r="P43" s="10">
        <v>0</v>
      </c>
      <c r="Q43" s="6">
        <v>21189</v>
      </c>
      <c r="R43" s="6">
        <v>4080</v>
      </c>
      <c r="S43" s="6">
        <v>16469</v>
      </c>
      <c r="T43" s="6">
        <v>0</v>
      </c>
      <c r="U43" s="6">
        <v>0</v>
      </c>
      <c r="V43" s="6">
        <v>0</v>
      </c>
      <c r="W43" s="6">
        <v>0</v>
      </c>
      <c r="X43" s="9">
        <v>50270.769230769227</v>
      </c>
      <c r="Y43" s="9">
        <v>9.8281766434080051</v>
      </c>
      <c r="Z43" s="9">
        <v>1615.8820338750738</v>
      </c>
      <c r="AA43" s="132">
        <v>286758.46389138047</v>
      </c>
      <c r="AB43" s="132">
        <v>102766.56</v>
      </c>
      <c r="AC43" s="11">
        <v>0.96483764156583085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2"/>
      <c r="BJ43" s="31" t="s">
        <v>806</v>
      </c>
    </row>
    <row r="44" spans="1:62" ht="12.5" customHeight="1" x14ac:dyDescent="0.35">
      <c r="A44" s="118"/>
      <c r="B44" s="30" t="s">
        <v>22</v>
      </c>
      <c r="C44" s="6" t="s">
        <v>5</v>
      </c>
      <c r="D44" s="6" t="s">
        <v>396</v>
      </c>
      <c r="E44" s="6" t="s">
        <v>397</v>
      </c>
      <c r="F44" s="6">
        <v>1051097</v>
      </c>
      <c r="G44" s="8" t="s">
        <v>187</v>
      </c>
      <c r="H44" s="129">
        <v>1764.3759247823864</v>
      </c>
      <c r="I44" s="129">
        <v>1764.3759247823864</v>
      </c>
      <c r="J44" s="9">
        <v>17</v>
      </c>
      <c r="K44" s="9">
        <v>1545</v>
      </c>
      <c r="L44" s="100">
        <v>1545</v>
      </c>
      <c r="M44" s="10">
        <v>0.93064067409700124</v>
      </c>
      <c r="N44" s="100">
        <v>219.37592478238639</v>
      </c>
      <c r="O44" s="100">
        <v>10.494908900179723</v>
      </c>
      <c r="P44" s="10">
        <v>1.3575879419751062</v>
      </c>
      <c r="Q44" s="6">
        <v>1107</v>
      </c>
      <c r="R44" s="6">
        <v>97</v>
      </c>
      <c r="S44" s="6">
        <v>1010</v>
      </c>
      <c r="T44" s="6">
        <v>0</v>
      </c>
      <c r="U44" s="6">
        <v>4</v>
      </c>
      <c r="V44" s="6">
        <v>954</v>
      </c>
      <c r="W44" s="6">
        <v>0</v>
      </c>
      <c r="X44" s="9">
        <v>3031.3846153846157</v>
      </c>
      <c r="Y44" s="9">
        <v>9.9954323995127883</v>
      </c>
      <c r="Z44" s="9">
        <v>-887.62407521761361</v>
      </c>
      <c r="AA44" s="132">
        <v>35922.693828569383</v>
      </c>
      <c r="AB44" s="132">
        <v>40068.479999999996</v>
      </c>
      <c r="AC44" s="11">
        <v>1.5030810400153758</v>
      </c>
      <c r="AD44" s="71"/>
      <c r="AE44" s="71">
        <v>163.25564506978327</v>
      </c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 t="s">
        <v>1</v>
      </c>
      <c r="BJ44" s="31"/>
    </row>
    <row r="45" spans="1:62" ht="12.75" customHeight="1" x14ac:dyDescent="0.35">
      <c r="A45" s="118"/>
      <c r="B45" s="30" t="s">
        <v>21</v>
      </c>
      <c r="C45" s="6" t="s">
        <v>5</v>
      </c>
      <c r="D45" s="6" t="s">
        <v>396</v>
      </c>
      <c r="E45" s="6" t="s">
        <v>397</v>
      </c>
      <c r="F45" s="6">
        <v>1040796</v>
      </c>
      <c r="G45" s="8" t="s">
        <v>85</v>
      </c>
      <c r="H45" s="129">
        <v>7560.282408901393</v>
      </c>
      <c r="I45" s="129">
        <v>75602.824089013928</v>
      </c>
      <c r="J45" s="9">
        <v>1</v>
      </c>
      <c r="K45" s="9">
        <v>4573</v>
      </c>
      <c r="L45" s="100">
        <v>45730</v>
      </c>
      <c r="M45" s="10">
        <v>0.66174776673812119</v>
      </c>
      <c r="N45" s="100">
        <v>29872.824089013928</v>
      </c>
      <c r="O45" s="100">
        <v>0</v>
      </c>
      <c r="P45" s="10">
        <v>0.11730568641187113</v>
      </c>
      <c r="Q45" s="6">
        <v>3681</v>
      </c>
      <c r="R45" s="6">
        <v>430</v>
      </c>
      <c r="S45" s="6">
        <v>3251</v>
      </c>
      <c r="T45" s="6">
        <v>0</v>
      </c>
      <c r="U45" s="6">
        <v>0</v>
      </c>
      <c r="V45" s="6">
        <v>3030</v>
      </c>
      <c r="W45" s="6">
        <v>0</v>
      </c>
      <c r="X45" s="9">
        <v>9236.3076923076933</v>
      </c>
      <c r="Y45" s="9">
        <v>10.559414351389165</v>
      </c>
      <c r="Z45" s="9">
        <v>-693.71759109860704</v>
      </c>
      <c r="AA45" s="132">
        <v>83919.134738805456</v>
      </c>
      <c r="AB45" s="132">
        <v>69719.099999999991</v>
      </c>
      <c r="AC45" s="11">
        <v>1.0917581584362288</v>
      </c>
      <c r="AD45" s="71"/>
      <c r="AE45" s="71">
        <v>35.095263157894735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</v>
      </c>
      <c r="C46" s="6" t="s">
        <v>2</v>
      </c>
      <c r="D46" s="6" t="s">
        <v>306</v>
      </c>
      <c r="E46" s="6" t="s">
        <v>401</v>
      </c>
      <c r="F46" s="6">
        <v>1076131</v>
      </c>
      <c r="G46" s="8" t="s">
        <v>682</v>
      </c>
      <c r="H46" s="129">
        <v>68857.146591514174</v>
      </c>
      <c r="I46" s="129">
        <v>19280.001045623972</v>
      </c>
      <c r="J46" s="9">
        <v>6</v>
      </c>
      <c r="K46" s="9">
        <v>21820</v>
      </c>
      <c r="L46" s="100">
        <v>6109.6</v>
      </c>
      <c r="M46" s="10">
        <v>0.39287134798777501</v>
      </c>
      <c r="N46" s="100">
        <v>13170.401045623972</v>
      </c>
      <c r="O46" s="100">
        <v>69.911384810126577</v>
      </c>
      <c r="P46" s="10">
        <v>2.9338229130624134</v>
      </c>
      <c r="Q46" s="6">
        <v>28070</v>
      </c>
      <c r="R46" s="6">
        <v>5232</v>
      </c>
      <c r="S46" s="6">
        <v>22838</v>
      </c>
      <c r="T46" s="6">
        <v>0</v>
      </c>
      <c r="U46" s="6">
        <v>0</v>
      </c>
      <c r="V46" s="6">
        <v>0</v>
      </c>
      <c r="W46" s="6">
        <v>0</v>
      </c>
      <c r="X46" s="9">
        <v>68857.146591514174</v>
      </c>
      <c r="Y46" s="9">
        <v>9.9501654354703604</v>
      </c>
      <c r="Z46" s="9">
        <v>18967.146591514174</v>
      </c>
      <c r="AA46" s="132">
        <v>282314.30102520809</v>
      </c>
      <c r="AB46" s="132">
        <v>93635.799999999988</v>
      </c>
      <c r="AC46" s="11">
        <v>0.72454352917012033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/>
      <c r="BJ46" s="31"/>
    </row>
    <row r="47" spans="1:62" ht="12.5" customHeight="1" x14ac:dyDescent="0.35">
      <c r="A47" s="118"/>
      <c r="B47" s="30" t="s">
        <v>1</v>
      </c>
      <c r="C47" s="6" t="s">
        <v>50</v>
      </c>
      <c r="D47" s="6" t="s">
        <v>310</v>
      </c>
      <c r="E47" s="6" t="s">
        <v>403</v>
      </c>
      <c r="F47" s="6">
        <v>1061420</v>
      </c>
      <c r="G47" s="8" t="s">
        <v>537</v>
      </c>
      <c r="H47" s="129">
        <v>13636.527147160639</v>
      </c>
      <c r="I47" s="129">
        <v>1772.7485291308831</v>
      </c>
      <c r="J47" s="9">
        <v>407</v>
      </c>
      <c r="K47" s="9">
        <v>3311</v>
      </c>
      <c r="L47" s="100">
        <v>430.43</v>
      </c>
      <c r="M47" s="10">
        <v>0.28592323822065202</v>
      </c>
      <c r="N47" s="100">
        <v>1342.318529130883</v>
      </c>
      <c r="O47" s="100">
        <v>0</v>
      </c>
      <c r="P47" s="10">
        <v>0.97023350787840634</v>
      </c>
      <c r="Q47" s="6">
        <v>5289</v>
      </c>
      <c r="R47" s="6">
        <v>588</v>
      </c>
      <c r="S47" s="6">
        <v>4701</v>
      </c>
      <c r="T47" s="6">
        <v>0</v>
      </c>
      <c r="U47" s="6">
        <v>14</v>
      </c>
      <c r="V47" s="6">
        <v>0</v>
      </c>
      <c r="W47" s="6">
        <v>15400</v>
      </c>
      <c r="X47" s="9">
        <v>13636.527147160639</v>
      </c>
      <c r="Y47" s="9">
        <v>10.342075990320225</v>
      </c>
      <c r="Z47" s="9">
        <v>5036.5271471606393</v>
      </c>
      <c r="AA47" s="132">
        <v>60955.276347808052</v>
      </c>
      <c r="AB47" s="132">
        <v>89914.049999999988</v>
      </c>
      <c r="AC47" s="11">
        <v>0.63065910456465946</v>
      </c>
      <c r="AD47" s="71"/>
      <c r="AE47" s="71" t="s">
        <v>574</v>
      </c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 t="s">
        <v>1</v>
      </c>
      <c r="BJ47" s="31"/>
    </row>
    <row r="48" spans="1:62" ht="12.5" customHeight="1" x14ac:dyDescent="0.35">
      <c r="A48" s="118"/>
      <c r="B48" s="30" t="s">
        <v>1</v>
      </c>
      <c r="C48" s="6" t="s">
        <v>5</v>
      </c>
      <c r="D48" s="6" t="s">
        <v>308</v>
      </c>
      <c r="E48" s="6" t="s">
        <v>307</v>
      </c>
      <c r="F48" s="133">
        <v>1082266</v>
      </c>
      <c r="G48" s="134" t="s">
        <v>756</v>
      </c>
      <c r="H48" s="129">
        <v>105863</v>
      </c>
      <c r="I48" s="129">
        <v>0</v>
      </c>
      <c r="J48" s="9">
        <v>658</v>
      </c>
      <c r="K48" s="9">
        <v>20350</v>
      </c>
      <c r="L48" s="100">
        <v>0</v>
      </c>
      <c r="M48" s="10">
        <v>0.38853990534936661</v>
      </c>
      <c r="N48" s="100">
        <v>0</v>
      </c>
      <c r="O48" s="100">
        <v>0</v>
      </c>
      <c r="P48" s="10">
        <v>0</v>
      </c>
      <c r="Q48" s="6">
        <v>64482</v>
      </c>
      <c r="R48" s="6">
        <v>20782</v>
      </c>
      <c r="S48" s="6">
        <v>40560</v>
      </c>
      <c r="T48" s="6">
        <v>5400</v>
      </c>
      <c r="U48" s="6">
        <v>0</v>
      </c>
      <c r="V48" s="6">
        <v>0</v>
      </c>
      <c r="W48" s="6">
        <v>0</v>
      </c>
      <c r="X48" s="9">
        <v>105863</v>
      </c>
      <c r="Y48" s="9">
        <v>11.494100866213879</v>
      </c>
      <c r="Z48" s="9">
        <v>15631</v>
      </c>
      <c r="AA48" s="132">
        <v>795031.13</v>
      </c>
      <c r="AB48" s="132">
        <v>345159.6</v>
      </c>
      <c r="AC48" s="11">
        <v>0.85234690118360523</v>
      </c>
      <c r="AD48" s="71"/>
      <c r="AE48" s="71" t="s">
        <v>574</v>
      </c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/>
    </row>
    <row r="49" spans="1:62" ht="12.75" customHeight="1" x14ac:dyDescent="0.35">
      <c r="A49" s="118"/>
      <c r="B49" s="30" t="s">
        <v>1</v>
      </c>
      <c r="C49" s="6" t="s">
        <v>50</v>
      </c>
      <c r="D49" s="6" t="s">
        <v>320</v>
      </c>
      <c r="E49" s="6" t="s">
        <v>402</v>
      </c>
      <c r="F49" s="148">
        <v>1060791</v>
      </c>
      <c r="G49" s="149" t="s">
        <v>428</v>
      </c>
      <c r="H49" s="129">
        <v>10037.747435513329</v>
      </c>
      <c r="I49" s="129">
        <v>1806.7945383923991</v>
      </c>
      <c r="J49" s="9">
        <v>0</v>
      </c>
      <c r="K49" s="9">
        <v>7280</v>
      </c>
      <c r="L49" s="100">
        <v>1310.3999999999999</v>
      </c>
      <c r="M49" s="10">
        <v>0.84799902116332715</v>
      </c>
      <c r="N49" s="100">
        <v>496.39453839239923</v>
      </c>
      <c r="O49" s="100">
        <v>0</v>
      </c>
      <c r="P49" s="10">
        <v>0.95433688804585515</v>
      </c>
      <c r="Q49" s="6">
        <v>7871</v>
      </c>
      <c r="R49" s="6">
        <v>1232</v>
      </c>
      <c r="S49" s="6">
        <v>6639</v>
      </c>
      <c r="T49" s="6">
        <v>0</v>
      </c>
      <c r="U49" s="6">
        <v>0</v>
      </c>
      <c r="V49" s="6">
        <v>0</v>
      </c>
      <c r="W49" s="6">
        <v>0</v>
      </c>
      <c r="X49" s="9">
        <v>15714.461538461539</v>
      </c>
      <c r="Y49" s="9">
        <v>12.674312734962406</v>
      </c>
      <c r="Z49" s="9">
        <v>-5113.252564486671</v>
      </c>
      <c r="AA49" s="132">
        <v>68858.947407621439</v>
      </c>
      <c r="AB49" s="132">
        <v>45543.54</v>
      </c>
      <c r="AC49" s="11">
        <v>1.5094023930504663</v>
      </c>
      <c r="AD49" s="71"/>
      <c r="AE49" s="71">
        <v>5.2400270453008789E-2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2</v>
      </c>
      <c r="D50" s="6" t="s">
        <v>310</v>
      </c>
      <c r="E50" s="6" t="s">
        <v>311</v>
      </c>
      <c r="F50" s="123">
        <v>1080749</v>
      </c>
      <c r="G50" s="124" t="s">
        <v>769</v>
      </c>
      <c r="H50" s="173">
        <v>7737.0674500905316</v>
      </c>
      <c r="I50" s="129">
        <v>1392.6721410162957</v>
      </c>
      <c r="J50" s="9">
        <v>1</v>
      </c>
      <c r="K50" s="9">
        <v>5946</v>
      </c>
      <c r="L50" s="100">
        <v>1070.28</v>
      </c>
      <c r="M50" s="10">
        <v>0.79177285703103439</v>
      </c>
      <c r="N50" s="100">
        <v>322.39214101629568</v>
      </c>
      <c r="O50" s="100">
        <v>0</v>
      </c>
      <c r="P50" s="10">
        <v>0</v>
      </c>
      <c r="Q50" s="6">
        <v>5060</v>
      </c>
      <c r="R50" s="6">
        <v>180</v>
      </c>
      <c r="S50" s="6">
        <v>4880</v>
      </c>
      <c r="T50" s="6">
        <v>0</v>
      </c>
      <c r="U50" s="6">
        <v>0</v>
      </c>
      <c r="V50" s="6">
        <v>0</v>
      </c>
      <c r="W50" s="6">
        <v>3</v>
      </c>
      <c r="X50" s="9">
        <v>11309.538461538463</v>
      </c>
      <c r="Y50" s="9">
        <v>12.944825334639242</v>
      </c>
      <c r="Z50" s="9">
        <v>-3268.9325499094684</v>
      </c>
      <c r="AA50" s="132">
        <v>30716.157776859411</v>
      </c>
      <c r="AB50" s="132">
        <v>19385.510000000002</v>
      </c>
      <c r="AC50" s="11">
        <v>1.4225027855833439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2"/>
      <c r="BJ50" s="31" t="s">
        <v>820</v>
      </c>
    </row>
    <row r="51" spans="1:62" ht="12.5" customHeight="1" x14ac:dyDescent="0.35">
      <c r="A51" s="118"/>
      <c r="B51" s="30" t="s">
        <v>1</v>
      </c>
      <c r="C51" s="6" t="s">
        <v>50</v>
      </c>
      <c r="D51" s="6" t="s">
        <v>320</v>
      </c>
      <c r="E51" s="6" t="s">
        <v>402</v>
      </c>
      <c r="F51" s="6">
        <v>1060792</v>
      </c>
      <c r="G51" s="8" t="s">
        <v>429</v>
      </c>
      <c r="H51" s="129">
        <v>16066.162522451083</v>
      </c>
      <c r="I51" s="129">
        <v>2891.9092540411948</v>
      </c>
      <c r="J51" s="9">
        <v>0</v>
      </c>
      <c r="K51" s="9">
        <v>6376</v>
      </c>
      <c r="L51" s="100">
        <v>1147.68</v>
      </c>
      <c r="M51" s="10">
        <v>0.45760771993475174</v>
      </c>
      <c r="N51" s="100">
        <v>1744.2292540411947</v>
      </c>
      <c r="O51" s="100">
        <v>35.18355883595666</v>
      </c>
      <c r="P51" s="10">
        <v>2.2256312307942676</v>
      </c>
      <c r="Q51" s="6">
        <v>7792</v>
      </c>
      <c r="R51" s="6">
        <v>976</v>
      </c>
      <c r="S51" s="6">
        <v>6816</v>
      </c>
      <c r="T51" s="6">
        <v>0</v>
      </c>
      <c r="U51" s="6">
        <v>0</v>
      </c>
      <c r="V51" s="6">
        <v>0</v>
      </c>
      <c r="W51" s="6">
        <v>0</v>
      </c>
      <c r="X51" s="9">
        <v>16066.162522451083</v>
      </c>
      <c r="Y51" s="9">
        <v>12.727370317227699</v>
      </c>
      <c r="Z51" s="9">
        <v>1898.1625224510826</v>
      </c>
      <c r="AA51" s="132">
        <v>112141.81440670857</v>
      </c>
      <c r="AB51" s="132">
        <v>47575.68</v>
      </c>
      <c r="AC51" s="11">
        <v>0.88185339717567501</v>
      </c>
      <c r="AD51" s="71"/>
      <c r="AE51" s="71">
        <v>4.7401500938086309</v>
      </c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/>
    </row>
    <row r="52" spans="1:62" ht="12.5" customHeight="1" x14ac:dyDescent="0.35">
      <c r="A52" s="118"/>
      <c r="B52" s="30" t="s">
        <v>31</v>
      </c>
      <c r="C52" s="6" t="s">
        <v>5</v>
      </c>
      <c r="D52" s="6" t="s">
        <v>306</v>
      </c>
      <c r="E52" s="6" t="s">
        <v>404</v>
      </c>
      <c r="F52" s="6">
        <v>1072598</v>
      </c>
      <c r="G52" s="8" t="s">
        <v>608</v>
      </c>
      <c r="H52" s="129">
        <v>17556.575242424195</v>
      </c>
      <c r="I52" s="129">
        <v>2633.486286363629</v>
      </c>
      <c r="J52" s="9">
        <v>0</v>
      </c>
      <c r="K52" s="9">
        <v>7207</v>
      </c>
      <c r="L52" s="100">
        <v>1081.05</v>
      </c>
      <c r="M52" s="10">
        <v>0.4498029878240416</v>
      </c>
      <c r="N52" s="100">
        <v>1552.4362863636291</v>
      </c>
      <c r="O52" s="100">
        <v>0</v>
      </c>
      <c r="P52" s="10">
        <v>1.0953376829341508</v>
      </c>
      <c r="Q52" s="6">
        <v>8324</v>
      </c>
      <c r="R52" s="6">
        <v>690</v>
      </c>
      <c r="S52" s="6">
        <v>7634</v>
      </c>
      <c r="T52" s="6">
        <v>0</v>
      </c>
      <c r="U52" s="6">
        <v>1</v>
      </c>
      <c r="V52" s="6">
        <v>0</v>
      </c>
      <c r="W52" s="6">
        <v>0</v>
      </c>
      <c r="X52" s="9">
        <v>17556.575242424195</v>
      </c>
      <c r="Y52" s="9">
        <v>13.044685357915919</v>
      </c>
      <c r="Z52" s="9">
        <v>2025.5752424241946</v>
      </c>
      <c r="AA52" s="132">
        <v>25281.468349090839</v>
      </c>
      <c r="AB52" s="132">
        <v>10994.4</v>
      </c>
      <c r="AC52" s="11">
        <v>0.88462583308790554</v>
      </c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2" t="s">
        <v>1</v>
      </c>
      <c r="BJ52" s="31"/>
    </row>
    <row r="53" spans="1:62" ht="12.75" customHeight="1" x14ac:dyDescent="0.35">
      <c r="A53" s="118"/>
      <c r="B53" s="30" t="s">
        <v>1</v>
      </c>
      <c r="C53" s="6" t="s">
        <v>2</v>
      </c>
      <c r="D53" s="6" t="s">
        <v>306</v>
      </c>
      <c r="E53" s="6" t="s">
        <v>401</v>
      </c>
      <c r="F53" s="61">
        <v>1076365</v>
      </c>
      <c r="G53" s="70" t="s">
        <v>724</v>
      </c>
      <c r="H53" s="129">
        <v>14302.728100824259</v>
      </c>
      <c r="I53" s="129">
        <v>12872.455290741833</v>
      </c>
      <c r="J53" s="9">
        <v>6</v>
      </c>
      <c r="K53" s="9">
        <v>3073</v>
      </c>
      <c r="L53" s="100">
        <v>2765.7000000000003</v>
      </c>
      <c r="M53" s="10">
        <v>0.23373163332436869</v>
      </c>
      <c r="N53" s="100">
        <v>10106.755290741832</v>
      </c>
      <c r="O53" s="100">
        <v>0</v>
      </c>
      <c r="P53" s="10">
        <v>0</v>
      </c>
      <c r="Q53" s="6">
        <v>6668</v>
      </c>
      <c r="R53" s="6">
        <v>270</v>
      </c>
      <c r="S53" s="6">
        <v>6398</v>
      </c>
      <c r="T53" s="6">
        <v>0</v>
      </c>
      <c r="U53" s="6">
        <v>0</v>
      </c>
      <c r="V53" s="6">
        <v>0</v>
      </c>
      <c r="W53" s="6">
        <v>250</v>
      </c>
      <c r="X53" s="9">
        <v>14302.728100824259</v>
      </c>
      <c r="Y53" s="9">
        <v>13.419817439509222</v>
      </c>
      <c r="Z53" s="9">
        <v>4561.7281008242589</v>
      </c>
      <c r="AA53" s="132">
        <v>267604.04276642192</v>
      </c>
      <c r="AB53" s="132">
        <v>124384.08</v>
      </c>
      <c r="AC53" s="11">
        <v>0.6810588813080094</v>
      </c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1</v>
      </c>
      <c r="C54" s="6" t="s">
        <v>50</v>
      </c>
      <c r="D54" s="6" t="s">
        <v>320</v>
      </c>
      <c r="E54" s="6" t="s">
        <v>402</v>
      </c>
      <c r="F54" s="6">
        <v>1060799</v>
      </c>
      <c r="G54" s="8" t="s">
        <v>436</v>
      </c>
      <c r="H54" s="129">
        <v>18241.192352608981</v>
      </c>
      <c r="I54" s="129">
        <v>3283.4146234696163</v>
      </c>
      <c r="J54" s="9">
        <v>1</v>
      </c>
      <c r="K54" s="9">
        <v>4704</v>
      </c>
      <c r="L54" s="100">
        <v>846.71999999999991</v>
      </c>
      <c r="M54" s="10">
        <v>0.38418541203517692</v>
      </c>
      <c r="N54" s="100">
        <v>2436.6946234696165</v>
      </c>
      <c r="O54" s="100">
        <v>21.789990745354881</v>
      </c>
      <c r="P54" s="10">
        <v>1.7277318116975748</v>
      </c>
      <c r="Q54" s="6">
        <v>10507</v>
      </c>
      <c r="R54" s="6">
        <v>2304</v>
      </c>
      <c r="S54" s="6">
        <v>8203</v>
      </c>
      <c r="T54" s="6">
        <v>0</v>
      </c>
      <c r="U54" s="6">
        <v>0</v>
      </c>
      <c r="V54" s="6">
        <v>0</v>
      </c>
      <c r="W54" s="6">
        <v>0</v>
      </c>
      <c r="X54" s="9">
        <v>18241.192352608981</v>
      </c>
      <c r="Y54" s="9">
        <v>13.490894413204437</v>
      </c>
      <c r="Z54" s="9">
        <v>3030.1923526089813</v>
      </c>
      <c r="AA54" s="132">
        <v>124404.93184479326</v>
      </c>
      <c r="AB54" s="132">
        <v>55944.46</v>
      </c>
      <c r="AC54" s="11">
        <v>0.83388189247532485</v>
      </c>
      <c r="AD54" s="71"/>
      <c r="AE54" s="71" t="s">
        <v>574</v>
      </c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9</v>
      </c>
      <c r="C55" s="6" t="s">
        <v>5</v>
      </c>
      <c r="D55" s="6" t="s">
        <v>308</v>
      </c>
      <c r="E55" s="6" t="s">
        <v>802</v>
      </c>
      <c r="F55" s="6">
        <v>1079786</v>
      </c>
      <c r="G55" s="198" t="s">
        <v>808</v>
      </c>
      <c r="H55" s="129">
        <v>500</v>
      </c>
      <c r="I55" s="129">
        <v>250</v>
      </c>
      <c r="J55" s="9">
        <v>0</v>
      </c>
      <c r="K55" s="9">
        <v>1250</v>
      </c>
      <c r="L55" s="100">
        <v>625</v>
      </c>
      <c r="M55" s="10">
        <v>2.5</v>
      </c>
      <c r="N55" s="100">
        <v>375</v>
      </c>
      <c r="O55" s="100">
        <v>0</v>
      </c>
      <c r="P55" s="10">
        <v>0</v>
      </c>
      <c r="Q55" s="6">
        <v>1154</v>
      </c>
      <c r="R55" s="6">
        <v>0</v>
      </c>
      <c r="S55" s="6">
        <v>1154</v>
      </c>
      <c r="T55" s="6">
        <v>0</v>
      </c>
      <c r="U55" s="6">
        <v>0</v>
      </c>
      <c r="V55" s="6">
        <v>0</v>
      </c>
      <c r="W55" s="6">
        <v>0</v>
      </c>
      <c r="X55" s="9">
        <v>2307.6923076923076</v>
      </c>
      <c r="Y55" s="9">
        <v>15.001999999999999</v>
      </c>
      <c r="Z55" s="9">
        <v>-1904</v>
      </c>
      <c r="AA55" s="132">
        <v>12555</v>
      </c>
      <c r="AB55" s="132">
        <v>28976.94</v>
      </c>
      <c r="AC55" s="11">
        <v>4.8079999999999998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/>
      <c r="BJ55" s="31"/>
    </row>
    <row r="56" spans="1:62" ht="12.5" customHeight="1" x14ac:dyDescent="0.35">
      <c r="A56" s="118"/>
      <c r="B56" s="30" t="s">
        <v>31</v>
      </c>
      <c r="C56" s="6" t="s">
        <v>5</v>
      </c>
      <c r="D56" s="6" t="s">
        <v>396</v>
      </c>
      <c r="E56" s="6" t="s">
        <v>307</v>
      </c>
      <c r="F56" s="6">
        <v>1071765</v>
      </c>
      <c r="G56" s="8" t="s">
        <v>590</v>
      </c>
      <c r="H56" s="129">
        <v>17018.644969103352</v>
      </c>
      <c r="I56" s="129">
        <v>15316.780472193017</v>
      </c>
      <c r="J56" s="9">
        <v>5</v>
      </c>
      <c r="K56" s="9">
        <v>12431</v>
      </c>
      <c r="L56" s="100">
        <v>11187.9</v>
      </c>
      <c r="M56" s="10">
        <v>0.79389399241412362</v>
      </c>
      <c r="N56" s="100">
        <v>4128.8804721930173</v>
      </c>
      <c r="O56" s="100">
        <v>0</v>
      </c>
      <c r="P56" s="10">
        <v>0.74387490011117052</v>
      </c>
      <c r="Q56" s="6">
        <v>14389</v>
      </c>
      <c r="R56" s="6">
        <v>1080</v>
      </c>
      <c r="S56" s="6">
        <v>13303</v>
      </c>
      <c r="T56" s="6">
        <v>0</v>
      </c>
      <c r="U56" s="6">
        <v>0</v>
      </c>
      <c r="V56" s="6">
        <v>0</v>
      </c>
      <c r="W56" s="6">
        <v>2</v>
      </c>
      <c r="X56" s="9">
        <v>24943.384615384617</v>
      </c>
      <c r="Y56" s="9">
        <v>15.999833469025237</v>
      </c>
      <c r="Z56" s="9">
        <v>-9801.3550308966478</v>
      </c>
      <c r="AA56" s="132">
        <v>297826.28695930867</v>
      </c>
      <c r="AB56" s="132">
        <v>232837.5</v>
      </c>
      <c r="AC56" s="11">
        <v>1.5759186497333133</v>
      </c>
      <c r="AD56" s="71"/>
      <c r="AE56" s="71" t="s">
        <v>574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126" t="s">
        <v>1</v>
      </c>
      <c r="BJ56" s="31"/>
    </row>
    <row r="57" spans="1:62" ht="14" customHeight="1" x14ac:dyDescent="0.35">
      <c r="A57" s="118"/>
      <c r="B57" s="30" t="s">
        <v>1</v>
      </c>
      <c r="C57" s="6" t="s">
        <v>50</v>
      </c>
      <c r="D57" s="6" t="s">
        <v>320</v>
      </c>
      <c r="E57" s="6" t="s">
        <v>402</v>
      </c>
      <c r="F57" s="6">
        <v>1060800</v>
      </c>
      <c r="G57" s="8" t="s">
        <v>437</v>
      </c>
      <c r="H57" s="129">
        <v>50537.266334955777</v>
      </c>
      <c r="I57" s="129">
        <v>9096.707940292039</v>
      </c>
      <c r="J57" s="9">
        <v>3</v>
      </c>
      <c r="K57" s="9">
        <v>16001</v>
      </c>
      <c r="L57" s="100">
        <v>2880.18</v>
      </c>
      <c r="M57" s="10">
        <v>0.47824114268093504</v>
      </c>
      <c r="N57" s="100">
        <v>6216.5279402920387</v>
      </c>
      <c r="O57" s="100">
        <v>0.15490511017978395</v>
      </c>
      <c r="P57" s="10">
        <v>1.0194998908937889</v>
      </c>
      <c r="Q57" s="6">
        <v>34680</v>
      </c>
      <c r="R57" s="6">
        <v>8168</v>
      </c>
      <c r="S57" s="6">
        <v>26512</v>
      </c>
      <c r="T57" s="6">
        <v>0</v>
      </c>
      <c r="U57" s="6">
        <v>16</v>
      </c>
      <c r="V57" s="6">
        <v>0</v>
      </c>
      <c r="W57" s="6">
        <v>0</v>
      </c>
      <c r="X57" s="9">
        <v>50537.266334955777</v>
      </c>
      <c r="Y57" s="9">
        <v>15.738089091096382</v>
      </c>
      <c r="Z57" s="9">
        <v>-143.73366504422302</v>
      </c>
      <c r="AA57" s="132">
        <v>343653.41107769927</v>
      </c>
      <c r="AB57" s="132">
        <v>180390.39999999999</v>
      </c>
      <c r="AC57" s="11">
        <v>1.0028441123841478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 t="s">
        <v>819</v>
      </c>
    </row>
    <row r="58" spans="1:62" ht="12.75" customHeight="1" x14ac:dyDescent="0.35">
      <c r="A58" s="118"/>
      <c r="B58" s="30" t="s">
        <v>21</v>
      </c>
      <c r="C58" s="6" t="s">
        <v>5</v>
      </c>
      <c r="D58" s="6" t="s">
        <v>308</v>
      </c>
      <c r="E58" s="6" t="s">
        <v>395</v>
      </c>
      <c r="F58" s="6">
        <v>1069126</v>
      </c>
      <c r="G58" s="4" t="s">
        <v>556</v>
      </c>
      <c r="H58" s="129">
        <v>1389.5796226850573</v>
      </c>
      <c r="I58" s="129">
        <v>694.78981134252865</v>
      </c>
      <c r="J58" s="9">
        <v>1</v>
      </c>
      <c r="K58" s="9">
        <v>1430</v>
      </c>
      <c r="L58" s="100">
        <v>715</v>
      </c>
      <c r="M58" s="10">
        <v>1.2752058040229457</v>
      </c>
      <c r="N58" s="100">
        <v>20.210188657471349</v>
      </c>
      <c r="O58" s="100">
        <v>0</v>
      </c>
      <c r="P58" s="10">
        <v>0.45828844968684135</v>
      </c>
      <c r="Q58" s="6">
        <v>2211</v>
      </c>
      <c r="R58" s="6">
        <v>342</v>
      </c>
      <c r="S58" s="6">
        <v>1869</v>
      </c>
      <c r="T58" s="6">
        <v>0</v>
      </c>
      <c r="U58" s="6">
        <v>0</v>
      </c>
      <c r="V58" s="6">
        <v>0</v>
      </c>
      <c r="W58" s="6">
        <v>0</v>
      </c>
      <c r="X58" s="9">
        <v>3271.3846153846157</v>
      </c>
      <c r="Y58" s="9">
        <v>17.1395316027088</v>
      </c>
      <c r="Z58" s="9">
        <v>-2251.4203773149429</v>
      </c>
      <c r="AA58" s="132">
        <v>21635.754725206341</v>
      </c>
      <c r="AB58" s="132">
        <v>29100.33</v>
      </c>
      <c r="AC58" s="11">
        <v>2.6202168919004207</v>
      </c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21</v>
      </c>
      <c r="C59" s="6" t="s">
        <v>5</v>
      </c>
      <c r="D59" s="6" t="s">
        <v>396</v>
      </c>
      <c r="E59" s="6" t="s">
        <v>397</v>
      </c>
      <c r="F59" s="6">
        <v>1040797</v>
      </c>
      <c r="G59" s="4" t="s">
        <v>84</v>
      </c>
      <c r="H59" s="129">
        <v>2477.0810777471647</v>
      </c>
      <c r="I59" s="129">
        <v>24770.810777471648</v>
      </c>
      <c r="J59" s="9">
        <v>0</v>
      </c>
      <c r="K59" s="9">
        <v>2128</v>
      </c>
      <c r="L59" s="100">
        <v>21280</v>
      </c>
      <c r="M59" s="10">
        <v>0.8631126446391697</v>
      </c>
      <c r="N59" s="100">
        <v>3490.8107774716482</v>
      </c>
      <c r="O59" s="100">
        <v>32.699999999999996</v>
      </c>
      <c r="P59" s="10">
        <v>1.5449999999999999</v>
      </c>
      <c r="Q59" s="6">
        <v>2312</v>
      </c>
      <c r="R59" s="6">
        <v>10</v>
      </c>
      <c r="S59" s="6">
        <v>2302</v>
      </c>
      <c r="T59" s="6">
        <v>0</v>
      </c>
      <c r="U59" s="6">
        <v>0</v>
      </c>
      <c r="V59" s="6">
        <v>0</v>
      </c>
      <c r="W59" s="6">
        <v>0</v>
      </c>
      <c r="X59" s="9">
        <v>3947.0769230769233</v>
      </c>
      <c r="Y59" s="9">
        <v>17.496492048643592</v>
      </c>
      <c r="Z59" s="9">
        <v>-1962.9189222528353</v>
      </c>
      <c r="AA59" s="132">
        <v>24968.97726369142</v>
      </c>
      <c r="AB59" s="132">
        <v>23204.16</v>
      </c>
      <c r="AC59" s="11">
        <v>1.7924322461168911</v>
      </c>
      <c r="AD59" s="71"/>
      <c r="AE59" s="71">
        <v>27.489419348425013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1</v>
      </c>
      <c r="C60" s="6" t="s">
        <v>5</v>
      </c>
      <c r="D60" s="6" t="s">
        <v>396</v>
      </c>
      <c r="E60" s="6" t="s">
        <v>397</v>
      </c>
      <c r="F60" s="6">
        <v>1071302</v>
      </c>
      <c r="G60" s="8" t="s">
        <v>685</v>
      </c>
      <c r="H60" s="129">
        <v>350.00000010000002</v>
      </c>
      <c r="I60" s="129">
        <v>1575.00000045</v>
      </c>
      <c r="J60" s="9">
        <v>0</v>
      </c>
      <c r="K60" s="9">
        <v>110</v>
      </c>
      <c r="L60" s="100">
        <v>495</v>
      </c>
      <c r="M60" s="10">
        <v>0.51999999985142853</v>
      </c>
      <c r="N60" s="100">
        <v>1080.00000045</v>
      </c>
      <c r="O60" s="100">
        <v>0</v>
      </c>
      <c r="P60" s="10">
        <v>0.99955882352941172</v>
      </c>
      <c r="Q60" s="6">
        <v>269</v>
      </c>
      <c r="R60" s="6">
        <v>72</v>
      </c>
      <c r="S60" s="6">
        <v>197</v>
      </c>
      <c r="T60" s="6">
        <v>0</v>
      </c>
      <c r="U60" s="6">
        <v>0</v>
      </c>
      <c r="V60" s="6">
        <v>174</v>
      </c>
      <c r="W60" s="6">
        <v>0</v>
      </c>
      <c r="X60" s="9">
        <v>350.00000009999997</v>
      </c>
      <c r="Y60" s="9">
        <v>16.885714280889797</v>
      </c>
      <c r="Z60" s="9">
        <v>-28.999999899999978</v>
      </c>
      <c r="AA60" s="132">
        <v>24402.000006972001</v>
      </c>
      <c r="AB60" s="132">
        <v>25866.12</v>
      </c>
      <c r="AC60" s="11">
        <v>1.0828571425477551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2"/>
      <c r="BJ60" s="31"/>
    </row>
    <row r="61" spans="1:62" ht="12.75" customHeight="1" x14ac:dyDescent="0.35">
      <c r="A61" s="118"/>
      <c r="B61" s="30" t="s">
        <v>31</v>
      </c>
      <c r="C61" s="6" t="s">
        <v>5</v>
      </c>
      <c r="D61" s="6" t="s">
        <v>306</v>
      </c>
      <c r="E61" s="6" t="s">
        <v>307</v>
      </c>
      <c r="F61" s="6">
        <v>1077101</v>
      </c>
      <c r="G61" s="8" t="s">
        <v>677</v>
      </c>
      <c r="H61" s="129">
        <v>79232.958321532205</v>
      </c>
      <c r="I61" s="129">
        <v>3169.3183328612881</v>
      </c>
      <c r="J61" s="9">
        <v>0</v>
      </c>
      <c r="K61" s="9">
        <v>40440</v>
      </c>
      <c r="L61" s="100">
        <v>1617.6000000000001</v>
      </c>
      <c r="M61" s="10">
        <v>0.51039366517014295</v>
      </c>
      <c r="N61" s="100">
        <v>1551.718332861288</v>
      </c>
      <c r="O61" s="100">
        <v>0</v>
      </c>
      <c r="P61" s="10">
        <v>0.43426984382630046</v>
      </c>
      <c r="Q61" s="6">
        <v>43830</v>
      </c>
      <c r="R61" s="6">
        <v>0</v>
      </c>
      <c r="S61" s="6">
        <v>43830</v>
      </c>
      <c r="T61" s="6">
        <v>0</v>
      </c>
      <c r="U61" s="6">
        <v>0</v>
      </c>
      <c r="V61" s="6">
        <v>0</v>
      </c>
      <c r="W61" s="6">
        <v>0</v>
      </c>
      <c r="X61" s="9">
        <v>79232.958321532205</v>
      </c>
      <c r="Y61" s="9">
        <v>16.595366724337808</v>
      </c>
      <c r="Z61" s="9">
        <v>-5037.0416784677946</v>
      </c>
      <c r="AA61" s="132">
        <v>70517.332906163661</v>
      </c>
      <c r="AB61" s="132">
        <v>39008.699999999997</v>
      </c>
      <c r="AC61" s="11">
        <v>1.0635725559814033</v>
      </c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2" t="s">
        <v>1</v>
      </c>
      <c r="BJ61" s="31"/>
    </row>
    <row r="62" spans="1:62" ht="12.75" customHeight="1" x14ac:dyDescent="0.35">
      <c r="A62" s="118"/>
      <c r="B62" s="30" t="s">
        <v>1</v>
      </c>
      <c r="C62" s="6" t="s">
        <v>50</v>
      </c>
      <c r="D62" s="6" t="s">
        <v>320</v>
      </c>
      <c r="E62" s="6" t="s">
        <v>402</v>
      </c>
      <c r="F62" s="61">
        <v>1060798</v>
      </c>
      <c r="G62" s="70" t="s">
        <v>435</v>
      </c>
      <c r="H62" s="129">
        <v>12919.300242108769</v>
      </c>
      <c r="I62" s="129">
        <v>2325.4740435795784</v>
      </c>
      <c r="J62" s="9">
        <v>0</v>
      </c>
      <c r="K62" s="9">
        <v>7316</v>
      </c>
      <c r="L62" s="100">
        <v>1316.8799999999999</v>
      </c>
      <c r="M62" s="10">
        <v>0.64678425637672776</v>
      </c>
      <c r="N62" s="100">
        <v>1008.5940435795785</v>
      </c>
      <c r="O62" s="100">
        <v>0</v>
      </c>
      <c r="P62" s="10">
        <v>0.54039928122482395</v>
      </c>
      <c r="Q62" s="6">
        <v>10180</v>
      </c>
      <c r="R62" s="6">
        <v>1040</v>
      </c>
      <c r="S62" s="6">
        <v>9140</v>
      </c>
      <c r="T62" s="6">
        <v>0</v>
      </c>
      <c r="U62" s="6">
        <v>0</v>
      </c>
      <c r="V62" s="6">
        <v>0</v>
      </c>
      <c r="W62" s="6">
        <v>4408</v>
      </c>
      <c r="X62" s="9">
        <v>15426.461538461537</v>
      </c>
      <c r="Y62" s="9">
        <v>17.774652943992344</v>
      </c>
      <c r="Z62" s="9">
        <v>-4576.6997578912305</v>
      </c>
      <c r="AA62" s="132">
        <v>88626.399660866169</v>
      </c>
      <c r="AB62" s="132">
        <v>92939.28</v>
      </c>
      <c r="AC62" s="11">
        <v>1.3542529140219279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9</v>
      </c>
      <c r="C63" s="6" t="s">
        <v>5</v>
      </c>
      <c r="D63" s="6" t="s">
        <v>308</v>
      </c>
      <c r="E63" s="6" t="s">
        <v>315</v>
      </c>
      <c r="F63" s="133">
        <v>1080403</v>
      </c>
      <c r="G63" s="134" t="s">
        <v>743</v>
      </c>
      <c r="H63" s="129">
        <v>485.01794764309119</v>
      </c>
      <c r="I63" s="129">
        <v>388.014358114473</v>
      </c>
      <c r="J63" s="9">
        <v>0</v>
      </c>
      <c r="K63" s="9">
        <v>380</v>
      </c>
      <c r="L63" s="100">
        <v>304</v>
      </c>
      <c r="M63" s="10">
        <v>0.85151488106150075</v>
      </c>
      <c r="N63" s="100">
        <v>84.014358114472998</v>
      </c>
      <c r="O63" s="100">
        <v>0</v>
      </c>
      <c r="P63" s="10">
        <v>0.7802688471951692</v>
      </c>
      <c r="Q63" s="6">
        <v>489</v>
      </c>
      <c r="R63" s="6">
        <v>33</v>
      </c>
      <c r="S63" s="6">
        <v>456</v>
      </c>
      <c r="T63" s="6">
        <v>0</v>
      </c>
      <c r="U63" s="6">
        <v>0</v>
      </c>
      <c r="V63" s="6">
        <v>0</v>
      </c>
      <c r="W63" s="6">
        <v>0</v>
      </c>
      <c r="X63" s="9">
        <v>762.46153846153834</v>
      </c>
      <c r="Y63" s="9">
        <v>17.941888619854726</v>
      </c>
      <c r="Z63" s="9">
        <v>-383.98205235690881</v>
      </c>
      <c r="AA63" s="132">
        <v>9700.3589528618231</v>
      </c>
      <c r="AB63" s="132">
        <v>9120</v>
      </c>
      <c r="AC63" s="11">
        <v>1.7916862751633031</v>
      </c>
      <c r="AD63" s="71"/>
      <c r="AE63" s="71">
        <v>46.744578313253015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8</v>
      </c>
      <c r="C64" s="6" t="s">
        <v>5</v>
      </c>
      <c r="D64" s="6" t="s">
        <v>308</v>
      </c>
      <c r="E64" s="6" t="s">
        <v>309</v>
      </c>
      <c r="F64" s="6">
        <v>1028943</v>
      </c>
      <c r="G64" s="8" t="s">
        <v>102</v>
      </c>
      <c r="H64" s="129">
        <v>4120.0000099999997</v>
      </c>
      <c r="I64" s="129">
        <v>288.40000070000002</v>
      </c>
      <c r="J64" s="9">
        <v>1</v>
      </c>
      <c r="K64" s="9">
        <v>3045</v>
      </c>
      <c r="L64" s="100">
        <v>213.15000000000003</v>
      </c>
      <c r="M64" s="10">
        <v>0.76529126027841932</v>
      </c>
      <c r="N64" s="100">
        <v>75.250000699999987</v>
      </c>
      <c r="O64" s="100">
        <v>11.395128085011107</v>
      </c>
      <c r="P64" s="10">
        <v>1.3900684926395324</v>
      </c>
      <c r="Q64" s="6">
        <v>3617</v>
      </c>
      <c r="R64" s="6">
        <v>108</v>
      </c>
      <c r="S64" s="6">
        <v>3509</v>
      </c>
      <c r="T64" s="6">
        <v>0</v>
      </c>
      <c r="U64" s="6">
        <v>0</v>
      </c>
      <c r="V64" s="6">
        <v>0</v>
      </c>
      <c r="W64" s="6">
        <v>0</v>
      </c>
      <c r="X64" s="9">
        <v>5820.9230769230771</v>
      </c>
      <c r="Y64" s="9">
        <v>18.084760545512207</v>
      </c>
      <c r="Z64" s="9">
        <v>-2541.9999900000003</v>
      </c>
      <c r="AA64" s="132">
        <v>9640.8000233999992</v>
      </c>
      <c r="AB64" s="132">
        <v>8211.06</v>
      </c>
      <c r="AC64" s="11">
        <v>1.6169902873374022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2" t="s">
        <v>1</v>
      </c>
      <c r="BJ64" s="31"/>
    </row>
    <row r="65" spans="1:62" ht="12.75" customHeight="1" x14ac:dyDescent="0.35">
      <c r="A65" s="118"/>
      <c r="B65" s="30" t="s">
        <v>4</v>
      </c>
      <c r="C65" s="6" t="s">
        <v>5</v>
      </c>
      <c r="D65" s="6" t="s">
        <v>308</v>
      </c>
      <c r="E65" s="6" t="s">
        <v>314</v>
      </c>
      <c r="F65" s="6">
        <v>1075503</v>
      </c>
      <c r="G65" s="8" t="s">
        <v>643</v>
      </c>
      <c r="H65" s="129">
        <v>199260</v>
      </c>
      <c r="I65" s="129">
        <v>39852</v>
      </c>
      <c r="J65" s="9">
        <v>98</v>
      </c>
      <c r="K65" s="9">
        <v>98501</v>
      </c>
      <c r="L65" s="100">
        <v>19700.2</v>
      </c>
      <c r="M65" s="10">
        <v>0.4980979624611061</v>
      </c>
      <c r="N65" s="100">
        <v>20151.8</v>
      </c>
      <c r="O65" s="100">
        <v>88.769985438621376</v>
      </c>
      <c r="P65" s="10">
        <v>4.3817138451500206</v>
      </c>
      <c r="Q65" s="6">
        <v>113683</v>
      </c>
      <c r="R65" s="6">
        <v>750</v>
      </c>
      <c r="S65" s="6">
        <v>112933</v>
      </c>
      <c r="T65" s="6">
        <v>0</v>
      </c>
      <c r="U65" s="6">
        <v>0</v>
      </c>
      <c r="V65" s="6">
        <v>0</v>
      </c>
      <c r="W65" s="6">
        <v>0</v>
      </c>
      <c r="X65" s="9">
        <v>199260</v>
      </c>
      <c r="Y65" s="9">
        <v>17.002860584161397</v>
      </c>
      <c r="Z65" s="9">
        <v>-12924</v>
      </c>
      <c r="AA65" s="132">
        <v>462283.19999999995</v>
      </c>
      <c r="AB65" s="132">
        <v>262004.55999999997</v>
      </c>
      <c r="AC65" s="11">
        <v>1.0648599819331526</v>
      </c>
      <c r="AD65" s="71"/>
      <c r="AE65" s="71">
        <v>70.03012048192771</v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/>
    </row>
    <row r="66" spans="1:62" ht="12.75" customHeight="1" x14ac:dyDescent="0.35">
      <c r="A66" s="118"/>
      <c r="B66" s="30" t="s">
        <v>38</v>
      </c>
      <c r="C66" s="6" t="s">
        <v>5</v>
      </c>
      <c r="D66" s="6" t="s">
        <v>308</v>
      </c>
      <c r="E66" s="6" t="s">
        <v>405</v>
      </c>
      <c r="F66" s="6">
        <v>1059307</v>
      </c>
      <c r="G66" s="8" t="s">
        <v>269</v>
      </c>
      <c r="H66" s="129">
        <v>7177.6696668502018</v>
      </c>
      <c r="I66" s="129">
        <v>3588.8348334251009</v>
      </c>
      <c r="J66" s="9">
        <v>2</v>
      </c>
      <c r="K66" s="9">
        <v>4032</v>
      </c>
      <c r="L66" s="100">
        <v>2016</v>
      </c>
      <c r="M66" s="10">
        <v>0.59517924316440363</v>
      </c>
      <c r="N66" s="100">
        <v>1572.8348334251009</v>
      </c>
      <c r="O66" s="100">
        <v>6.1651690913074582</v>
      </c>
      <c r="P66" s="10">
        <v>1.2243021095393767</v>
      </c>
      <c r="Q66" s="6">
        <v>5106</v>
      </c>
      <c r="R66" s="6">
        <v>240</v>
      </c>
      <c r="S66" s="6">
        <v>4866</v>
      </c>
      <c r="T66" s="6">
        <v>0</v>
      </c>
      <c r="U66" s="6">
        <v>0</v>
      </c>
      <c r="V66" s="6">
        <v>0</v>
      </c>
      <c r="W66" s="6">
        <v>0</v>
      </c>
      <c r="X66" s="9">
        <v>7886.7692307692323</v>
      </c>
      <c r="Y66" s="9">
        <v>18.509480337078649</v>
      </c>
      <c r="Z66" s="9">
        <v>-1960.3303331497982</v>
      </c>
      <c r="AA66" s="132">
        <v>42061.144247742188</v>
      </c>
      <c r="AB66" s="132">
        <v>28514.760000000002</v>
      </c>
      <c r="AC66" s="11">
        <v>1.2731151507575655</v>
      </c>
      <c r="AD66" s="71"/>
      <c r="AE66" s="71">
        <v>20.158570908248073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21</v>
      </c>
      <c r="C67" s="6" t="s">
        <v>5</v>
      </c>
      <c r="D67" s="6" t="s">
        <v>308</v>
      </c>
      <c r="E67" s="6" t="s">
        <v>395</v>
      </c>
      <c r="F67" s="6">
        <v>1069938</v>
      </c>
      <c r="G67" s="8" t="s">
        <v>567</v>
      </c>
      <c r="H67" s="129">
        <v>942.45575895315187</v>
      </c>
      <c r="I67" s="129">
        <v>179.06659420109887</v>
      </c>
      <c r="J67" s="9">
        <v>0</v>
      </c>
      <c r="K67" s="9">
        <v>607</v>
      </c>
      <c r="L67" s="100">
        <v>115.33</v>
      </c>
      <c r="M67" s="10">
        <v>0.70878658616505452</v>
      </c>
      <c r="N67" s="100">
        <v>63.736594201098868</v>
      </c>
      <c r="O67" s="100">
        <v>6.0898502495840283</v>
      </c>
      <c r="P67" s="10">
        <v>1.2029950083194676</v>
      </c>
      <c r="Q67" s="6">
        <v>832</v>
      </c>
      <c r="R67" s="6">
        <v>61</v>
      </c>
      <c r="S67" s="6">
        <v>771</v>
      </c>
      <c r="T67" s="6">
        <v>0</v>
      </c>
      <c r="U67" s="6">
        <v>0</v>
      </c>
      <c r="V67" s="6">
        <v>0</v>
      </c>
      <c r="W67" s="6">
        <v>0</v>
      </c>
      <c r="X67" s="9">
        <v>1233.2307692307693</v>
      </c>
      <c r="Y67" s="9">
        <v>18.755613772455089</v>
      </c>
      <c r="Z67" s="9">
        <v>-496.54424104684813</v>
      </c>
      <c r="AA67" s="132">
        <v>7417.1268229613052</v>
      </c>
      <c r="AB67" s="132">
        <v>6067.77</v>
      </c>
      <c r="AC67" s="11">
        <v>1.5268621219932834</v>
      </c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/>
      <c r="BJ67" s="31"/>
    </row>
    <row r="68" spans="1:62" ht="12.75" customHeight="1" x14ac:dyDescent="0.35">
      <c r="A68" s="118"/>
      <c r="B68" s="30" t="s">
        <v>21</v>
      </c>
      <c r="C68" s="6" t="s">
        <v>5</v>
      </c>
      <c r="D68" s="6" t="s">
        <v>308</v>
      </c>
      <c r="E68" s="6" t="s">
        <v>395</v>
      </c>
      <c r="F68" s="6">
        <v>1069142</v>
      </c>
      <c r="G68" s="8" t="s">
        <v>559</v>
      </c>
      <c r="H68" s="129">
        <v>1131.2160866202294</v>
      </c>
      <c r="I68" s="129">
        <v>565.60804331011468</v>
      </c>
      <c r="J68" s="9">
        <v>6</v>
      </c>
      <c r="K68" s="9">
        <v>1033</v>
      </c>
      <c r="L68" s="100">
        <v>516.5</v>
      </c>
      <c r="M68" s="10">
        <v>1.0829053922491254</v>
      </c>
      <c r="N68" s="100">
        <v>49.108043310114681</v>
      </c>
      <c r="O68" s="100">
        <v>11.713483622306237</v>
      </c>
      <c r="P68" s="10">
        <v>1.4215466656499098</v>
      </c>
      <c r="Q68" s="6">
        <v>1616</v>
      </c>
      <c r="R68" s="6">
        <v>192</v>
      </c>
      <c r="S68" s="6">
        <v>1424</v>
      </c>
      <c r="T68" s="6">
        <v>0</v>
      </c>
      <c r="U68" s="6">
        <v>0</v>
      </c>
      <c r="V68" s="6">
        <v>0</v>
      </c>
      <c r="W68" s="6">
        <v>0</v>
      </c>
      <c r="X68" s="9">
        <v>2261.5384615384614</v>
      </c>
      <c r="Y68" s="9">
        <v>18.889795918367348</v>
      </c>
      <c r="Z68" s="9">
        <v>-1517.7839133797706</v>
      </c>
      <c r="AA68" s="132">
        <v>19592.662620262374</v>
      </c>
      <c r="AB68" s="132">
        <v>24663.68</v>
      </c>
      <c r="AC68" s="11">
        <v>2.3417276604636186</v>
      </c>
      <c r="AD68" s="71"/>
      <c r="AE68" s="71">
        <v>23.572447992259317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15</v>
      </c>
      <c r="C69" s="6" t="s">
        <v>5</v>
      </c>
      <c r="D69" s="6" t="s">
        <v>312</v>
      </c>
      <c r="E69" s="6" t="s">
        <v>315</v>
      </c>
      <c r="F69" s="6">
        <v>1078686</v>
      </c>
      <c r="G69" s="8" t="s">
        <v>720</v>
      </c>
      <c r="H69" s="129">
        <v>2564.0244102439024</v>
      </c>
      <c r="I69" s="129">
        <v>269.22256307560974</v>
      </c>
      <c r="J69" s="9">
        <v>2</v>
      </c>
      <c r="K69" s="9">
        <v>3365</v>
      </c>
      <c r="L69" s="100">
        <v>353.32499999999999</v>
      </c>
      <c r="M69" s="10">
        <v>1.3279904771562219</v>
      </c>
      <c r="N69" s="100">
        <v>84.102436924390247</v>
      </c>
      <c r="O69" s="100">
        <v>3.5990868887087295</v>
      </c>
      <c r="P69" s="10">
        <v>3.9437299119071763</v>
      </c>
      <c r="Q69" s="6">
        <v>4020</v>
      </c>
      <c r="R69" s="6">
        <v>40</v>
      </c>
      <c r="S69" s="6">
        <v>3980</v>
      </c>
      <c r="T69" s="6">
        <v>0</v>
      </c>
      <c r="U69" s="6">
        <v>0</v>
      </c>
      <c r="V69" s="6">
        <v>0</v>
      </c>
      <c r="W69" s="6">
        <v>0</v>
      </c>
      <c r="X69" s="9">
        <v>6286.1538461538466</v>
      </c>
      <c r="Y69" s="9">
        <v>18.994126284875183</v>
      </c>
      <c r="Z69" s="9">
        <v>-4820.9755897560972</v>
      </c>
      <c r="AA69" s="132">
        <v>3589.6341743414632</v>
      </c>
      <c r="AB69" s="132">
        <v>5572</v>
      </c>
      <c r="AC69" s="11">
        <v>2.8802377896618787</v>
      </c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2"/>
      <c r="BJ69" s="31"/>
    </row>
    <row r="70" spans="1:62" ht="12.75" customHeight="1" x14ac:dyDescent="0.35">
      <c r="A70" s="118"/>
      <c r="B70" s="30" t="s">
        <v>21</v>
      </c>
      <c r="C70" s="6" t="s">
        <v>5</v>
      </c>
      <c r="D70" s="6" t="s">
        <v>308</v>
      </c>
      <c r="E70" s="6" t="s">
        <v>372</v>
      </c>
      <c r="F70" s="127">
        <v>1059111</v>
      </c>
      <c r="G70" s="128" t="s">
        <v>525</v>
      </c>
      <c r="H70" s="129">
        <v>3280</v>
      </c>
      <c r="I70" s="129">
        <v>1416.96</v>
      </c>
      <c r="J70" s="9">
        <v>0</v>
      </c>
      <c r="K70" s="9">
        <v>1230</v>
      </c>
      <c r="L70" s="100">
        <v>531.36</v>
      </c>
      <c r="M70" s="10">
        <v>0.375</v>
      </c>
      <c r="N70" s="100">
        <v>885.6</v>
      </c>
      <c r="O70" s="100">
        <v>0</v>
      </c>
      <c r="P70" s="10">
        <v>0.96143833344564256</v>
      </c>
      <c r="Q70" s="6">
        <v>1917</v>
      </c>
      <c r="R70" s="6">
        <v>0</v>
      </c>
      <c r="S70" s="6">
        <v>1917</v>
      </c>
      <c r="T70" s="6">
        <v>0</v>
      </c>
      <c r="U70" s="6">
        <v>0</v>
      </c>
      <c r="V70" s="6">
        <v>0</v>
      </c>
      <c r="W70" s="6">
        <v>0</v>
      </c>
      <c r="X70" s="9">
        <v>3280</v>
      </c>
      <c r="Y70" s="9">
        <v>17.533536585365855</v>
      </c>
      <c r="Z70" s="9">
        <v>133</v>
      </c>
      <c r="AA70" s="132">
        <v>23386.400000000001</v>
      </c>
      <c r="AB70" s="132">
        <v>13668.21</v>
      </c>
      <c r="AC70" s="11">
        <v>0.95945121951219514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1</v>
      </c>
      <c r="C71" s="6" t="s">
        <v>2</v>
      </c>
      <c r="D71" s="6" t="s">
        <v>306</v>
      </c>
      <c r="E71" s="6" t="s">
        <v>401</v>
      </c>
      <c r="F71" s="6">
        <v>1075853</v>
      </c>
      <c r="G71" s="8" t="s">
        <v>688</v>
      </c>
      <c r="H71" s="129">
        <v>19420.347524859841</v>
      </c>
      <c r="I71" s="129">
        <v>3612.1846396239303</v>
      </c>
      <c r="J71" s="9">
        <v>0</v>
      </c>
      <c r="K71" s="9">
        <v>5517</v>
      </c>
      <c r="L71" s="100">
        <v>1026.162</v>
      </c>
      <c r="M71" s="10">
        <v>0.32023113860548091</v>
      </c>
      <c r="N71" s="100">
        <v>2586.0226396239304</v>
      </c>
      <c r="O71" s="100">
        <v>0</v>
      </c>
      <c r="P71" s="10">
        <v>0.72923390284288836</v>
      </c>
      <c r="Q71" s="6">
        <v>12054</v>
      </c>
      <c r="R71" s="6">
        <v>702</v>
      </c>
      <c r="S71" s="6">
        <v>11352</v>
      </c>
      <c r="T71" s="6">
        <v>0</v>
      </c>
      <c r="U71" s="6">
        <v>0</v>
      </c>
      <c r="V71" s="6">
        <v>0</v>
      </c>
      <c r="W71" s="6">
        <v>0</v>
      </c>
      <c r="X71" s="9">
        <v>19420.347524859837</v>
      </c>
      <c r="Y71" s="9">
        <v>17.536246432462232</v>
      </c>
      <c r="Z71" s="9">
        <v>1849.3475248598406</v>
      </c>
      <c r="AA71" s="132">
        <v>35345.032495244908</v>
      </c>
      <c r="AB71" s="132">
        <v>20660.64</v>
      </c>
      <c r="AC71" s="11">
        <v>0.90477268635422181</v>
      </c>
      <c r="AD71" s="71"/>
      <c r="AE71" s="71">
        <v>35.199203187251001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 t="s">
        <v>799</v>
      </c>
    </row>
    <row r="72" spans="1:62" ht="12.75" customHeight="1" x14ac:dyDescent="0.35">
      <c r="A72" s="118"/>
      <c r="B72" s="30" t="s">
        <v>1</v>
      </c>
      <c r="C72" s="6" t="s">
        <v>2</v>
      </c>
      <c r="D72" s="6" t="s">
        <v>310</v>
      </c>
      <c r="E72" s="6" t="s">
        <v>311</v>
      </c>
      <c r="F72" s="6">
        <v>1080401</v>
      </c>
      <c r="G72" s="8" t="s">
        <v>754</v>
      </c>
      <c r="H72" s="129">
        <v>14117.600009999998</v>
      </c>
      <c r="I72" s="129">
        <v>0</v>
      </c>
      <c r="J72" s="9">
        <v>1299</v>
      </c>
      <c r="K72" s="9">
        <v>18940</v>
      </c>
      <c r="L72" s="100">
        <v>0</v>
      </c>
      <c r="M72" s="10">
        <v>1.4639882122570493</v>
      </c>
      <c r="N72" s="100">
        <v>0</v>
      </c>
      <c r="O72" s="100">
        <v>0</v>
      </c>
      <c r="P72" s="10">
        <v>0.37150545470378832</v>
      </c>
      <c r="Q72" s="6">
        <v>26151</v>
      </c>
      <c r="R72" s="6">
        <v>1728</v>
      </c>
      <c r="S72" s="6">
        <v>24423</v>
      </c>
      <c r="T72" s="6">
        <v>0</v>
      </c>
      <c r="U72" s="6">
        <v>0</v>
      </c>
      <c r="V72" s="6">
        <v>0</v>
      </c>
      <c r="W72" s="6">
        <v>24</v>
      </c>
      <c r="X72" s="9">
        <v>38156.307692307688</v>
      </c>
      <c r="Y72" s="9">
        <v>19.2023296884072</v>
      </c>
      <c r="Z72" s="9">
        <v>-30973.399990000002</v>
      </c>
      <c r="AA72" s="132">
        <v>19341.1120137</v>
      </c>
      <c r="AB72" s="132">
        <v>33492.39</v>
      </c>
      <c r="AC72" s="11">
        <v>3.1939564775925398</v>
      </c>
      <c r="AD72" s="71"/>
      <c r="AE72" s="71">
        <v>18.119303797468355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9</v>
      </c>
      <c r="C73" s="6" t="s">
        <v>5</v>
      </c>
      <c r="D73" s="6" t="s">
        <v>308</v>
      </c>
      <c r="E73" s="6" t="s">
        <v>397</v>
      </c>
      <c r="F73" s="61">
        <v>1074164</v>
      </c>
      <c r="G73" s="70" t="s">
        <v>700</v>
      </c>
      <c r="H73" s="129">
        <v>7217.7013349484678</v>
      </c>
      <c r="I73" s="129">
        <v>7217.7013349484678</v>
      </c>
      <c r="J73" s="9">
        <v>1</v>
      </c>
      <c r="K73" s="9">
        <v>3042</v>
      </c>
      <c r="L73" s="100">
        <v>3042</v>
      </c>
      <c r="M73" s="10">
        <v>0.46510652688623172</v>
      </c>
      <c r="N73" s="100">
        <v>4175.7013349484678</v>
      </c>
      <c r="O73" s="100">
        <v>0</v>
      </c>
      <c r="P73" s="10">
        <v>0.73310849268449496</v>
      </c>
      <c r="Q73" s="6">
        <v>4853</v>
      </c>
      <c r="R73" s="6">
        <v>315</v>
      </c>
      <c r="S73" s="6">
        <v>4487</v>
      </c>
      <c r="T73" s="6">
        <v>301</v>
      </c>
      <c r="U73" s="6">
        <v>0</v>
      </c>
      <c r="V73" s="6">
        <v>4887</v>
      </c>
      <c r="W73" s="6">
        <v>2</v>
      </c>
      <c r="X73" s="9">
        <v>7217.7013349484678</v>
      </c>
      <c r="Y73" s="9">
        <v>18.649982003025219</v>
      </c>
      <c r="Z73" s="9">
        <v>-978.29866505153223</v>
      </c>
      <c r="AA73" s="132">
        <v>78095.52844414243</v>
      </c>
      <c r="AB73" s="132">
        <v>104705.14</v>
      </c>
      <c r="AC73" s="11">
        <v>1.1355415830680831</v>
      </c>
      <c r="AD73" s="71"/>
      <c r="AE73" s="71">
        <v>3.8736178813458575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8</v>
      </c>
      <c r="C74" s="6" t="s">
        <v>5</v>
      </c>
      <c r="D74" s="6" t="s">
        <v>308</v>
      </c>
      <c r="E74" s="6" t="s">
        <v>309</v>
      </c>
      <c r="F74" s="6">
        <v>1079778</v>
      </c>
      <c r="G74" s="8" t="s">
        <v>749</v>
      </c>
      <c r="H74" s="129">
        <v>4459.2680447107432</v>
      </c>
      <c r="I74" s="129">
        <v>1284.269196876694</v>
      </c>
      <c r="J74" s="9">
        <v>1</v>
      </c>
      <c r="K74" s="9">
        <v>1476</v>
      </c>
      <c r="L74" s="100">
        <v>425.08799999999997</v>
      </c>
      <c r="M74" s="10">
        <v>0.73464971541366553</v>
      </c>
      <c r="N74" s="100">
        <v>859.181196876694</v>
      </c>
      <c r="O74" s="100">
        <v>0</v>
      </c>
      <c r="P74" s="10">
        <v>0.88169808477114808</v>
      </c>
      <c r="Q74" s="6">
        <v>6074</v>
      </c>
      <c r="R74" s="6">
        <v>1800</v>
      </c>
      <c r="S74" s="6">
        <v>4274</v>
      </c>
      <c r="T74" s="6">
        <v>0</v>
      </c>
      <c r="U74" s="6">
        <v>0</v>
      </c>
      <c r="V74" s="6">
        <v>0</v>
      </c>
      <c r="W74" s="6">
        <v>0</v>
      </c>
      <c r="X74" s="9">
        <v>6048</v>
      </c>
      <c r="Y74" s="9">
        <v>21.200396825396826</v>
      </c>
      <c r="Z74" s="9">
        <v>-3090.7319552892568</v>
      </c>
      <c r="AA74" s="132">
        <v>48115.502202428914</v>
      </c>
      <c r="AB74" s="132">
        <v>46116.46</v>
      </c>
      <c r="AC74" s="11">
        <v>1.6931029766096382</v>
      </c>
      <c r="AD74" s="71"/>
      <c r="AE74" s="71">
        <v>10.101209577882004</v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31</v>
      </c>
      <c r="C75" s="6" t="s">
        <v>5</v>
      </c>
      <c r="D75" s="6" t="s">
        <v>306</v>
      </c>
      <c r="E75" s="6" t="s">
        <v>307</v>
      </c>
      <c r="F75" s="133">
        <v>1076009</v>
      </c>
      <c r="G75" s="134" t="s">
        <v>655</v>
      </c>
      <c r="H75" s="129">
        <v>56504.606590848758</v>
      </c>
      <c r="I75" s="129">
        <v>22601.842636339505</v>
      </c>
      <c r="J75" s="9">
        <v>0</v>
      </c>
      <c r="K75" s="9">
        <v>14552</v>
      </c>
      <c r="L75" s="100">
        <v>5820.8</v>
      </c>
      <c r="M75" s="10">
        <v>0.28316275371769939</v>
      </c>
      <c r="N75" s="100">
        <v>16781.042636339505</v>
      </c>
      <c r="O75" s="100">
        <v>0</v>
      </c>
      <c r="P75" s="10">
        <v>0</v>
      </c>
      <c r="Q75" s="6">
        <v>38664</v>
      </c>
      <c r="R75" s="6">
        <v>1448</v>
      </c>
      <c r="S75" s="6">
        <v>37216</v>
      </c>
      <c r="T75" s="6">
        <v>0</v>
      </c>
      <c r="U75" s="6">
        <v>0</v>
      </c>
      <c r="V75" s="6">
        <v>0</v>
      </c>
      <c r="W75" s="6">
        <v>0</v>
      </c>
      <c r="X75" s="9">
        <v>56504.606590848751</v>
      </c>
      <c r="Y75" s="9">
        <v>19.759096954421064</v>
      </c>
      <c r="Z75" s="9">
        <v>3288.6065908487581</v>
      </c>
      <c r="AA75" s="132">
        <v>505716.22898809635</v>
      </c>
      <c r="AB75" s="132">
        <v>333083.19999999995</v>
      </c>
      <c r="AC75" s="11">
        <v>0.94179931886506818</v>
      </c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/>
      <c r="BJ75" s="31"/>
    </row>
    <row r="76" spans="1:62" ht="12.75" customHeight="1" x14ac:dyDescent="0.35">
      <c r="A76" s="118"/>
      <c r="B76" s="30" t="s">
        <v>1</v>
      </c>
      <c r="C76" s="6" t="s">
        <v>24</v>
      </c>
      <c r="D76" s="6" t="s">
        <v>316</v>
      </c>
      <c r="E76" s="6" t="s">
        <v>400</v>
      </c>
      <c r="F76" s="61">
        <v>1024998</v>
      </c>
      <c r="G76" s="70" t="s">
        <v>321</v>
      </c>
      <c r="H76" s="129">
        <v>13231.855316578101</v>
      </c>
      <c r="I76" s="129">
        <v>5623.5385095456932</v>
      </c>
      <c r="J76" s="9">
        <v>0</v>
      </c>
      <c r="K76" s="9">
        <v>9554</v>
      </c>
      <c r="L76" s="100">
        <v>4060.45</v>
      </c>
      <c r="M76" s="10">
        <v>0.79535331578290103</v>
      </c>
      <c r="N76" s="100">
        <v>1563.0885095456933</v>
      </c>
      <c r="O76" s="100">
        <v>0</v>
      </c>
      <c r="P76" s="10">
        <v>0.75624162912879067</v>
      </c>
      <c r="Q76" s="6">
        <v>14931</v>
      </c>
      <c r="R76" s="6">
        <v>970</v>
      </c>
      <c r="S76" s="6">
        <v>13961</v>
      </c>
      <c r="T76" s="6">
        <v>0</v>
      </c>
      <c r="U76" s="6">
        <v>0</v>
      </c>
      <c r="V76" s="6">
        <v>0</v>
      </c>
      <c r="W76" s="6">
        <v>0</v>
      </c>
      <c r="X76" s="9">
        <v>19428.923076923078</v>
      </c>
      <c r="Y76" s="9">
        <v>21.557036297985555</v>
      </c>
      <c r="Z76" s="9">
        <v>-11253.144683421899</v>
      </c>
      <c r="AA76" s="132">
        <v>122130.02457201589</v>
      </c>
      <c r="AB76" s="132">
        <v>128860.03</v>
      </c>
      <c r="AC76" s="11">
        <v>1.8504585648939882</v>
      </c>
      <c r="AD76" s="71"/>
      <c r="AE76" s="71">
        <v>9.9603550295857985</v>
      </c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 t="s">
        <v>827</v>
      </c>
    </row>
    <row r="77" spans="1:62" ht="12.75" customHeight="1" x14ac:dyDescent="0.35">
      <c r="A77" s="118"/>
      <c r="B77" s="30" t="s">
        <v>27</v>
      </c>
      <c r="C77" s="6" t="s">
        <v>5</v>
      </c>
      <c r="D77" s="116" t="s">
        <v>312</v>
      </c>
      <c r="E77" s="6" t="s">
        <v>313</v>
      </c>
      <c r="F77" s="6">
        <v>1052770</v>
      </c>
      <c r="G77" s="8" t="s">
        <v>183</v>
      </c>
      <c r="H77" s="129">
        <v>8019.161228119342</v>
      </c>
      <c r="I77" s="129">
        <v>2213.2884989609388</v>
      </c>
      <c r="J77" s="9">
        <v>0</v>
      </c>
      <c r="K77" s="9">
        <v>1729</v>
      </c>
      <c r="L77" s="100">
        <v>477.20400000000006</v>
      </c>
      <c r="M77" s="10">
        <v>0.40016653970587102</v>
      </c>
      <c r="N77" s="100">
        <v>1736.0844989609386</v>
      </c>
      <c r="O77" s="100">
        <v>8.4607857598814444</v>
      </c>
      <c r="P77" s="10">
        <v>1.7837522021075756</v>
      </c>
      <c r="Q77" s="6">
        <v>6929</v>
      </c>
      <c r="R77" s="6">
        <v>1480</v>
      </c>
      <c r="S77" s="6">
        <v>5449</v>
      </c>
      <c r="T77" s="6">
        <v>0</v>
      </c>
      <c r="U77" s="6">
        <v>0</v>
      </c>
      <c r="V77" s="6">
        <v>0</v>
      </c>
      <c r="W77" s="6">
        <v>0</v>
      </c>
      <c r="X77" s="9">
        <v>8019.161228119342</v>
      </c>
      <c r="Y77" s="9">
        <v>20.384924975294087</v>
      </c>
      <c r="Z77" s="9">
        <v>-638.83877188065799</v>
      </c>
      <c r="AA77" s="132">
        <v>29590.704931760371</v>
      </c>
      <c r="AB77" s="132">
        <v>20106.810000000001</v>
      </c>
      <c r="AC77" s="11">
        <v>1.0796640388823406</v>
      </c>
      <c r="AD77" s="72"/>
      <c r="AE77" s="71">
        <v>29.433634992458529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1</v>
      </c>
      <c r="C78" s="6" t="s">
        <v>50</v>
      </c>
      <c r="D78" s="6" t="s">
        <v>320</v>
      </c>
      <c r="E78" s="6" t="s">
        <v>402</v>
      </c>
      <c r="F78" s="6">
        <v>1060793</v>
      </c>
      <c r="G78" s="8" t="s">
        <v>430</v>
      </c>
      <c r="H78" s="129">
        <v>28312.209795258874</v>
      </c>
      <c r="I78" s="129">
        <v>5096.197763146597</v>
      </c>
      <c r="J78" s="9">
        <v>4</v>
      </c>
      <c r="K78" s="9">
        <v>10615</v>
      </c>
      <c r="L78" s="100">
        <v>1910.6999999999998</v>
      </c>
      <c r="M78" s="10">
        <v>0.56537444854200369</v>
      </c>
      <c r="N78" s="100">
        <v>3185.4977631465972</v>
      </c>
      <c r="O78" s="100">
        <v>0</v>
      </c>
      <c r="P78" s="10">
        <v>0.79863636363636359</v>
      </c>
      <c r="Q78" s="6">
        <v>27168</v>
      </c>
      <c r="R78" s="6">
        <v>5392</v>
      </c>
      <c r="S78" s="6">
        <v>21776</v>
      </c>
      <c r="T78" s="6">
        <v>0</v>
      </c>
      <c r="U78" s="6">
        <v>0</v>
      </c>
      <c r="V78" s="6">
        <v>0</v>
      </c>
      <c r="W78" s="6">
        <v>900</v>
      </c>
      <c r="X78" s="9">
        <v>29551.384615384617</v>
      </c>
      <c r="Y78" s="9">
        <v>22.106578371962268</v>
      </c>
      <c r="Z78" s="9">
        <v>-9470.7902047411262</v>
      </c>
      <c r="AA78" s="132">
        <v>194221.7591954759</v>
      </c>
      <c r="AB78" s="132">
        <v>155557.36000000002</v>
      </c>
      <c r="AC78" s="11">
        <v>1.3345125750773115</v>
      </c>
      <c r="AD78" s="71"/>
      <c r="AE78" s="71" t="s">
        <v>574</v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4</v>
      </c>
      <c r="C79" s="6" t="s">
        <v>5</v>
      </c>
      <c r="D79" s="6" t="s">
        <v>308</v>
      </c>
      <c r="E79" s="6" t="s">
        <v>314</v>
      </c>
      <c r="F79" s="6">
        <v>1075243</v>
      </c>
      <c r="G79" s="8" t="s">
        <v>662</v>
      </c>
      <c r="H79" s="129">
        <v>13504.698155984026</v>
      </c>
      <c r="I79" s="129">
        <v>3241.1275574361662</v>
      </c>
      <c r="J79" s="9">
        <v>278</v>
      </c>
      <c r="K79" s="9">
        <v>10169</v>
      </c>
      <c r="L79" s="100">
        <v>2440.56</v>
      </c>
      <c r="M79" s="10">
        <v>0.77254595989448793</v>
      </c>
      <c r="N79" s="100">
        <v>800.56755743616623</v>
      </c>
      <c r="O79" s="100">
        <v>0</v>
      </c>
      <c r="P79" s="10">
        <v>0.6204549469467584</v>
      </c>
      <c r="Q79" s="6">
        <v>14794</v>
      </c>
      <c r="R79" s="6">
        <v>264</v>
      </c>
      <c r="S79" s="6">
        <v>14530</v>
      </c>
      <c r="T79" s="6">
        <v>0</v>
      </c>
      <c r="U79" s="6">
        <v>0</v>
      </c>
      <c r="V79" s="6">
        <v>0</v>
      </c>
      <c r="W79" s="6">
        <v>0</v>
      </c>
      <c r="X79" s="9">
        <v>19260.923076923078</v>
      </c>
      <c r="Y79" s="9">
        <v>22.631314099491995</v>
      </c>
      <c r="Z79" s="9">
        <v>-11458.301844015974</v>
      </c>
      <c r="AA79" s="132">
        <v>46861.302601264571</v>
      </c>
      <c r="AB79" s="132">
        <v>50419.100000000006</v>
      </c>
      <c r="AC79" s="11">
        <v>1.8484678229508389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/>
      <c r="BJ79" s="31" t="s">
        <v>818</v>
      </c>
    </row>
    <row r="80" spans="1:62" ht="12.75" customHeight="1" x14ac:dyDescent="0.35">
      <c r="A80" s="118"/>
      <c r="B80" s="30" t="s">
        <v>22</v>
      </c>
      <c r="C80" s="6" t="s">
        <v>5</v>
      </c>
      <c r="D80" s="6" t="s">
        <v>396</v>
      </c>
      <c r="E80" s="6" t="s">
        <v>397</v>
      </c>
      <c r="F80" s="6">
        <v>1077857</v>
      </c>
      <c r="G80" s="8" t="s">
        <v>732</v>
      </c>
      <c r="H80" s="129">
        <v>400</v>
      </c>
      <c r="I80" s="129">
        <v>2000</v>
      </c>
      <c r="J80" s="9">
        <v>0</v>
      </c>
      <c r="K80" s="9">
        <v>326</v>
      </c>
      <c r="L80" s="100">
        <v>1630</v>
      </c>
      <c r="M80" s="10">
        <v>0.8175</v>
      </c>
      <c r="N80" s="100">
        <v>370</v>
      </c>
      <c r="O80" s="100">
        <v>0</v>
      </c>
      <c r="P80" s="10">
        <v>0.96048047423622696</v>
      </c>
      <c r="Q80" s="6">
        <v>460</v>
      </c>
      <c r="R80" s="6">
        <v>1</v>
      </c>
      <c r="S80" s="6">
        <v>459</v>
      </c>
      <c r="T80" s="6">
        <v>0</v>
      </c>
      <c r="U80" s="6">
        <v>0</v>
      </c>
      <c r="V80" s="6">
        <v>0</v>
      </c>
      <c r="W80" s="6">
        <v>0</v>
      </c>
      <c r="X80" s="9">
        <v>603.69230769230774</v>
      </c>
      <c r="Y80" s="9">
        <v>22.809633027522935</v>
      </c>
      <c r="Z80" s="9">
        <v>-386</v>
      </c>
      <c r="AA80" s="132">
        <v>43320</v>
      </c>
      <c r="AB80" s="132">
        <v>49709.7</v>
      </c>
      <c r="AC80" s="11">
        <v>1.9649999999999999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2"/>
      <c r="BJ80" s="31"/>
    </row>
    <row r="81" spans="1:62" ht="12.75" customHeight="1" x14ac:dyDescent="0.35">
      <c r="A81" s="118"/>
      <c r="B81" s="30" t="s">
        <v>31</v>
      </c>
      <c r="C81" s="6" t="s">
        <v>5</v>
      </c>
      <c r="D81" s="6" t="s">
        <v>306</v>
      </c>
      <c r="E81" s="6" t="s">
        <v>307</v>
      </c>
      <c r="F81" s="6">
        <v>1076592</v>
      </c>
      <c r="G81" s="8" t="s">
        <v>676</v>
      </c>
      <c r="H81" s="129">
        <v>9427.9092263038056</v>
      </c>
      <c r="I81" s="129">
        <v>2828.3727678911414</v>
      </c>
      <c r="J81" s="9">
        <v>444.7</v>
      </c>
      <c r="K81" s="9">
        <v>2255.3000000000002</v>
      </c>
      <c r="L81" s="100">
        <v>676.59</v>
      </c>
      <c r="M81" s="10">
        <v>0.26997502191669703</v>
      </c>
      <c r="N81" s="100">
        <v>2151.7827678911412</v>
      </c>
      <c r="O81" s="100">
        <v>11.622706646068313</v>
      </c>
      <c r="P81" s="10">
        <v>1.4139606882220574</v>
      </c>
      <c r="Q81" s="6">
        <v>7071</v>
      </c>
      <c r="R81" s="6">
        <v>290</v>
      </c>
      <c r="S81" s="6">
        <v>6681</v>
      </c>
      <c r="T81" s="6">
        <v>0</v>
      </c>
      <c r="U81" s="6">
        <v>0</v>
      </c>
      <c r="V81" s="6">
        <v>0</v>
      </c>
      <c r="W81" s="6">
        <v>0</v>
      </c>
      <c r="X81" s="9">
        <v>9427.9092263038056</v>
      </c>
      <c r="Y81" s="9">
        <v>21.259220383751853</v>
      </c>
      <c r="Z81" s="9">
        <v>101.60922630380537</v>
      </c>
      <c r="AA81" s="132">
        <v>55624.664435192455</v>
      </c>
      <c r="AB81" s="132">
        <v>39417.9</v>
      </c>
      <c r="AC81" s="11">
        <v>0.98922250693501412</v>
      </c>
      <c r="AD81" s="71"/>
      <c r="AE81" s="71">
        <v>10.813953488372093</v>
      </c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 t="s">
        <v>1</v>
      </c>
      <c r="BJ81" s="31"/>
    </row>
    <row r="82" spans="1:62" ht="12.75" customHeight="1" x14ac:dyDescent="0.35">
      <c r="A82" s="118"/>
      <c r="B82" s="30" t="s">
        <v>1</v>
      </c>
      <c r="C82" s="6" t="s">
        <v>50</v>
      </c>
      <c r="D82" s="6" t="s">
        <v>310</v>
      </c>
      <c r="E82" s="6" t="s">
        <v>403</v>
      </c>
      <c r="F82" s="6">
        <v>1076302</v>
      </c>
      <c r="G82" s="8" t="s">
        <v>692</v>
      </c>
      <c r="H82" s="129">
        <v>28449.365747945638</v>
      </c>
      <c r="I82" s="129">
        <v>1052.6265326739885</v>
      </c>
      <c r="J82" s="9">
        <v>1207</v>
      </c>
      <c r="K82" s="9">
        <v>14607</v>
      </c>
      <c r="L82" s="100">
        <v>540.45899999999995</v>
      </c>
      <c r="M82" s="10">
        <v>0.52356175993398324</v>
      </c>
      <c r="N82" s="100">
        <v>512.1675326739886</v>
      </c>
      <c r="O82" s="100">
        <v>13.577850853918592</v>
      </c>
      <c r="P82" s="10">
        <v>1.6294230415811817</v>
      </c>
      <c r="Q82" s="6">
        <v>21420</v>
      </c>
      <c r="R82" s="6">
        <v>288</v>
      </c>
      <c r="S82" s="6">
        <v>21132</v>
      </c>
      <c r="T82" s="6">
        <v>0</v>
      </c>
      <c r="U82" s="6">
        <v>0</v>
      </c>
      <c r="V82" s="6">
        <v>0</v>
      </c>
      <c r="W82" s="6">
        <v>0</v>
      </c>
      <c r="X82" s="9">
        <v>28449.365747945638</v>
      </c>
      <c r="Y82" s="9">
        <v>22.283800827643372</v>
      </c>
      <c r="Z82" s="9">
        <v>-7577.6342520543622</v>
      </c>
      <c r="AA82" s="132">
        <v>64295.566590357135</v>
      </c>
      <c r="AB82" s="132">
        <v>47758.319999999992</v>
      </c>
      <c r="AC82" s="11">
        <v>1.2663551208554291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2" t="s">
        <v>1</v>
      </c>
      <c r="BJ82" s="31"/>
    </row>
    <row r="83" spans="1:62" ht="12.75" customHeight="1" x14ac:dyDescent="0.35">
      <c r="A83" s="118"/>
      <c r="B83" s="30" t="s">
        <v>1</v>
      </c>
      <c r="C83" s="6" t="s">
        <v>24</v>
      </c>
      <c r="D83" s="6" t="s">
        <v>316</v>
      </c>
      <c r="E83" s="6" t="s">
        <v>317</v>
      </c>
      <c r="F83" s="6">
        <v>1071324</v>
      </c>
      <c r="G83" s="8" t="s">
        <v>686</v>
      </c>
      <c r="H83" s="129">
        <v>8398.9587083562747</v>
      </c>
      <c r="I83" s="129">
        <v>907.08754050247762</v>
      </c>
      <c r="J83" s="9">
        <v>0</v>
      </c>
      <c r="K83" s="9">
        <v>4728</v>
      </c>
      <c r="L83" s="100">
        <v>510.62399999999997</v>
      </c>
      <c r="M83" s="10">
        <v>0.57435691345886908</v>
      </c>
      <c r="N83" s="100">
        <v>396.46354050247766</v>
      </c>
      <c r="O83" s="100">
        <v>13.96921076905786</v>
      </c>
      <c r="P83" s="10">
        <v>1.5575671398536322</v>
      </c>
      <c r="Q83" s="6">
        <v>6967</v>
      </c>
      <c r="R83" s="6">
        <v>96</v>
      </c>
      <c r="S83" s="6">
        <v>6871</v>
      </c>
      <c r="T83" s="6">
        <v>0</v>
      </c>
      <c r="U83" s="6">
        <v>0</v>
      </c>
      <c r="V83" s="6">
        <v>0</v>
      </c>
      <c r="W83" s="6">
        <v>0</v>
      </c>
      <c r="X83" s="9">
        <v>8905.8461538461543</v>
      </c>
      <c r="Y83" s="9">
        <v>23.145470563847429</v>
      </c>
      <c r="Z83" s="9">
        <v>-3296.0412916437253</v>
      </c>
      <c r="AA83" s="132">
        <v>44262.512393037563</v>
      </c>
      <c r="AB83" s="132">
        <v>36210.17</v>
      </c>
      <c r="AC83" s="11">
        <v>1.3924345155268396</v>
      </c>
      <c r="AD83" s="71"/>
      <c r="AE83" s="71">
        <v>87.428449744463364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 t="s">
        <v>804</v>
      </c>
    </row>
    <row r="84" spans="1:62" ht="12.75" customHeight="1" x14ac:dyDescent="0.35">
      <c r="A84" s="118"/>
      <c r="B84" s="30" t="s">
        <v>9</v>
      </c>
      <c r="C84" s="6" t="s">
        <v>5</v>
      </c>
      <c r="D84" s="6" t="s">
        <v>308</v>
      </c>
      <c r="E84" s="6" t="s">
        <v>802</v>
      </c>
      <c r="F84" s="6">
        <v>1079785</v>
      </c>
      <c r="G84" s="162" t="s">
        <v>813</v>
      </c>
      <c r="H84" s="129">
        <v>500</v>
      </c>
      <c r="I84" s="129">
        <v>250</v>
      </c>
      <c r="J84" s="9">
        <v>0</v>
      </c>
      <c r="K84" s="9">
        <v>1600</v>
      </c>
      <c r="L84" s="100">
        <v>800</v>
      </c>
      <c r="M84" s="10">
        <v>3.2</v>
      </c>
      <c r="N84" s="100">
        <v>550</v>
      </c>
      <c r="O84" s="100">
        <v>0</v>
      </c>
      <c r="P84" s="10">
        <v>0</v>
      </c>
      <c r="Q84" s="6">
        <v>2312</v>
      </c>
      <c r="R84" s="6">
        <v>0</v>
      </c>
      <c r="S84" s="6">
        <v>2312</v>
      </c>
      <c r="T84" s="6">
        <v>0</v>
      </c>
      <c r="U84" s="6">
        <v>0</v>
      </c>
      <c r="V84" s="6">
        <v>0</v>
      </c>
      <c r="W84" s="6">
        <v>0</v>
      </c>
      <c r="X84" s="9">
        <v>2953.8461538461538</v>
      </c>
      <c r="Y84" s="9">
        <v>23.481249999999999</v>
      </c>
      <c r="Z84" s="9">
        <v>-3412</v>
      </c>
      <c r="AA84" s="132">
        <v>11250</v>
      </c>
      <c r="AB84" s="132">
        <v>52020</v>
      </c>
      <c r="AC84" s="11">
        <v>7.8239999999999998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2"/>
      <c r="BJ84" s="31"/>
    </row>
    <row r="85" spans="1:62" ht="12.75" customHeight="1" x14ac:dyDescent="0.35">
      <c r="A85" s="118"/>
      <c r="B85" s="30" t="s">
        <v>31</v>
      </c>
      <c r="C85" s="6" t="s">
        <v>5</v>
      </c>
      <c r="D85" s="6" t="s">
        <v>306</v>
      </c>
      <c r="E85" s="6" t="s">
        <v>404</v>
      </c>
      <c r="F85" s="6">
        <v>1072597</v>
      </c>
      <c r="G85" s="8" t="s">
        <v>611</v>
      </c>
      <c r="H85" s="129">
        <v>1286.8377610651905</v>
      </c>
      <c r="I85" s="129">
        <v>643.41888053259527</v>
      </c>
      <c r="J85" s="9">
        <v>22</v>
      </c>
      <c r="K85" s="9">
        <v>182</v>
      </c>
      <c r="L85" s="100">
        <v>91</v>
      </c>
      <c r="M85" s="10">
        <v>0.30928529768239954</v>
      </c>
      <c r="N85" s="100">
        <v>552.41888053259527</v>
      </c>
      <c r="O85" s="100">
        <v>0</v>
      </c>
      <c r="P85" s="10">
        <v>0.73650063616489203</v>
      </c>
      <c r="Q85" s="6">
        <v>1148</v>
      </c>
      <c r="R85" s="6">
        <v>216</v>
      </c>
      <c r="S85" s="6">
        <v>932</v>
      </c>
      <c r="T85" s="6">
        <v>0</v>
      </c>
      <c r="U85" s="6">
        <v>0</v>
      </c>
      <c r="V85" s="6">
        <v>0</v>
      </c>
      <c r="W85" s="6">
        <v>0</v>
      </c>
      <c r="X85" s="9">
        <v>1286.8377610651905</v>
      </c>
      <c r="Y85" s="9">
        <v>21.727680711557518</v>
      </c>
      <c r="Z85" s="9">
        <v>-43.162238934809466</v>
      </c>
      <c r="AA85" s="132">
        <v>9934.3875154232701</v>
      </c>
      <c r="AB85" s="132">
        <v>7195.04</v>
      </c>
      <c r="AC85" s="11">
        <v>1.0335413214009834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 t="s">
        <v>1</v>
      </c>
      <c r="BJ85" s="31" t="s">
        <v>821</v>
      </c>
    </row>
    <row r="86" spans="1:62" ht="12.5" customHeight="1" x14ac:dyDescent="0.35">
      <c r="A86" s="118"/>
      <c r="B86" s="30" t="s">
        <v>27</v>
      </c>
      <c r="C86" s="6" t="s">
        <v>5</v>
      </c>
      <c r="D86" s="6" t="s">
        <v>312</v>
      </c>
      <c r="E86" s="6" t="s">
        <v>313</v>
      </c>
      <c r="F86" s="148">
        <v>1072351</v>
      </c>
      <c r="G86" s="149" t="s">
        <v>595</v>
      </c>
      <c r="H86" s="129">
        <v>280325.85517184448</v>
      </c>
      <c r="I86" s="129">
        <v>63914.294979180544</v>
      </c>
      <c r="J86" s="9">
        <v>10</v>
      </c>
      <c r="K86" s="9">
        <v>86525</v>
      </c>
      <c r="L86" s="100">
        <v>19727.7</v>
      </c>
      <c r="M86" s="10">
        <v>0.35208311391575514</v>
      </c>
      <c r="N86" s="100">
        <v>44186.594979180547</v>
      </c>
      <c r="O86" s="100">
        <v>0</v>
      </c>
      <c r="P86" s="10">
        <v>0.73724137931034484</v>
      </c>
      <c r="Q86" s="6">
        <v>216056</v>
      </c>
      <c r="R86" s="6">
        <v>12173</v>
      </c>
      <c r="S86" s="6">
        <v>203883</v>
      </c>
      <c r="T86" s="6">
        <v>0</v>
      </c>
      <c r="U86" s="6">
        <v>0</v>
      </c>
      <c r="V86" s="6">
        <v>0</v>
      </c>
      <c r="W86" s="6">
        <v>5394</v>
      </c>
      <c r="X86" s="9">
        <v>280325.85517184448</v>
      </c>
      <c r="Y86" s="9">
        <v>21.819214628812919</v>
      </c>
      <c r="Z86" s="9">
        <v>-22255.14482815552</v>
      </c>
      <c r="AA86" s="132">
        <v>538225.64192994137</v>
      </c>
      <c r="AB86" s="132">
        <v>401811.83999999997</v>
      </c>
      <c r="AC86" s="11">
        <v>1.0793902682095191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2"/>
      <c r="BJ86" s="31" t="s">
        <v>816</v>
      </c>
    </row>
    <row r="87" spans="1:62" ht="12.75" customHeight="1" x14ac:dyDescent="0.35">
      <c r="A87" s="118"/>
      <c r="B87" s="30" t="s">
        <v>15</v>
      </c>
      <c r="C87" s="6" t="s">
        <v>5</v>
      </c>
      <c r="D87" s="6" t="s">
        <v>308</v>
      </c>
      <c r="E87" s="6" t="s">
        <v>315</v>
      </c>
      <c r="F87" s="6">
        <v>1074225</v>
      </c>
      <c r="G87" s="8" t="s">
        <v>632</v>
      </c>
      <c r="H87" s="129">
        <v>529.48526298438401</v>
      </c>
      <c r="I87" s="129">
        <v>397.11394723828801</v>
      </c>
      <c r="J87" s="9">
        <v>1</v>
      </c>
      <c r="K87" s="9">
        <v>131</v>
      </c>
      <c r="L87" s="100">
        <v>98.25</v>
      </c>
      <c r="M87" s="10">
        <v>0.34184143101512193</v>
      </c>
      <c r="N87" s="100">
        <v>298.86394723828801</v>
      </c>
      <c r="O87" s="100">
        <v>7.5812398913545458</v>
      </c>
      <c r="P87" s="10">
        <v>1.2680857303346023</v>
      </c>
      <c r="Q87" s="6">
        <v>438</v>
      </c>
      <c r="R87" s="6">
        <v>50</v>
      </c>
      <c r="S87" s="6">
        <v>388</v>
      </c>
      <c r="T87" s="6">
        <v>0</v>
      </c>
      <c r="U87" s="6">
        <v>0</v>
      </c>
      <c r="V87" s="6">
        <v>0</v>
      </c>
      <c r="W87" s="6">
        <v>2</v>
      </c>
      <c r="X87" s="9">
        <v>529.48526298438401</v>
      </c>
      <c r="Y87" s="9">
        <v>21.983614679646514</v>
      </c>
      <c r="Z87" s="9">
        <v>-39.514737015615992</v>
      </c>
      <c r="AA87" s="132">
        <v>4569.457819555234</v>
      </c>
      <c r="AB87" s="132">
        <v>3365.7000000000003</v>
      </c>
      <c r="AC87" s="11">
        <v>1.0746285870033392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126" t="s">
        <v>1</v>
      </c>
      <c r="BJ87" s="31"/>
    </row>
    <row r="88" spans="1:62" ht="12.75" customHeight="1" x14ac:dyDescent="0.35">
      <c r="A88" s="118"/>
      <c r="B88" s="30" t="s">
        <v>31</v>
      </c>
      <c r="C88" s="6" t="s">
        <v>5</v>
      </c>
      <c r="D88" s="6" t="s">
        <v>306</v>
      </c>
      <c r="E88" s="6" t="s">
        <v>307</v>
      </c>
      <c r="F88" s="6">
        <v>1071764</v>
      </c>
      <c r="G88" s="8" t="s">
        <v>604</v>
      </c>
      <c r="H88" s="129">
        <v>8278.7980228847173</v>
      </c>
      <c r="I88" s="129">
        <v>2980.3672882384981</v>
      </c>
      <c r="J88" s="9">
        <v>24</v>
      </c>
      <c r="K88" s="9">
        <v>2406</v>
      </c>
      <c r="L88" s="100">
        <v>866.16</v>
      </c>
      <c r="M88" s="10">
        <v>0.32396007156911732</v>
      </c>
      <c r="N88" s="100">
        <v>2114.2072882384982</v>
      </c>
      <c r="O88" s="100">
        <v>0</v>
      </c>
      <c r="P88" s="10">
        <v>0.5490687734603994</v>
      </c>
      <c r="Q88" s="6">
        <v>6598</v>
      </c>
      <c r="R88" s="6">
        <v>276</v>
      </c>
      <c r="S88" s="6">
        <v>6322</v>
      </c>
      <c r="T88" s="6">
        <v>3336</v>
      </c>
      <c r="U88" s="6">
        <v>0</v>
      </c>
      <c r="V88" s="6">
        <v>0</v>
      </c>
      <c r="W88" s="6">
        <v>0</v>
      </c>
      <c r="X88" s="9">
        <v>8278.7980228847173</v>
      </c>
      <c r="Y88" s="9">
        <v>22.909122734451451</v>
      </c>
      <c r="Z88" s="9">
        <v>-4061.2019771152827</v>
      </c>
      <c r="AA88" s="132">
        <v>57951.586160193023</v>
      </c>
      <c r="AB88" s="132">
        <v>67606</v>
      </c>
      <c r="AC88" s="11">
        <v>1.490554542566334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/>
      <c r="BJ88" s="31"/>
    </row>
    <row r="89" spans="1:62" ht="12.75" customHeight="1" x14ac:dyDescent="0.35">
      <c r="A89" s="118"/>
      <c r="B89" s="30" t="s">
        <v>1</v>
      </c>
      <c r="C89" s="6" t="s">
        <v>2</v>
      </c>
      <c r="D89" s="6" t="s">
        <v>310</v>
      </c>
      <c r="E89" s="6" t="s">
        <v>311</v>
      </c>
      <c r="F89" s="6">
        <v>1078887</v>
      </c>
      <c r="G89" s="8" t="s">
        <v>721</v>
      </c>
      <c r="H89" s="129">
        <v>10300</v>
      </c>
      <c r="I89" s="129">
        <v>1030</v>
      </c>
      <c r="J89" s="9">
        <v>3</v>
      </c>
      <c r="K89" s="9">
        <v>6003</v>
      </c>
      <c r="L89" s="100">
        <v>600.30000000000007</v>
      </c>
      <c r="M89" s="10">
        <v>0.69699029126213596</v>
      </c>
      <c r="N89" s="100">
        <v>429.69999999999993</v>
      </c>
      <c r="O89" s="100">
        <v>2.7882449193995247</v>
      </c>
      <c r="P89" s="10">
        <v>1.075868219191469</v>
      </c>
      <c r="Q89" s="6">
        <v>12150</v>
      </c>
      <c r="R89" s="6">
        <v>1176</v>
      </c>
      <c r="S89" s="6">
        <v>10974</v>
      </c>
      <c r="T89" s="6">
        <v>0</v>
      </c>
      <c r="U89" s="6">
        <v>0</v>
      </c>
      <c r="V89" s="6">
        <v>0</v>
      </c>
      <c r="W89" s="6">
        <v>1787</v>
      </c>
      <c r="X89" s="9">
        <v>13253.538461538465</v>
      </c>
      <c r="Y89" s="9">
        <v>24.840158796489757</v>
      </c>
      <c r="Z89" s="9">
        <v>-7853</v>
      </c>
      <c r="AA89" s="132">
        <v>22454</v>
      </c>
      <c r="AB89" s="132">
        <v>27818.980000000003</v>
      </c>
      <c r="AC89" s="11">
        <v>1.7624271844660195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31</v>
      </c>
      <c r="C90" s="6" t="s">
        <v>5</v>
      </c>
      <c r="D90" s="6" t="s">
        <v>306</v>
      </c>
      <c r="E90" s="6" t="s">
        <v>307</v>
      </c>
      <c r="F90" s="133">
        <v>1076008</v>
      </c>
      <c r="G90" s="134" t="s">
        <v>654</v>
      </c>
      <c r="H90" s="129">
        <v>51805.001835882693</v>
      </c>
      <c r="I90" s="129">
        <v>25902.500917941346</v>
      </c>
      <c r="J90" s="9">
        <v>12</v>
      </c>
      <c r="K90" s="9">
        <v>8520</v>
      </c>
      <c r="L90" s="100">
        <v>4260</v>
      </c>
      <c r="M90" s="10">
        <v>0.20221985578125792</v>
      </c>
      <c r="N90" s="100">
        <v>21642.500917941346</v>
      </c>
      <c r="O90" s="100">
        <v>0</v>
      </c>
      <c r="P90" s="10">
        <v>0</v>
      </c>
      <c r="Q90" s="6">
        <v>41688</v>
      </c>
      <c r="R90" s="6">
        <v>1956</v>
      </c>
      <c r="S90" s="6">
        <v>39732</v>
      </c>
      <c r="T90" s="6">
        <v>1440</v>
      </c>
      <c r="U90" s="6">
        <v>0</v>
      </c>
      <c r="V90" s="6">
        <v>0</v>
      </c>
      <c r="W90" s="6">
        <v>0</v>
      </c>
      <c r="X90" s="9">
        <v>51805.001835882686</v>
      </c>
      <c r="Y90" s="9">
        <v>23.008589089063403</v>
      </c>
      <c r="Z90" s="9">
        <v>157.00183588269283</v>
      </c>
      <c r="AA90" s="132">
        <v>607672.67153490405</v>
      </c>
      <c r="AB90" s="132">
        <v>482947.56</v>
      </c>
      <c r="AC90" s="11">
        <v>0.99696936916670575</v>
      </c>
      <c r="AD90" s="71"/>
      <c r="AE90" s="71">
        <v>20.181318524705016</v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 t="s">
        <v>823</v>
      </c>
    </row>
    <row r="91" spans="1:62" ht="12.75" customHeight="1" x14ac:dyDescent="0.35">
      <c r="A91" s="118"/>
      <c r="B91" s="30" t="s">
        <v>27</v>
      </c>
      <c r="C91" s="6" t="s">
        <v>5</v>
      </c>
      <c r="D91" s="6" t="s">
        <v>312</v>
      </c>
      <c r="E91" s="6" t="s">
        <v>313</v>
      </c>
      <c r="F91" s="179">
        <v>1072813</v>
      </c>
      <c r="G91" s="180" t="s">
        <v>612</v>
      </c>
      <c r="H91" s="129">
        <v>54619.677088108532</v>
      </c>
      <c r="I91" s="129">
        <v>12453.286376088747</v>
      </c>
      <c r="J91" s="9">
        <v>143</v>
      </c>
      <c r="K91" s="9">
        <v>10946</v>
      </c>
      <c r="L91" s="100">
        <v>2495.6880000000001</v>
      </c>
      <c r="M91" s="10">
        <v>0.23390837663486505</v>
      </c>
      <c r="N91" s="100">
        <v>9957.5983760887466</v>
      </c>
      <c r="O91" s="100">
        <v>6.9999759194056255</v>
      </c>
      <c r="P91" s="10">
        <v>1.2865869434857045</v>
      </c>
      <c r="Q91" s="6">
        <v>44022</v>
      </c>
      <c r="R91" s="6">
        <v>1830</v>
      </c>
      <c r="S91" s="6">
        <v>42190</v>
      </c>
      <c r="T91" s="6">
        <v>0</v>
      </c>
      <c r="U91" s="6">
        <v>0</v>
      </c>
      <c r="V91" s="6">
        <v>0</v>
      </c>
      <c r="W91" s="6">
        <v>0</v>
      </c>
      <c r="X91" s="9">
        <v>54619.677088108532</v>
      </c>
      <c r="Y91" s="9">
        <v>23.172967462957789</v>
      </c>
      <c r="Z91" s="9">
        <v>-348.32291189146781</v>
      </c>
      <c r="AA91" s="132">
        <v>116886.10896855226</v>
      </c>
      <c r="AB91" s="132">
        <v>90286.6</v>
      </c>
      <c r="AC91" s="11">
        <v>1.0063772422405497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4</v>
      </c>
      <c r="C92" s="6" t="s">
        <v>5</v>
      </c>
      <c r="D92" s="6" t="s">
        <v>308</v>
      </c>
      <c r="E92" s="6" t="s">
        <v>314</v>
      </c>
      <c r="F92" s="6">
        <v>1075137</v>
      </c>
      <c r="G92" s="8" t="s">
        <v>652</v>
      </c>
      <c r="H92" s="129">
        <v>9622.7374813590013</v>
      </c>
      <c r="I92" s="129">
        <v>1385.6741973156961</v>
      </c>
      <c r="J92" s="9">
        <v>0</v>
      </c>
      <c r="K92" s="9">
        <v>4396</v>
      </c>
      <c r="L92" s="100">
        <v>633.024</v>
      </c>
      <c r="M92" s="10">
        <v>0.46795415636383436</v>
      </c>
      <c r="N92" s="100">
        <v>752.65019731569612</v>
      </c>
      <c r="O92" s="100">
        <v>0</v>
      </c>
      <c r="P92" s="10">
        <v>-1.9500759063849713E-2</v>
      </c>
      <c r="Q92" s="6">
        <v>7618</v>
      </c>
      <c r="R92" s="6">
        <v>107</v>
      </c>
      <c r="S92" s="6">
        <v>7511</v>
      </c>
      <c r="T92" s="6">
        <v>720</v>
      </c>
      <c r="U92" s="6">
        <v>0</v>
      </c>
      <c r="V92" s="6">
        <v>0</v>
      </c>
      <c r="W92" s="6">
        <v>0</v>
      </c>
      <c r="X92" s="9">
        <v>9622.7374813590013</v>
      </c>
      <c r="Y92" s="9">
        <v>23.416413513982413</v>
      </c>
      <c r="Z92" s="9">
        <v>-3111.2625186409987</v>
      </c>
      <c r="AA92" s="132">
        <v>24826.662701906225</v>
      </c>
      <c r="AB92" s="132">
        <v>21235.98</v>
      </c>
      <c r="AC92" s="11">
        <v>1.3233240566593532</v>
      </c>
      <c r="AD92" s="71"/>
      <c r="AE92" s="71">
        <v>14.604715532689871</v>
      </c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1</v>
      </c>
      <c r="C93" s="6" t="s">
        <v>2</v>
      </c>
      <c r="D93" s="6" t="s">
        <v>396</v>
      </c>
      <c r="E93" s="6" t="s">
        <v>397</v>
      </c>
      <c r="F93" s="6">
        <v>1043306</v>
      </c>
      <c r="G93" s="8" t="s">
        <v>10</v>
      </c>
      <c r="H93" s="129">
        <v>641</v>
      </c>
      <c r="I93" s="129">
        <v>641</v>
      </c>
      <c r="J93" s="9">
        <v>0</v>
      </c>
      <c r="K93" s="9">
        <v>566</v>
      </c>
      <c r="L93" s="100">
        <v>566</v>
      </c>
      <c r="M93" s="10">
        <v>0.88611544461778469</v>
      </c>
      <c r="N93" s="100">
        <v>75</v>
      </c>
      <c r="O93" s="100">
        <v>19.811251015551264</v>
      </c>
      <c r="P93" s="10">
        <v>1.7170097083734077</v>
      </c>
      <c r="Q93" s="6">
        <v>911</v>
      </c>
      <c r="R93" s="6">
        <v>2</v>
      </c>
      <c r="S93" s="6">
        <v>909</v>
      </c>
      <c r="T93" s="6">
        <v>0</v>
      </c>
      <c r="U93" s="6">
        <v>0</v>
      </c>
      <c r="V93" s="6">
        <v>0</v>
      </c>
      <c r="W93" s="6">
        <v>9</v>
      </c>
      <c r="X93" s="9">
        <v>1048.6153846153845</v>
      </c>
      <c r="Y93" s="9">
        <v>26.005721830985916</v>
      </c>
      <c r="Z93" s="9">
        <v>-836</v>
      </c>
      <c r="AA93" s="132">
        <v>19364.61</v>
      </c>
      <c r="AB93" s="132">
        <v>27732.780000000002</v>
      </c>
      <c r="AC93" s="11">
        <v>2.3042121684867394</v>
      </c>
      <c r="AD93" s="71"/>
      <c r="AE93" s="71">
        <v>21.67148988350705</v>
      </c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/>
    </row>
    <row r="94" spans="1:62" ht="12.75" customHeight="1" x14ac:dyDescent="0.35">
      <c r="A94" s="118"/>
      <c r="B94" s="30" t="s">
        <v>1</v>
      </c>
      <c r="C94" s="6" t="s">
        <v>50</v>
      </c>
      <c r="D94" s="6" t="s">
        <v>320</v>
      </c>
      <c r="E94" s="6" t="s">
        <v>402</v>
      </c>
      <c r="F94" s="6">
        <v>1060796</v>
      </c>
      <c r="G94" s="8" t="s">
        <v>433</v>
      </c>
      <c r="H94" s="129">
        <v>41024.912002145014</v>
      </c>
      <c r="I94" s="129">
        <v>7384.4841603861023</v>
      </c>
      <c r="J94" s="9">
        <v>2</v>
      </c>
      <c r="K94" s="9">
        <v>16369</v>
      </c>
      <c r="L94" s="100">
        <v>2946.42</v>
      </c>
      <c r="M94" s="10">
        <v>0.55422422353547474</v>
      </c>
      <c r="N94" s="100">
        <v>4438.0641603861022</v>
      </c>
      <c r="O94" s="100">
        <v>0</v>
      </c>
      <c r="P94" s="10">
        <v>0.4</v>
      </c>
      <c r="Q94" s="6">
        <v>43804</v>
      </c>
      <c r="R94" s="6">
        <v>6368</v>
      </c>
      <c r="S94" s="6">
        <v>37436</v>
      </c>
      <c r="T94" s="6">
        <v>0</v>
      </c>
      <c r="U94" s="6">
        <v>32</v>
      </c>
      <c r="V94" s="6">
        <v>0</v>
      </c>
      <c r="W94" s="6">
        <v>0</v>
      </c>
      <c r="X94" s="9">
        <v>41976</v>
      </c>
      <c r="Y94" s="9">
        <v>26.755288736420809</v>
      </c>
      <c r="Z94" s="9">
        <v>-19148.087997854986</v>
      </c>
      <c r="AA94" s="132">
        <v>280610.39809467189</v>
      </c>
      <c r="AB94" s="132">
        <v>256281.12</v>
      </c>
      <c r="AC94" s="11">
        <v>1.4667429389453368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 t="s">
        <v>830</v>
      </c>
    </row>
    <row r="95" spans="1:62" ht="12.75" customHeight="1" x14ac:dyDescent="0.35">
      <c r="A95" s="118"/>
      <c r="B95" s="30">
        <v>0</v>
      </c>
      <c r="C95" s="6" t="s">
        <v>2</v>
      </c>
      <c r="D95" s="6" t="s">
        <v>310</v>
      </c>
      <c r="E95" s="6" t="s">
        <v>311</v>
      </c>
      <c r="F95" s="154">
        <v>1080747</v>
      </c>
      <c r="G95" s="162" t="s">
        <v>782</v>
      </c>
      <c r="H95" s="129">
        <v>21908.305658518337</v>
      </c>
      <c r="I95" s="129">
        <v>3505.3289053629342</v>
      </c>
      <c r="J95" s="9">
        <v>8</v>
      </c>
      <c r="K95" s="9">
        <v>17409</v>
      </c>
      <c r="L95" s="100">
        <v>2785.44</v>
      </c>
      <c r="M95" s="10">
        <v>0.82092153908794463</v>
      </c>
      <c r="N95" s="100">
        <v>719.88890536293411</v>
      </c>
      <c r="O95" s="100">
        <v>0</v>
      </c>
      <c r="P95" s="10">
        <v>0</v>
      </c>
      <c r="Q95" s="6">
        <v>30801</v>
      </c>
      <c r="R95" s="6">
        <v>576</v>
      </c>
      <c r="S95" s="6">
        <v>30225</v>
      </c>
      <c r="T95" s="6">
        <v>0</v>
      </c>
      <c r="U95" s="6">
        <v>0</v>
      </c>
      <c r="V95" s="6">
        <v>0</v>
      </c>
      <c r="W95" s="6">
        <v>0</v>
      </c>
      <c r="X95" s="9">
        <v>33203.076923076922</v>
      </c>
      <c r="Y95" s="9">
        <v>27.309216013344454</v>
      </c>
      <c r="Z95" s="9">
        <v>-26301.694341481663</v>
      </c>
      <c r="AA95" s="132">
        <v>140870.40538427289</v>
      </c>
      <c r="AB95" s="132">
        <v>194346.75</v>
      </c>
      <c r="AC95" s="11">
        <v>2.2005353016085523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2" t="s">
        <v>1</v>
      </c>
      <c r="BJ95" s="31" t="s">
        <v>815</v>
      </c>
    </row>
    <row r="96" spans="1:62" ht="12.75" customHeight="1" x14ac:dyDescent="0.35">
      <c r="A96" s="118"/>
      <c r="B96" s="30" t="s">
        <v>21</v>
      </c>
      <c r="C96" s="6" t="s">
        <v>5</v>
      </c>
      <c r="D96" s="6" t="s">
        <v>396</v>
      </c>
      <c r="E96" s="6" t="s">
        <v>307</v>
      </c>
      <c r="F96" s="6">
        <v>1063072</v>
      </c>
      <c r="G96" s="8" t="s">
        <v>448</v>
      </c>
      <c r="H96" s="129">
        <v>24766.125608654085</v>
      </c>
      <c r="I96" s="129">
        <v>12383.062804327043</v>
      </c>
      <c r="J96" s="9">
        <v>7</v>
      </c>
      <c r="K96" s="9">
        <v>4505</v>
      </c>
      <c r="L96" s="100">
        <v>2252.5</v>
      </c>
      <c r="M96" s="10">
        <v>0.20257508498813792</v>
      </c>
      <c r="N96" s="100">
        <v>10130.562804327043</v>
      </c>
      <c r="O96" s="100">
        <v>0</v>
      </c>
      <c r="P96" s="10">
        <v>0.71662556124707533</v>
      </c>
      <c r="Q96" s="6">
        <v>21892</v>
      </c>
      <c r="R96" s="6">
        <v>512</v>
      </c>
      <c r="S96" s="6">
        <v>21378</v>
      </c>
      <c r="T96" s="6">
        <v>0</v>
      </c>
      <c r="U96" s="6">
        <v>0</v>
      </c>
      <c r="V96" s="6">
        <v>0</v>
      </c>
      <c r="W96" s="6">
        <v>0</v>
      </c>
      <c r="X96" s="9">
        <v>24766.125608654085</v>
      </c>
      <c r="Y96" s="9">
        <v>25.895855093939083</v>
      </c>
      <c r="Z96" s="9">
        <v>-1630.8743913459148</v>
      </c>
      <c r="AA96" s="132">
        <v>141662.23848150135</v>
      </c>
      <c r="AB96" s="132">
        <v>122282.15999999999</v>
      </c>
      <c r="AC96" s="11">
        <v>1.0658510102515202</v>
      </c>
      <c r="AD96" s="71"/>
      <c r="AE96" s="71">
        <v>0</v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 t="s">
        <v>826</v>
      </c>
    </row>
    <row r="97" spans="1:62" ht="12.75" customHeight="1" x14ac:dyDescent="0.35">
      <c r="A97" s="118"/>
      <c r="B97" s="30" t="s">
        <v>31</v>
      </c>
      <c r="C97" s="6" t="s">
        <v>5</v>
      </c>
      <c r="D97" s="6" t="s">
        <v>306</v>
      </c>
      <c r="E97" s="6" t="s">
        <v>307</v>
      </c>
      <c r="F97" s="6">
        <v>1058893</v>
      </c>
      <c r="G97" s="8" t="s">
        <v>261</v>
      </c>
      <c r="H97" s="129">
        <v>4763.5551071863629</v>
      </c>
      <c r="I97" s="129">
        <v>1429.0665321559088</v>
      </c>
      <c r="J97" s="9">
        <v>0</v>
      </c>
      <c r="K97" s="9">
        <v>900</v>
      </c>
      <c r="L97" s="100">
        <v>270</v>
      </c>
      <c r="M97" s="10">
        <v>0.22252287968724657</v>
      </c>
      <c r="N97" s="100">
        <v>1159.0665321559088</v>
      </c>
      <c r="O97" s="100">
        <v>0</v>
      </c>
      <c r="P97" s="10">
        <v>1.773293213540186</v>
      </c>
      <c r="Q97" s="6">
        <v>4324</v>
      </c>
      <c r="R97" s="6">
        <v>160</v>
      </c>
      <c r="S97" s="6">
        <v>4164</v>
      </c>
      <c r="T97" s="6">
        <v>0</v>
      </c>
      <c r="U97" s="6">
        <v>0</v>
      </c>
      <c r="V97" s="6">
        <v>0</v>
      </c>
      <c r="W97" s="6">
        <v>0</v>
      </c>
      <c r="X97" s="9">
        <v>4763.5551071863629</v>
      </c>
      <c r="Y97" s="9">
        <v>26.224111443897019</v>
      </c>
      <c r="Z97" s="9">
        <v>-460.44489281363713</v>
      </c>
      <c r="AA97" s="132">
        <v>34869.223384604178</v>
      </c>
      <c r="AB97" s="132">
        <v>30480.48</v>
      </c>
      <c r="AC97" s="11">
        <v>1.0966599278171474</v>
      </c>
      <c r="AD97" s="71"/>
      <c r="AE97" s="71">
        <v>26.635199999999998</v>
      </c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 t="s">
        <v>1</v>
      </c>
      <c r="BJ97" s="31"/>
    </row>
    <row r="98" spans="1:62" ht="12.75" customHeight="1" x14ac:dyDescent="0.35">
      <c r="A98" s="118"/>
      <c r="B98" s="30" t="s">
        <v>27</v>
      </c>
      <c r="C98" s="6" t="s">
        <v>5</v>
      </c>
      <c r="D98" s="6" t="s">
        <v>312</v>
      </c>
      <c r="E98" s="6" t="s">
        <v>313</v>
      </c>
      <c r="F98" s="6">
        <v>1052769</v>
      </c>
      <c r="G98" s="8" t="s">
        <v>192</v>
      </c>
      <c r="H98" s="129">
        <v>32764.503123225102</v>
      </c>
      <c r="I98" s="129">
        <v>9043.0028620101293</v>
      </c>
      <c r="J98" s="9">
        <v>0</v>
      </c>
      <c r="K98" s="9">
        <v>8281</v>
      </c>
      <c r="L98" s="100">
        <v>2285.556</v>
      </c>
      <c r="M98" s="10">
        <v>0.30102699750720824</v>
      </c>
      <c r="N98" s="100">
        <v>6757.4468620101288</v>
      </c>
      <c r="O98" s="100">
        <v>0</v>
      </c>
      <c r="P98" s="10">
        <v>0.87777777777777777</v>
      </c>
      <c r="Q98" s="6">
        <v>30336</v>
      </c>
      <c r="R98" s="6">
        <v>1582</v>
      </c>
      <c r="S98" s="6">
        <v>28754</v>
      </c>
      <c r="T98" s="6">
        <v>6300</v>
      </c>
      <c r="U98" s="6">
        <v>0</v>
      </c>
      <c r="V98" s="6">
        <v>0</v>
      </c>
      <c r="W98" s="6">
        <v>0</v>
      </c>
      <c r="X98" s="9">
        <v>32764.503123225106</v>
      </c>
      <c r="Y98" s="9">
        <v>26.327882854067521</v>
      </c>
      <c r="Z98" s="9">
        <v>-12152.496876774898</v>
      </c>
      <c r="AA98" s="132">
        <v>133023.8826802939</v>
      </c>
      <c r="AB98" s="132">
        <v>142319.24</v>
      </c>
      <c r="AC98" s="11">
        <v>1.3709043543578296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2"/>
      <c r="BJ98" s="31"/>
    </row>
    <row r="99" spans="1:62" ht="12.75" customHeight="1" x14ac:dyDescent="0.35">
      <c r="A99" s="118"/>
      <c r="B99" s="30" t="s">
        <v>1</v>
      </c>
      <c r="C99" s="6" t="s">
        <v>2</v>
      </c>
      <c r="D99" s="6" t="s">
        <v>306</v>
      </c>
      <c r="E99" s="6" t="s">
        <v>401</v>
      </c>
      <c r="F99" s="6">
        <v>1075854</v>
      </c>
      <c r="G99" s="8" t="s">
        <v>689</v>
      </c>
      <c r="H99" s="129">
        <v>21138.559311243745</v>
      </c>
      <c r="I99" s="129">
        <v>7609.8813520477479</v>
      </c>
      <c r="J99" s="9">
        <v>0</v>
      </c>
      <c r="K99" s="9">
        <v>7623</v>
      </c>
      <c r="L99" s="100">
        <v>2744.2799999999997</v>
      </c>
      <c r="M99" s="10">
        <v>0.48380780588770722</v>
      </c>
      <c r="N99" s="100">
        <v>4865.6013520477482</v>
      </c>
      <c r="O99" s="100">
        <v>10.746662146702368</v>
      </c>
      <c r="P99" s="10">
        <v>1.3287606091905375</v>
      </c>
      <c r="Q99" s="6">
        <v>21253</v>
      </c>
      <c r="R99" s="6">
        <v>2604</v>
      </c>
      <c r="S99" s="6">
        <v>18649</v>
      </c>
      <c r="T99" s="6">
        <v>0</v>
      </c>
      <c r="U99" s="6">
        <v>0</v>
      </c>
      <c r="V99" s="6">
        <v>0</v>
      </c>
      <c r="W99" s="6">
        <v>0</v>
      </c>
      <c r="X99" s="9">
        <v>21138.559311243742</v>
      </c>
      <c r="Y99" s="9">
        <v>26.466798979172349</v>
      </c>
      <c r="Z99" s="9">
        <v>-7737.4406887562545</v>
      </c>
      <c r="AA99" s="132">
        <v>95546.288086821718</v>
      </c>
      <c r="AB99" s="132">
        <v>84293.48</v>
      </c>
      <c r="AC99" s="11">
        <v>1.3660344385267853</v>
      </c>
      <c r="AD99" s="71"/>
      <c r="AE99" s="71">
        <v>31.309116809116805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/>
    </row>
    <row r="100" spans="1:62" ht="12.75" customHeight="1" x14ac:dyDescent="0.35">
      <c r="A100" s="118"/>
      <c r="B100" s="30" t="s">
        <v>4</v>
      </c>
      <c r="C100" s="6" t="s">
        <v>5</v>
      </c>
      <c r="D100" s="6" t="s">
        <v>308</v>
      </c>
      <c r="E100" s="6" t="s">
        <v>314</v>
      </c>
      <c r="F100" s="150">
        <v>1083252</v>
      </c>
      <c r="G100" s="151" t="s">
        <v>776</v>
      </c>
      <c r="H100" s="129">
        <v>72800</v>
      </c>
      <c r="I100" s="129">
        <v>6988.8</v>
      </c>
      <c r="J100" s="9">
        <v>0</v>
      </c>
      <c r="K100" s="9">
        <v>2</v>
      </c>
      <c r="L100" s="100">
        <v>0.192</v>
      </c>
      <c r="M100" s="10">
        <v>6.9587912087912082E-2</v>
      </c>
      <c r="N100" s="100">
        <v>6988.6080000000002</v>
      </c>
      <c r="O100" s="100">
        <v>24.102270064114261</v>
      </c>
      <c r="P100" s="10">
        <v>1.6576743415035191</v>
      </c>
      <c r="Q100" s="6">
        <v>69984</v>
      </c>
      <c r="R100" s="6">
        <v>5064</v>
      </c>
      <c r="S100" s="6">
        <v>64920</v>
      </c>
      <c r="T100" s="6">
        <v>0</v>
      </c>
      <c r="U100" s="6">
        <v>0</v>
      </c>
      <c r="V100" s="6">
        <v>0</v>
      </c>
      <c r="W100" s="6">
        <v>0</v>
      </c>
      <c r="X100" s="9">
        <v>72800</v>
      </c>
      <c r="Y100" s="9">
        <v>26.752747252747255</v>
      </c>
      <c r="Z100" s="9">
        <v>2814</v>
      </c>
      <c r="AA100" s="132">
        <v>160160</v>
      </c>
      <c r="AB100" s="132">
        <v>142824</v>
      </c>
      <c r="AC100" s="11">
        <v>0.96134615384615385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/>
    </row>
    <row r="101" spans="1:62" ht="12.75" customHeight="1" x14ac:dyDescent="0.35">
      <c r="A101" s="118"/>
      <c r="B101" s="30" t="s">
        <v>1</v>
      </c>
      <c r="C101" s="6" t="s">
        <v>5</v>
      </c>
      <c r="D101" s="6" t="s">
        <v>396</v>
      </c>
      <c r="E101" s="6" t="s">
        <v>307</v>
      </c>
      <c r="F101" s="6">
        <v>1067889</v>
      </c>
      <c r="G101" s="8" t="s">
        <v>542</v>
      </c>
      <c r="H101" s="129">
        <v>1517.611358196616</v>
      </c>
      <c r="I101" s="129">
        <v>576.69231611471412</v>
      </c>
      <c r="J101" s="9">
        <v>1</v>
      </c>
      <c r="K101" s="9">
        <v>732</v>
      </c>
      <c r="L101" s="100">
        <v>278.16000000000003</v>
      </c>
      <c r="M101" s="10">
        <v>0.51396557872819115</v>
      </c>
      <c r="N101" s="100">
        <v>298.53231611471409</v>
      </c>
      <c r="O101" s="100">
        <v>0</v>
      </c>
      <c r="P101" s="10">
        <v>0</v>
      </c>
      <c r="Q101" s="6">
        <v>1443</v>
      </c>
      <c r="R101" s="6">
        <v>48</v>
      </c>
      <c r="S101" s="6">
        <v>1395</v>
      </c>
      <c r="T101" s="6">
        <v>0</v>
      </c>
      <c r="U101" s="6">
        <v>0</v>
      </c>
      <c r="V101" s="6">
        <v>0</v>
      </c>
      <c r="W101" s="6">
        <v>0</v>
      </c>
      <c r="X101" s="9">
        <v>1517.611358196616</v>
      </c>
      <c r="Y101" s="9">
        <v>27.576230089454874</v>
      </c>
      <c r="Z101" s="9">
        <v>-657.38864180338396</v>
      </c>
      <c r="AA101" s="132">
        <v>4082.374553548897</v>
      </c>
      <c r="AB101" s="132">
        <v>3752.5499999999997</v>
      </c>
      <c r="AC101" s="11">
        <v>1.4331732483766868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2"/>
      <c r="BJ101" s="31"/>
    </row>
    <row r="102" spans="1:62" ht="12.75" customHeight="1" x14ac:dyDescent="0.35">
      <c r="A102" s="118"/>
      <c r="B102" s="30" t="s">
        <v>4</v>
      </c>
      <c r="C102" s="6" t="s">
        <v>5</v>
      </c>
      <c r="D102" s="6" t="s">
        <v>308</v>
      </c>
      <c r="E102" s="6" t="s">
        <v>314</v>
      </c>
      <c r="F102" s="6">
        <v>1075185</v>
      </c>
      <c r="G102" s="8" t="s">
        <v>703</v>
      </c>
      <c r="H102" s="129">
        <v>4400</v>
      </c>
      <c r="I102" s="129">
        <v>4224</v>
      </c>
      <c r="J102" s="9">
        <v>949</v>
      </c>
      <c r="K102" s="9">
        <v>22499</v>
      </c>
      <c r="L102" s="100">
        <v>21599.040000000001</v>
      </c>
      <c r="M102" s="10">
        <v>5.1134090909090908</v>
      </c>
      <c r="N102" s="100">
        <v>17375.04</v>
      </c>
      <c r="O102" s="100">
        <v>0</v>
      </c>
      <c r="P102" s="10">
        <v>0.6852247154734652</v>
      </c>
      <c r="Q102" s="6">
        <v>40919</v>
      </c>
      <c r="R102" s="6">
        <v>0</v>
      </c>
      <c r="S102" s="6">
        <v>40919</v>
      </c>
      <c r="T102" s="6">
        <v>0</v>
      </c>
      <c r="U102" s="6">
        <v>0</v>
      </c>
      <c r="V102" s="6">
        <v>0</v>
      </c>
      <c r="W102" s="6">
        <v>0</v>
      </c>
      <c r="X102" s="9">
        <v>41536.615384615383</v>
      </c>
      <c r="Y102" s="9">
        <v>29.55392461887195</v>
      </c>
      <c r="Z102" s="9">
        <v>-59018</v>
      </c>
      <c r="AA102" s="132">
        <v>5544</v>
      </c>
      <c r="AB102" s="132">
        <v>51557.94</v>
      </c>
      <c r="AC102" s="11">
        <v>14.413181818181819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/>
    </row>
    <row r="103" spans="1:62" ht="12.75" customHeight="1" x14ac:dyDescent="0.35">
      <c r="A103" s="118"/>
      <c r="B103" s="30" t="s">
        <v>31</v>
      </c>
      <c r="C103" s="6" t="s">
        <v>5</v>
      </c>
      <c r="D103" s="6" t="s">
        <v>306</v>
      </c>
      <c r="E103" s="6" t="s">
        <v>307</v>
      </c>
      <c r="F103" s="6">
        <v>1071168</v>
      </c>
      <c r="G103" s="131" t="s">
        <v>594</v>
      </c>
      <c r="H103" s="129">
        <v>263285.5084002263</v>
      </c>
      <c r="I103" s="129">
        <v>10531.420336009052</v>
      </c>
      <c r="J103" s="9">
        <v>4</v>
      </c>
      <c r="K103" s="9">
        <v>78247</v>
      </c>
      <c r="L103" s="100">
        <v>3129.88</v>
      </c>
      <c r="M103" s="10">
        <v>0.32545277755942892</v>
      </c>
      <c r="N103" s="100">
        <v>7401.5403360090522</v>
      </c>
      <c r="O103" s="100">
        <v>5.9769598311449137</v>
      </c>
      <c r="P103" s="10">
        <v>1.2166221053794986</v>
      </c>
      <c r="Q103" s="6">
        <v>246944</v>
      </c>
      <c r="R103" s="6">
        <v>7440</v>
      </c>
      <c r="S103" s="6">
        <v>239504</v>
      </c>
      <c r="T103" s="6">
        <v>0</v>
      </c>
      <c r="U103" s="6">
        <v>0</v>
      </c>
      <c r="V103" s="6">
        <v>0</v>
      </c>
      <c r="W103" s="6">
        <v>0</v>
      </c>
      <c r="X103" s="9">
        <v>263285.5084002263</v>
      </c>
      <c r="Y103" s="9">
        <v>27.290222100176265</v>
      </c>
      <c r="Z103" s="9">
        <v>-61905.491599773697</v>
      </c>
      <c r="AA103" s="132">
        <v>226425.53722419462</v>
      </c>
      <c r="AB103" s="132">
        <v>205973.44</v>
      </c>
      <c r="AC103" s="11">
        <v>1.2351268475653046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2"/>
      <c r="BJ103" s="31" t="s">
        <v>824</v>
      </c>
    </row>
    <row r="104" spans="1:62" ht="12.75" customHeight="1" x14ac:dyDescent="0.35">
      <c r="A104" s="118"/>
      <c r="B104" s="30" t="s">
        <v>15</v>
      </c>
      <c r="C104" s="6" t="s">
        <v>5</v>
      </c>
      <c r="D104" s="6" t="s">
        <v>308</v>
      </c>
      <c r="E104" s="6" t="s">
        <v>315</v>
      </c>
      <c r="F104" s="61">
        <v>1074227</v>
      </c>
      <c r="G104" s="70" t="s">
        <v>701</v>
      </c>
      <c r="H104" s="129">
        <v>1600</v>
      </c>
      <c r="I104" s="129">
        <v>512</v>
      </c>
      <c r="J104" s="9">
        <v>1</v>
      </c>
      <c r="K104" s="9">
        <v>306</v>
      </c>
      <c r="L104" s="100">
        <v>97.92</v>
      </c>
      <c r="M104" s="10">
        <v>0.19125</v>
      </c>
      <c r="N104" s="100">
        <v>414.08</v>
      </c>
      <c r="O104" s="100">
        <v>0.94548300503498151</v>
      </c>
      <c r="P104" s="10">
        <v>1.0237935472408433</v>
      </c>
      <c r="Q104" s="6">
        <v>1472</v>
      </c>
      <c r="R104" s="6">
        <v>0</v>
      </c>
      <c r="S104" s="6">
        <v>1472</v>
      </c>
      <c r="T104" s="6">
        <v>0</v>
      </c>
      <c r="U104" s="6">
        <v>0</v>
      </c>
      <c r="V104" s="6">
        <v>0</v>
      </c>
      <c r="W104" s="6">
        <v>0</v>
      </c>
      <c r="X104" s="9">
        <v>1600</v>
      </c>
      <c r="Y104" s="9">
        <v>27.6</v>
      </c>
      <c r="Z104" s="9">
        <v>-178</v>
      </c>
      <c r="AA104" s="132">
        <v>8928</v>
      </c>
      <c r="AB104" s="132">
        <v>8213.76</v>
      </c>
      <c r="AC104" s="11">
        <v>1.1112500000000001</v>
      </c>
      <c r="AD104" s="71"/>
      <c r="AE104" s="71">
        <v>159.2206572769953</v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15</v>
      </c>
      <c r="C105" s="6" t="s">
        <v>5</v>
      </c>
      <c r="D105" s="6" t="s">
        <v>308</v>
      </c>
      <c r="E105" s="6" t="s">
        <v>315</v>
      </c>
      <c r="F105" s="123">
        <v>1082605</v>
      </c>
      <c r="G105" s="124" t="s">
        <v>771</v>
      </c>
      <c r="H105" s="129">
        <v>30019.106821539342</v>
      </c>
      <c r="I105" s="129">
        <v>10926.95488304032</v>
      </c>
      <c r="J105" s="9">
        <v>0</v>
      </c>
      <c r="K105" s="9">
        <v>9810</v>
      </c>
      <c r="L105" s="100">
        <v>3570.8399999999997</v>
      </c>
      <c r="M105" s="10">
        <v>0.34957735626132397</v>
      </c>
      <c r="N105" s="100">
        <v>7356.1148830403199</v>
      </c>
      <c r="O105" s="100">
        <v>9.8396847983278461E-3</v>
      </c>
      <c r="P105" s="10">
        <v>1.0003377669574542</v>
      </c>
      <c r="Q105" s="6">
        <v>28966</v>
      </c>
      <c r="R105" s="6">
        <v>684</v>
      </c>
      <c r="S105" s="6">
        <v>28282</v>
      </c>
      <c r="T105" s="6">
        <v>0</v>
      </c>
      <c r="U105" s="6">
        <v>0</v>
      </c>
      <c r="V105" s="6">
        <v>0</v>
      </c>
      <c r="W105" s="6">
        <v>0</v>
      </c>
      <c r="X105" s="9">
        <v>30019.106821539342</v>
      </c>
      <c r="Y105" s="9">
        <v>28.263998827280634</v>
      </c>
      <c r="Z105" s="9">
        <v>-8756.8931784606575</v>
      </c>
      <c r="AA105" s="132">
        <v>175911.96597422057</v>
      </c>
      <c r="AB105" s="132">
        <v>165732.52000000002</v>
      </c>
      <c r="AC105" s="11">
        <v>1.2917106505040117</v>
      </c>
      <c r="AD105" s="71"/>
      <c r="AE105" s="71">
        <v>38.569490221929236</v>
      </c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 t="s">
        <v>1</v>
      </c>
      <c r="BJ105" s="31"/>
    </row>
    <row r="106" spans="1:62" ht="12.75" customHeight="1" x14ac:dyDescent="0.35">
      <c r="A106" s="118"/>
      <c r="B106" s="30" t="s">
        <v>27</v>
      </c>
      <c r="C106" s="6" t="s">
        <v>5</v>
      </c>
      <c r="D106" s="6" t="s">
        <v>312</v>
      </c>
      <c r="E106" s="6" t="s">
        <v>313</v>
      </c>
      <c r="F106" s="6">
        <v>1072353</v>
      </c>
      <c r="G106" s="8" t="s">
        <v>598</v>
      </c>
      <c r="H106" s="129">
        <v>207614.61466163353</v>
      </c>
      <c r="I106" s="129">
        <v>63114.842857136595</v>
      </c>
      <c r="J106" s="9">
        <v>3</v>
      </c>
      <c r="K106" s="9">
        <v>40530</v>
      </c>
      <c r="L106" s="100">
        <v>12321.119999999999</v>
      </c>
      <c r="M106" s="10">
        <v>0.22064920658239928</v>
      </c>
      <c r="N106" s="100">
        <v>50793.722857136599</v>
      </c>
      <c r="O106" s="100">
        <v>54.904663512535848</v>
      </c>
      <c r="P106" s="10">
        <v>2.5119279453191461</v>
      </c>
      <c r="Q106" s="6">
        <v>200915</v>
      </c>
      <c r="R106" s="6">
        <v>5280</v>
      </c>
      <c r="S106" s="6">
        <v>195635</v>
      </c>
      <c r="T106" s="6">
        <v>2700</v>
      </c>
      <c r="U106" s="6">
        <v>0</v>
      </c>
      <c r="V106" s="6">
        <v>0</v>
      </c>
      <c r="W106" s="6">
        <v>0</v>
      </c>
      <c r="X106" s="9">
        <v>207614.61466163353</v>
      </c>
      <c r="Y106" s="9">
        <v>28.268963673705098</v>
      </c>
      <c r="Z106" s="9">
        <v>-36530.385338366468</v>
      </c>
      <c r="AA106" s="132">
        <v>537721.85197363084</v>
      </c>
      <c r="AB106" s="132">
        <v>513687.64999999997</v>
      </c>
      <c r="AC106" s="11">
        <v>1.1759528605339418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 t="s">
        <v>822</v>
      </c>
    </row>
    <row r="107" spans="1:62" ht="12.75" customHeight="1" x14ac:dyDescent="0.35">
      <c r="A107" s="118"/>
      <c r="B107" s="30" t="s">
        <v>1</v>
      </c>
      <c r="C107" s="6" t="s">
        <v>2</v>
      </c>
      <c r="D107" s="6" t="s">
        <v>310</v>
      </c>
      <c r="E107" s="6" t="s">
        <v>311</v>
      </c>
      <c r="F107" s="6">
        <v>1068804</v>
      </c>
      <c r="G107" s="8" t="s">
        <v>563</v>
      </c>
      <c r="H107" s="129">
        <v>4463.9255430118974</v>
      </c>
      <c r="I107" s="129">
        <v>2678.3553258071383</v>
      </c>
      <c r="J107" s="9">
        <v>13</v>
      </c>
      <c r="K107" s="9">
        <v>2591</v>
      </c>
      <c r="L107" s="100">
        <v>1554.6</v>
      </c>
      <c r="M107" s="10">
        <v>0.65189259362882801</v>
      </c>
      <c r="N107" s="100">
        <v>1123.7553258071384</v>
      </c>
      <c r="O107" s="100">
        <v>6.5658385485133106</v>
      </c>
      <c r="P107" s="10">
        <v>1.2407874520475985</v>
      </c>
      <c r="Q107" s="6">
        <v>5813</v>
      </c>
      <c r="R107" s="6">
        <v>319</v>
      </c>
      <c r="S107" s="6">
        <v>5494</v>
      </c>
      <c r="T107" s="6">
        <v>0</v>
      </c>
      <c r="U107" s="6">
        <v>0</v>
      </c>
      <c r="V107" s="6">
        <v>0</v>
      </c>
      <c r="W107" s="6">
        <v>0</v>
      </c>
      <c r="X107" s="9">
        <v>5372.3076923076933</v>
      </c>
      <c r="Y107" s="9">
        <v>30.679553264604809</v>
      </c>
      <c r="Z107" s="9">
        <v>-3940.0744569881026</v>
      </c>
      <c r="AA107" s="132">
        <v>35265.011789793993</v>
      </c>
      <c r="AB107" s="132">
        <v>43402.6</v>
      </c>
      <c r="AC107" s="11">
        <v>1.8826478889541822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2" t="s">
        <v>1</v>
      </c>
      <c r="BJ107" s="31"/>
    </row>
    <row r="108" spans="1:62" ht="12.75" customHeight="1" x14ac:dyDescent="0.35">
      <c r="A108" s="118"/>
      <c r="B108" s="30" t="s">
        <v>4</v>
      </c>
      <c r="C108" s="6" t="s">
        <v>5</v>
      </c>
      <c r="D108" s="6" t="s">
        <v>308</v>
      </c>
      <c r="E108" s="6" t="s">
        <v>315</v>
      </c>
      <c r="F108" s="6">
        <v>1071156</v>
      </c>
      <c r="G108" s="8" t="s">
        <v>616</v>
      </c>
      <c r="H108" s="129">
        <v>21101.65675199527</v>
      </c>
      <c r="I108" s="129">
        <v>3798.2982153591483</v>
      </c>
      <c r="J108" s="9">
        <v>3</v>
      </c>
      <c r="K108" s="9">
        <v>6049</v>
      </c>
      <c r="L108" s="100">
        <v>1088.82</v>
      </c>
      <c r="M108" s="10">
        <v>0.30116118723232965</v>
      </c>
      <c r="N108" s="100">
        <v>2709.4782153591486</v>
      </c>
      <c r="O108" s="100">
        <v>4.5945006961849586</v>
      </c>
      <c r="P108" s="10">
        <v>1.1359157231667711</v>
      </c>
      <c r="Q108" s="6">
        <v>20334</v>
      </c>
      <c r="R108" s="6">
        <v>306</v>
      </c>
      <c r="S108" s="6">
        <v>20028</v>
      </c>
      <c r="T108" s="6">
        <v>0</v>
      </c>
      <c r="U108" s="6">
        <v>0</v>
      </c>
      <c r="V108" s="6">
        <v>0</v>
      </c>
      <c r="W108" s="6">
        <v>0</v>
      </c>
      <c r="X108" s="9">
        <v>21101.65675199527</v>
      </c>
      <c r="Y108" s="9">
        <v>28.473593664307305</v>
      </c>
      <c r="Z108" s="9">
        <v>-5281.3432480047304</v>
      </c>
      <c r="AA108" s="132">
        <v>81241.378495181794</v>
      </c>
      <c r="AB108" s="132">
        <v>77107.8</v>
      </c>
      <c r="AC108" s="11">
        <v>1.250280976042573</v>
      </c>
      <c r="AD108" s="71"/>
      <c r="AE108" s="71">
        <v>25.413523318326849</v>
      </c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/>
    </row>
    <row r="109" spans="1:62" ht="12.75" customHeight="1" x14ac:dyDescent="0.35">
      <c r="A109" s="118"/>
      <c r="B109" s="30" t="s">
        <v>1</v>
      </c>
      <c r="C109" s="6" t="s">
        <v>2</v>
      </c>
      <c r="D109" s="6" t="s">
        <v>310</v>
      </c>
      <c r="E109" s="6" t="s">
        <v>311</v>
      </c>
      <c r="F109" s="127">
        <v>1068296</v>
      </c>
      <c r="G109" s="128" t="s">
        <v>571</v>
      </c>
      <c r="H109" s="129">
        <v>7486.3134353123769</v>
      </c>
      <c r="I109" s="129">
        <v>1347.5364183562278</v>
      </c>
      <c r="J109" s="9">
        <v>1</v>
      </c>
      <c r="K109" s="9">
        <v>5022</v>
      </c>
      <c r="L109" s="100">
        <v>903.95999999999992</v>
      </c>
      <c r="M109" s="10">
        <v>0.69005927211548035</v>
      </c>
      <c r="N109" s="100">
        <v>443.57641835622792</v>
      </c>
      <c r="O109" s="100">
        <v>0</v>
      </c>
      <c r="P109" s="10">
        <v>0.8054098993713843</v>
      </c>
      <c r="Q109" s="6">
        <v>10241</v>
      </c>
      <c r="R109" s="6">
        <v>144</v>
      </c>
      <c r="S109" s="6">
        <v>10097</v>
      </c>
      <c r="T109" s="6">
        <v>0</v>
      </c>
      <c r="U109" s="6">
        <v>0</v>
      </c>
      <c r="V109" s="6">
        <v>0</v>
      </c>
      <c r="W109" s="6">
        <v>0</v>
      </c>
      <c r="X109" s="9">
        <v>9537.2307692307713</v>
      </c>
      <c r="Y109" s="9">
        <v>31.760791715060005</v>
      </c>
      <c r="Z109" s="9">
        <v>-7776.6865646876231</v>
      </c>
      <c r="AA109" s="132">
        <v>16245.300154627857</v>
      </c>
      <c r="AB109" s="132">
        <v>21910.489999999998</v>
      </c>
      <c r="AC109" s="11">
        <v>2.0387871990512147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126" t="s">
        <v>1</v>
      </c>
      <c r="BJ109" s="31"/>
    </row>
    <row r="110" spans="1:62" ht="12.75" customHeight="1" x14ac:dyDescent="0.35">
      <c r="A110" s="118"/>
      <c r="B110" s="30" t="s">
        <v>15</v>
      </c>
      <c r="C110" s="6" t="s">
        <v>5</v>
      </c>
      <c r="D110" s="6" t="s">
        <v>308</v>
      </c>
      <c r="E110" s="6" t="s">
        <v>315</v>
      </c>
      <c r="F110" s="6">
        <v>1074340</v>
      </c>
      <c r="G110" s="8" t="s">
        <v>650</v>
      </c>
      <c r="H110" s="129">
        <v>21120.858515702217</v>
      </c>
      <c r="I110" s="129">
        <v>5069.0060437685315</v>
      </c>
      <c r="J110" s="9">
        <v>0</v>
      </c>
      <c r="K110" s="9">
        <v>6049</v>
      </c>
      <c r="L110" s="100">
        <v>1451.76</v>
      </c>
      <c r="M110" s="10">
        <v>0.30798937435066309</v>
      </c>
      <c r="N110" s="100">
        <v>3617.2460437685313</v>
      </c>
      <c r="O110" s="100">
        <v>0</v>
      </c>
      <c r="P110" s="10">
        <v>0.35556446731059588</v>
      </c>
      <c r="Q110" s="6">
        <v>21591</v>
      </c>
      <c r="R110" s="6">
        <v>456</v>
      </c>
      <c r="S110" s="6">
        <v>21135</v>
      </c>
      <c r="T110" s="6">
        <v>2160</v>
      </c>
      <c r="U110" s="6">
        <v>0</v>
      </c>
      <c r="V110" s="6">
        <v>0</v>
      </c>
      <c r="W110" s="6">
        <v>0</v>
      </c>
      <c r="X110" s="9">
        <v>21120.858515702217</v>
      </c>
      <c r="Y110" s="9">
        <v>30.020086519144954</v>
      </c>
      <c r="Z110" s="9">
        <v>-8679.1414842977829</v>
      </c>
      <c r="AA110" s="132">
        <v>102858.5809714698</v>
      </c>
      <c r="AB110" s="132">
        <v>113446.65000000001</v>
      </c>
      <c r="AC110" s="11">
        <v>1.4109274951037294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/>
      <c r="BJ110" s="31"/>
    </row>
    <row r="111" spans="1:62" ht="12.75" customHeight="1" x14ac:dyDescent="0.35">
      <c r="A111" s="118"/>
      <c r="B111" s="30" t="s">
        <v>27</v>
      </c>
      <c r="C111" s="6" t="s">
        <v>5</v>
      </c>
      <c r="D111" s="6" t="s">
        <v>312</v>
      </c>
      <c r="E111" s="6" t="s">
        <v>313</v>
      </c>
      <c r="F111" s="61">
        <v>1072352</v>
      </c>
      <c r="G111" s="70" t="s">
        <v>592</v>
      </c>
      <c r="H111" s="129">
        <v>64328.557536110246</v>
      </c>
      <c r="I111" s="129">
        <v>14666.911118233136</v>
      </c>
      <c r="J111" s="9">
        <v>3</v>
      </c>
      <c r="K111" s="9">
        <v>11863</v>
      </c>
      <c r="L111" s="100">
        <v>2704.7640000000001</v>
      </c>
      <c r="M111" s="10">
        <v>0.21612485235963325</v>
      </c>
      <c r="N111" s="100">
        <v>11962.147118233137</v>
      </c>
      <c r="O111" s="100">
        <v>0</v>
      </c>
      <c r="P111" s="10">
        <v>0.76414807302231236</v>
      </c>
      <c r="Q111" s="6">
        <v>66528</v>
      </c>
      <c r="R111" s="6">
        <v>2040</v>
      </c>
      <c r="S111" s="6">
        <v>64486</v>
      </c>
      <c r="T111" s="6">
        <v>0</v>
      </c>
      <c r="U111" s="6">
        <v>0</v>
      </c>
      <c r="V111" s="6">
        <v>0</v>
      </c>
      <c r="W111" s="6">
        <v>30</v>
      </c>
      <c r="X111" s="9">
        <v>64328.557536110246</v>
      </c>
      <c r="Y111" s="9">
        <v>30.073424216205083</v>
      </c>
      <c r="Z111" s="9">
        <v>-14062.442463889754</v>
      </c>
      <c r="AA111" s="132">
        <v>139592.96985335922</v>
      </c>
      <c r="AB111" s="132">
        <v>139999.72</v>
      </c>
      <c r="AC111" s="11">
        <v>1.2186034166240387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2"/>
      <c r="BJ111" s="31"/>
    </row>
    <row r="112" spans="1:62" ht="12.75" customHeight="1" x14ac:dyDescent="0.35">
      <c r="A112" s="118"/>
      <c r="B112" s="30" t="s">
        <v>15</v>
      </c>
      <c r="C112" s="6" t="s">
        <v>5</v>
      </c>
      <c r="D112" s="6" t="s">
        <v>308</v>
      </c>
      <c r="E112" s="6" t="s">
        <v>315</v>
      </c>
      <c r="F112" s="61">
        <v>1078183</v>
      </c>
      <c r="G112" s="70" t="s">
        <v>694</v>
      </c>
      <c r="H112" s="129">
        <v>1390</v>
      </c>
      <c r="I112" s="129">
        <v>390.59000000000003</v>
      </c>
      <c r="J112" s="9">
        <v>0</v>
      </c>
      <c r="K112" s="9">
        <v>140</v>
      </c>
      <c r="L112" s="100">
        <v>39.340000000000003</v>
      </c>
      <c r="M112" s="10">
        <v>0.10071942446043165</v>
      </c>
      <c r="N112" s="100">
        <v>351.25</v>
      </c>
      <c r="O112" s="100">
        <v>0</v>
      </c>
      <c r="P112" s="10">
        <v>0.66052819473893742</v>
      </c>
      <c r="Q112" s="6">
        <v>1414</v>
      </c>
      <c r="R112" s="6">
        <v>0</v>
      </c>
      <c r="S112" s="6">
        <v>1414</v>
      </c>
      <c r="T112" s="6">
        <v>0</v>
      </c>
      <c r="U112" s="6">
        <v>0</v>
      </c>
      <c r="V112" s="6">
        <v>0</v>
      </c>
      <c r="W112" s="6">
        <v>0</v>
      </c>
      <c r="X112" s="9">
        <v>1389.9999999999998</v>
      </c>
      <c r="Y112" s="9">
        <v>30.517985611510795</v>
      </c>
      <c r="Z112" s="9">
        <v>-164</v>
      </c>
      <c r="AA112" s="132">
        <v>6574.7000000000007</v>
      </c>
      <c r="AB112" s="132">
        <v>6688.22</v>
      </c>
      <c r="AC112" s="11">
        <v>1.1179856115107913</v>
      </c>
      <c r="AD112" s="71"/>
      <c r="AE112" s="71">
        <v>1010.848</v>
      </c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 t="s">
        <v>1</v>
      </c>
      <c r="BJ112" s="31"/>
    </row>
    <row r="113" spans="1:62" ht="12.75" customHeight="1" x14ac:dyDescent="0.35">
      <c r="A113" s="118"/>
      <c r="B113" s="30" t="s">
        <v>1</v>
      </c>
      <c r="C113" s="6" t="s">
        <v>50</v>
      </c>
      <c r="D113" s="6" t="s">
        <v>320</v>
      </c>
      <c r="E113" s="6" t="s">
        <v>402</v>
      </c>
      <c r="F113" s="6">
        <v>1060797</v>
      </c>
      <c r="G113" s="8" t="s">
        <v>434</v>
      </c>
      <c r="H113" s="129">
        <v>16833.602340139307</v>
      </c>
      <c r="I113" s="129">
        <v>3030.0484212250749</v>
      </c>
      <c r="J113" s="9">
        <v>0</v>
      </c>
      <c r="K113" s="9">
        <v>5337</v>
      </c>
      <c r="L113" s="100">
        <v>960.66</v>
      </c>
      <c r="M113" s="10">
        <v>0.43015154176085146</v>
      </c>
      <c r="N113" s="100">
        <v>2069.388421225075</v>
      </c>
      <c r="O113" s="100">
        <v>0</v>
      </c>
      <c r="P113" s="10">
        <v>0.40879748567684676</v>
      </c>
      <c r="Q113" s="6">
        <v>19471</v>
      </c>
      <c r="R113" s="6">
        <v>1904</v>
      </c>
      <c r="S113" s="6">
        <v>17567</v>
      </c>
      <c r="T113" s="6">
        <v>0</v>
      </c>
      <c r="U113" s="6">
        <v>0</v>
      </c>
      <c r="V113" s="6">
        <v>0</v>
      </c>
      <c r="W113" s="6">
        <v>0</v>
      </c>
      <c r="X113" s="9">
        <v>16833.602340139307</v>
      </c>
      <c r="Y113" s="9">
        <v>31.307024447367262</v>
      </c>
      <c r="Z113" s="9">
        <v>-7974.3976598606932</v>
      </c>
      <c r="AA113" s="132">
        <v>115646.84807675704</v>
      </c>
      <c r="AB113" s="132">
        <v>120685.29000000001</v>
      </c>
      <c r="AC113" s="11">
        <v>1.4737190233397601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 t="s">
        <v>1</v>
      </c>
      <c r="BJ113" s="31"/>
    </row>
    <row r="114" spans="1:62" ht="14.5" x14ac:dyDescent="0.35">
      <c r="A114" s="118"/>
      <c r="B114" s="30" t="s">
        <v>9</v>
      </c>
      <c r="C114" s="6" t="s">
        <v>5</v>
      </c>
      <c r="D114" s="6" t="s">
        <v>308</v>
      </c>
      <c r="E114" s="6" t="s">
        <v>802</v>
      </c>
      <c r="F114" s="6">
        <v>1079784</v>
      </c>
      <c r="G114" s="162" t="s">
        <v>817</v>
      </c>
      <c r="H114" s="129">
        <v>1000</v>
      </c>
      <c r="I114" s="129">
        <v>500</v>
      </c>
      <c r="J114" s="9">
        <v>0</v>
      </c>
      <c r="K114" s="9">
        <v>1050</v>
      </c>
      <c r="L114" s="100">
        <v>525</v>
      </c>
      <c r="M114" s="10">
        <v>1.05</v>
      </c>
      <c r="N114" s="100">
        <v>25</v>
      </c>
      <c r="O114" s="100">
        <v>0</v>
      </c>
      <c r="P114" s="10">
        <v>0</v>
      </c>
      <c r="Q114" s="6">
        <v>2194</v>
      </c>
      <c r="R114" s="6">
        <v>0</v>
      </c>
      <c r="S114" s="6">
        <v>2194</v>
      </c>
      <c r="T114" s="6">
        <v>0</v>
      </c>
      <c r="U114" s="6">
        <v>0</v>
      </c>
      <c r="V114" s="6">
        <v>0</v>
      </c>
      <c r="W114" s="6">
        <v>0</v>
      </c>
      <c r="X114" s="9">
        <v>1938.4615384615386</v>
      </c>
      <c r="Y114" s="9">
        <v>33.954761904761902</v>
      </c>
      <c r="Z114" s="9">
        <v>-2244</v>
      </c>
      <c r="AA114" s="132">
        <v>23670</v>
      </c>
      <c r="AB114" s="132">
        <v>51931.98</v>
      </c>
      <c r="AC114" s="11">
        <v>3.2440000000000002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2"/>
      <c r="BJ114" s="31"/>
    </row>
    <row r="115" spans="1:62" ht="12.75" customHeight="1" x14ac:dyDescent="0.35">
      <c r="A115" s="118"/>
      <c r="B115" s="30" t="s">
        <v>21</v>
      </c>
      <c r="C115" s="6" t="s">
        <v>5</v>
      </c>
      <c r="D115" s="6" t="s">
        <v>396</v>
      </c>
      <c r="E115" s="6" t="s">
        <v>397</v>
      </c>
      <c r="F115" s="6">
        <v>1071793</v>
      </c>
      <c r="G115" s="8" t="s">
        <v>666</v>
      </c>
      <c r="H115" s="129">
        <v>250</v>
      </c>
      <c r="I115" s="129">
        <v>125</v>
      </c>
      <c r="J115" s="9">
        <v>1</v>
      </c>
      <c r="K115" s="9">
        <v>165</v>
      </c>
      <c r="L115" s="100">
        <v>82.5</v>
      </c>
      <c r="M115" s="10">
        <v>0.66</v>
      </c>
      <c r="N115" s="100">
        <v>42.5</v>
      </c>
      <c r="O115" s="100">
        <v>4.0217256024026202</v>
      </c>
      <c r="P115" s="10">
        <v>1.1318261992942189</v>
      </c>
      <c r="Q115" s="6">
        <v>347</v>
      </c>
      <c r="R115" s="6">
        <v>0</v>
      </c>
      <c r="S115" s="6">
        <v>347</v>
      </c>
      <c r="T115" s="6">
        <v>440</v>
      </c>
      <c r="U115" s="6">
        <v>0</v>
      </c>
      <c r="V115" s="6">
        <v>0</v>
      </c>
      <c r="W115" s="6">
        <v>0</v>
      </c>
      <c r="X115" s="9">
        <v>304.61538461538464</v>
      </c>
      <c r="Y115" s="9">
        <v>34.174242424242422</v>
      </c>
      <c r="Z115" s="9">
        <v>-702</v>
      </c>
      <c r="AA115" s="132">
        <v>1792.5</v>
      </c>
      <c r="AB115" s="132">
        <v>5642.79</v>
      </c>
      <c r="AC115" s="11">
        <v>3.8079999999999998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/>
      <c r="BJ115" s="31"/>
    </row>
    <row r="116" spans="1:62" ht="12.75" customHeight="1" x14ac:dyDescent="0.35">
      <c r="A116" s="118"/>
      <c r="B116" s="30" t="s">
        <v>1</v>
      </c>
      <c r="C116" s="6" t="s">
        <v>50</v>
      </c>
      <c r="D116" s="6" t="s">
        <v>316</v>
      </c>
      <c r="E116" s="6" t="s">
        <v>408</v>
      </c>
      <c r="F116" s="6">
        <v>1060662</v>
      </c>
      <c r="G116" s="8" t="s">
        <v>426</v>
      </c>
      <c r="H116" s="129">
        <v>1985.3687406795009</v>
      </c>
      <c r="I116" s="129">
        <v>4526.6407287492621</v>
      </c>
      <c r="J116" s="9">
        <v>0</v>
      </c>
      <c r="K116" s="9">
        <v>436</v>
      </c>
      <c r="L116" s="100">
        <v>994.07999999999993</v>
      </c>
      <c r="M116" s="10">
        <v>0.21960656026586636</v>
      </c>
      <c r="N116" s="100">
        <v>3532.5607287492621</v>
      </c>
      <c r="O116" s="100">
        <v>0</v>
      </c>
      <c r="P116" s="10">
        <v>0.50433168316831689</v>
      </c>
      <c r="Q116" s="6">
        <v>2116</v>
      </c>
      <c r="R116" s="6">
        <v>0</v>
      </c>
      <c r="S116" s="6">
        <v>2116</v>
      </c>
      <c r="T116" s="6">
        <v>0</v>
      </c>
      <c r="U116" s="6">
        <v>0</v>
      </c>
      <c r="V116" s="6">
        <v>0</v>
      </c>
      <c r="W116" s="6">
        <v>0</v>
      </c>
      <c r="X116" s="9">
        <v>1985.3687406795009</v>
      </c>
      <c r="Y116" s="9">
        <v>31.973909279076135</v>
      </c>
      <c r="Z116" s="9">
        <v>-566.63125932049911</v>
      </c>
      <c r="AA116" s="132">
        <v>24559.011322205424</v>
      </c>
      <c r="AB116" s="132">
        <v>26174.92</v>
      </c>
      <c r="AC116" s="11">
        <v>1.2854035362350711</v>
      </c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/>
      <c r="BJ116" s="31"/>
    </row>
    <row r="117" spans="1:62" ht="12.75" customHeight="1" x14ac:dyDescent="0.35">
      <c r="A117" s="118"/>
      <c r="B117" s="30">
        <v>0</v>
      </c>
      <c r="C117" s="6" t="s">
        <v>2</v>
      </c>
      <c r="D117" s="6" t="s">
        <v>310</v>
      </c>
      <c r="E117" s="6" t="s">
        <v>311</v>
      </c>
      <c r="F117" s="154">
        <v>1080745</v>
      </c>
      <c r="G117" s="162" t="s">
        <v>788</v>
      </c>
      <c r="H117" s="129">
        <v>1946.7256937465086</v>
      </c>
      <c r="I117" s="129">
        <v>934.42833299832409</v>
      </c>
      <c r="J117" s="9">
        <v>0</v>
      </c>
      <c r="K117" s="9">
        <v>0</v>
      </c>
      <c r="L117" s="100">
        <v>0</v>
      </c>
      <c r="M117" s="10">
        <v>0</v>
      </c>
      <c r="N117" s="100">
        <v>934.42833299832409</v>
      </c>
      <c r="O117" s="100">
        <v>0</v>
      </c>
      <c r="P117" s="10">
        <v>0</v>
      </c>
      <c r="Q117" s="6">
        <v>2080</v>
      </c>
      <c r="R117" s="6">
        <v>0</v>
      </c>
      <c r="S117" s="6">
        <v>2080</v>
      </c>
      <c r="T117" s="6">
        <v>0</v>
      </c>
      <c r="U117" s="6">
        <v>0</v>
      </c>
      <c r="V117" s="6">
        <v>0</v>
      </c>
      <c r="W117" s="6">
        <v>0</v>
      </c>
      <c r="X117" s="9">
        <v>1946.7256937465086</v>
      </c>
      <c r="Y117" s="9">
        <v>32.053822580370877</v>
      </c>
      <c r="Z117" s="9">
        <v>-133.27430625349143</v>
      </c>
      <c r="AA117" s="132">
        <v>44560.55112985758</v>
      </c>
      <c r="AB117" s="132">
        <v>47611.200000000004</v>
      </c>
      <c r="AC117" s="11">
        <v>1.0684607526790293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2" t="s">
        <v>1</v>
      </c>
      <c r="BJ117" s="31" t="s">
        <v>828</v>
      </c>
    </row>
    <row r="118" spans="1:62" ht="12.75" customHeight="1" x14ac:dyDescent="0.35">
      <c r="A118" s="118"/>
      <c r="B118" s="30" t="s">
        <v>1</v>
      </c>
      <c r="C118" s="6" t="s">
        <v>2</v>
      </c>
      <c r="D118" s="6" t="s">
        <v>310</v>
      </c>
      <c r="E118" s="6" t="s">
        <v>311</v>
      </c>
      <c r="F118" s="123">
        <v>1080750</v>
      </c>
      <c r="G118" s="124" t="s">
        <v>770</v>
      </c>
      <c r="H118" s="129">
        <v>4503.8562111569854</v>
      </c>
      <c r="I118" s="129">
        <v>2702.3137266941917</v>
      </c>
      <c r="J118" s="9">
        <v>0</v>
      </c>
      <c r="K118" s="9">
        <v>1401</v>
      </c>
      <c r="L118" s="100">
        <v>840.60000000000014</v>
      </c>
      <c r="M118" s="10">
        <v>0.32771916571040655</v>
      </c>
      <c r="N118" s="100">
        <v>1861.7137266941916</v>
      </c>
      <c r="O118" s="100">
        <v>3.3999999888666643</v>
      </c>
      <c r="P118" s="10">
        <v>1.1133333329622221</v>
      </c>
      <c r="Q118" s="6">
        <v>4900</v>
      </c>
      <c r="R118" s="6">
        <v>75</v>
      </c>
      <c r="S118" s="6">
        <v>4825</v>
      </c>
      <c r="T118" s="6">
        <v>0</v>
      </c>
      <c r="U118" s="6">
        <v>0</v>
      </c>
      <c r="V118" s="6">
        <v>0</v>
      </c>
      <c r="W118" s="6">
        <v>0</v>
      </c>
      <c r="X118" s="9">
        <v>4503.8562111569854</v>
      </c>
      <c r="Y118" s="9">
        <v>32.139125499038862</v>
      </c>
      <c r="Z118" s="9">
        <v>-1797.1437888430146</v>
      </c>
      <c r="AA118" s="132">
        <v>47785.914400375616</v>
      </c>
      <c r="AB118" s="132">
        <v>51193.25</v>
      </c>
      <c r="AC118" s="11">
        <v>1.3990233490117019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 t="s">
        <v>1</v>
      </c>
      <c r="BJ118" s="31"/>
    </row>
    <row r="119" spans="1:62" ht="12.75" customHeight="1" x14ac:dyDescent="0.35">
      <c r="A119" s="118"/>
      <c r="B119" s="30" t="s">
        <v>15</v>
      </c>
      <c r="C119" s="6" t="s">
        <v>5</v>
      </c>
      <c r="D119" s="6" t="s">
        <v>308</v>
      </c>
      <c r="E119" s="6" t="s">
        <v>315</v>
      </c>
      <c r="F119" s="6">
        <v>1074230</v>
      </c>
      <c r="G119" s="8" t="s">
        <v>702</v>
      </c>
      <c r="H119" s="129">
        <v>1989.2140126071224</v>
      </c>
      <c r="I119" s="129">
        <v>895.14630567320512</v>
      </c>
      <c r="J119" s="9">
        <v>0</v>
      </c>
      <c r="K119" s="9">
        <v>432</v>
      </c>
      <c r="L119" s="100">
        <v>194.4</v>
      </c>
      <c r="M119" s="10">
        <v>0.25336640341651462</v>
      </c>
      <c r="N119" s="100">
        <v>700.74630567320514</v>
      </c>
      <c r="O119" s="100">
        <v>5.4555091082659795</v>
      </c>
      <c r="P119" s="10">
        <v>1.2022295575080455</v>
      </c>
      <c r="Q119" s="6">
        <v>2292</v>
      </c>
      <c r="R119" s="6">
        <v>72</v>
      </c>
      <c r="S119" s="6">
        <v>2220</v>
      </c>
      <c r="T119" s="6">
        <v>0</v>
      </c>
      <c r="U119" s="6">
        <v>0</v>
      </c>
      <c r="V119" s="6">
        <v>0</v>
      </c>
      <c r="W119" s="6">
        <v>0</v>
      </c>
      <c r="X119" s="9">
        <v>1989.2140126071224</v>
      </c>
      <c r="Y119" s="9">
        <v>33.480560451468001</v>
      </c>
      <c r="Z119" s="9">
        <v>-734.78598739287759</v>
      </c>
      <c r="AA119" s="132">
        <v>14899.212954427347</v>
      </c>
      <c r="AB119" s="132">
        <v>16627.8</v>
      </c>
      <c r="AC119" s="11">
        <v>1.3693850851321148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/>
      <c r="BJ119" s="31"/>
    </row>
    <row r="120" spans="1:62" ht="12.75" customHeight="1" x14ac:dyDescent="0.35">
      <c r="A120" s="118"/>
      <c r="B120" s="30" t="s">
        <v>15</v>
      </c>
      <c r="C120" s="6" t="s">
        <v>5</v>
      </c>
      <c r="D120" s="6" t="s">
        <v>308</v>
      </c>
      <c r="E120" s="6" t="s">
        <v>315</v>
      </c>
      <c r="F120" s="6">
        <v>1073436</v>
      </c>
      <c r="G120" s="8" t="s">
        <v>635</v>
      </c>
      <c r="H120" s="129">
        <v>13612.000231722133</v>
      </c>
      <c r="I120" s="129">
        <v>3049.0880519057578</v>
      </c>
      <c r="J120" s="9">
        <v>1</v>
      </c>
      <c r="K120" s="9">
        <v>6496</v>
      </c>
      <c r="L120" s="100">
        <v>1455.104</v>
      </c>
      <c r="M120" s="10">
        <v>0.48898030316576852</v>
      </c>
      <c r="N120" s="100">
        <v>1593.9840519057577</v>
      </c>
      <c r="O120" s="100">
        <v>9.3670251565804392</v>
      </c>
      <c r="P120" s="10">
        <v>1.1691722718020565</v>
      </c>
      <c r="Q120" s="6">
        <v>15371</v>
      </c>
      <c r="R120" s="6">
        <v>160</v>
      </c>
      <c r="S120" s="6">
        <v>15211</v>
      </c>
      <c r="T120" s="6">
        <v>0</v>
      </c>
      <c r="U120" s="6">
        <v>0</v>
      </c>
      <c r="V120" s="6">
        <v>0</v>
      </c>
      <c r="W120" s="6">
        <v>0</v>
      </c>
      <c r="X120" s="9">
        <v>13612.000231722133</v>
      </c>
      <c r="Y120" s="9">
        <v>33.524095814849034</v>
      </c>
      <c r="Z120" s="9">
        <v>-8254.9997682778667</v>
      </c>
      <c r="AA120" s="132">
        <v>60437.281028846279</v>
      </c>
      <c r="AB120" s="132">
        <v>67536.840000000011</v>
      </c>
      <c r="AC120" s="11">
        <v>1.6064501636607362</v>
      </c>
      <c r="AD120" s="71"/>
      <c r="AE120" s="71">
        <v>24.623909411546315</v>
      </c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 t="s">
        <v>1</v>
      </c>
      <c r="BJ120" s="31" t="s">
        <v>812</v>
      </c>
    </row>
    <row r="121" spans="1:62" ht="12.75" customHeight="1" x14ac:dyDescent="0.35">
      <c r="A121" s="118"/>
      <c r="B121" s="30" t="s">
        <v>4</v>
      </c>
      <c r="C121" s="6" t="s">
        <v>5</v>
      </c>
      <c r="D121" s="6" t="s">
        <v>308</v>
      </c>
      <c r="E121" s="6" t="s">
        <v>315</v>
      </c>
      <c r="F121" s="6">
        <v>1072749</v>
      </c>
      <c r="G121" s="8" t="s">
        <v>661</v>
      </c>
      <c r="H121" s="129">
        <v>13195.982182935113</v>
      </c>
      <c r="I121" s="129">
        <v>791.75893097610674</v>
      </c>
      <c r="J121" s="9">
        <v>160</v>
      </c>
      <c r="K121" s="9">
        <v>5506</v>
      </c>
      <c r="L121" s="100">
        <v>330.36</v>
      </c>
      <c r="M121" s="10">
        <v>0.42285598166508509</v>
      </c>
      <c r="N121" s="100">
        <v>461.39893097610673</v>
      </c>
      <c r="O121" s="100">
        <v>0</v>
      </c>
      <c r="P121" s="10">
        <v>0.61331451864418995</v>
      </c>
      <c r="Q121" s="6">
        <v>14975</v>
      </c>
      <c r="R121" s="6">
        <v>74</v>
      </c>
      <c r="S121" s="6">
        <v>14901</v>
      </c>
      <c r="T121" s="6">
        <v>0</v>
      </c>
      <c r="U121" s="6">
        <v>0</v>
      </c>
      <c r="V121" s="6">
        <v>0</v>
      </c>
      <c r="W121" s="6">
        <v>0</v>
      </c>
      <c r="X121" s="9">
        <v>13195.982182935113</v>
      </c>
      <c r="Y121" s="9">
        <v>33.876220337588357</v>
      </c>
      <c r="Z121" s="9">
        <v>-7285.0178170648869</v>
      </c>
      <c r="AA121" s="132">
        <v>8181.5089534197705</v>
      </c>
      <c r="AB121" s="132">
        <v>9238.6200000000008</v>
      </c>
      <c r="AC121" s="11">
        <v>1.5520633262513635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/>
      <c r="BJ121" s="31" t="s">
        <v>805</v>
      </c>
    </row>
    <row r="122" spans="1:62" ht="12.75" customHeight="1" x14ac:dyDescent="0.35">
      <c r="A122" s="118"/>
      <c r="B122" s="30" t="s">
        <v>22</v>
      </c>
      <c r="C122" s="6" t="s">
        <v>5</v>
      </c>
      <c r="D122" s="6" t="s">
        <v>396</v>
      </c>
      <c r="E122" s="6" t="s">
        <v>397</v>
      </c>
      <c r="F122" s="6">
        <v>1051099</v>
      </c>
      <c r="G122" s="8" t="s">
        <v>168</v>
      </c>
      <c r="H122" s="129">
        <v>265.17822030915204</v>
      </c>
      <c r="I122" s="129">
        <v>6629.4555077288005</v>
      </c>
      <c r="J122" s="9">
        <v>0</v>
      </c>
      <c r="K122" s="9">
        <v>264</v>
      </c>
      <c r="L122" s="100">
        <v>6600</v>
      </c>
      <c r="M122" s="10">
        <v>0.99555687375917057</v>
      </c>
      <c r="N122" s="100">
        <v>29.455507728800512</v>
      </c>
      <c r="O122" s="100">
        <v>6.8368810010480079</v>
      </c>
      <c r="P122" s="10">
        <v>1.3346650934126416</v>
      </c>
      <c r="Q122" s="6">
        <v>603</v>
      </c>
      <c r="R122" s="6">
        <v>0</v>
      </c>
      <c r="S122" s="6">
        <v>603</v>
      </c>
      <c r="T122" s="6">
        <v>0</v>
      </c>
      <c r="U122" s="6">
        <v>0</v>
      </c>
      <c r="V122" s="6">
        <v>0</v>
      </c>
      <c r="W122" s="6">
        <v>0</v>
      </c>
      <c r="X122" s="9">
        <v>487.38461538461542</v>
      </c>
      <c r="Y122" s="9">
        <v>37.116477272727266</v>
      </c>
      <c r="Z122" s="9">
        <v>-601.82177969084796</v>
      </c>
      <c r="AA122" s="132">
        <v>116198.44435726733</v>
      </c>
      <c r="AB122" s="132">
        <v>264228.57</v>
      </c>
      <c r="AC122" s="11">
        <v>3.269499278595458</v>
      </c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2" t="s">
        <v>1</v>
      </c>
      <c r="BJ122" s="31"/>
    </row>
    <row r="123" spans="1:62" ht="12.75" customHeight="1" x14ac:dyDescent="0.35">
      <c r="A123" s="118"/>
      <c r="B123" s="30" t="s">
        <v>15</v>
      </c>
      <c r="C123" s="6" t="s">
        <v>5</v>
      </c>
      <c r="D123" s="6" t="s">
        <v>308</v>
      </c>
      <c r="E123" s="6" t="s">
        <v>315</v>
      </c>
      <c r="F123" s="6">
        <v>1074226</v>
      </c>
      <c r="G123" s="131" t="s">
        <v>633</v>
      </c>
      <c r="H123" s="129">
        <v>2482.0898988843169</v>
      </c>
      <c r="I123" s="129">
        <v>496.41797977686338</v>
      </c>
      <c r="J123" s="9">
        <v>0</v>
      </c>
      <c r="K123" s="9">
        <v>132</v>
      </c>
      <c r="L123" s="100">
        <v>26.400000000000002</v>
      </c>
      <c r="M123" s="10">
        <v>5.3180990768840863E-2</v>
      </c>
      <c r="N123" s="100">
        <v>470.0179797768634</v>
      </c>
      <c r="O123" s="100">
        <v>6.7338129496402903</v>
      </c>
      <c r="P123" s="10">
        <v>1.2244604316546763</v>
      </c>
      <c r="Q123" s="6">
        <v>2838</v>
      </c>
      <c r="R123" s="6">
        <v>0</v>
      </c>
      <c r="S123" s="6">
        <v>2838</v>
      </c>
      <c r="T123" s="6">
        <v>0</v>
      </c>
      <c r="U123" s="6">
        <v>0</v>
      </c>
      <c r="V123" s="6">
        <v>0</v>
      </c>
      <c r="W123" s="6">
        <v>0</v>
      </c>
      <c r="X123" s="9">
        <v>2482.0898988843169</v>
      </c>
      <c r="Y123" s="9">
        <v>34.301739045902352</v>
      </c>
      <c r="Z123" s="9">
        <v>-487.91010111568312</v>
      </c>
      <c r="AA123" s="132">
        <v>6453.4337370992243</v>
      </c>
      <c r="AB123" s="132">
        <v>7378.8</v>
      </c>
      <c r="AC123" s="11">
        <v>1.1965722922989193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2" t="s">
        <v>1</v>
      </c>
      <c r="BJ123" s="31"/>
    </row>
    <row r="124" spans="1:62" ht="12.75" customHeight="1" x14ac:dyDescent="0.35">
      <c r="A124" s="118"/>
      <c r="B124" s="30" t="s">
        <v>1</v>
      </c>
      <c r="C124" s="6" t="s">
        <v>5</v>
      </c>
      <c r="D124" s="6" t="s">
        <v>396</v>
      </c>
      <c r="E124" s="6" t="s">
        <v>397</v>
      </c>
      <c r="F124" s="6">
        <v>1071792</v>
      </c>
      <c r="G124" s="8" t="s">
        <v>665</v>
      </c>
      <c r="H124" s="129">
        <v>3241.3448641759687</v>
      </c>
      <c r="I124" s="129">
        <v>3241.3448641759687</v>
      </c>
      <c r="J124" s="9">
        <v>2</v>
      </c>
      <c r="K124" s="9">
        <v>901</v>
      </c>
      <c r="L124" s="100">
        <v>901</v>
      </c>
      <c r="M124" s="10">
        <v>0.33658868331412789</v>
      </c>
      <c r="N124" s="100">
        <v>2340.3448641759687</v>
      </c>
      <c r="O124" s="100">
        <v>1.0570249439673236</v>
      </c>
      <c r="P124" s="10">
        <v>1.0383470007297793</v>
      </c>
      <c r="Q124" s="6">
        <v>3975</v>
      </c>
      <c r="R124" s="6">
        <v>190</v>
      </c>
      <c r="S124" s="6">
        <v>3785</v>
      </c>
      <c r="T124" s="6">
        <v>0</v>
      </c>
      <c r="U124" s="6">
        <v>0</v>
      </c>
      <c r="V124" s="6">
        <v>0</v>
      </c>
      <c r="W124" s="6">
        <v>0</v>
      </c>
      <c r="X124" s="9">
        <v>3241.3448641759687</v>
      </c>
      <c r="Y124" s="9">
        <v>35.031755261520829</v>
      </c>
      <c r="Z124" s="9">
        <v>-1634.6551358240313</v>
      </c>
      <c r="AA124" s="132">
        <v>49073.961243624166</v>
      </c>
      <c r="AB124" s="132">
        <v>57304.9</v>
      </c>
      <c r="AC124" s="11">
        <v>1.5043138586981555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 t="s">
        <v>22</v>
      </c>
      <c r="C125" s="6" t="s">
        <v>5</v>
      </c>
      <c r="D125" s="6" t="s">
        <v>306</v>
      </c>
      <c r="E125" s="6" t="s">
        <v>307</v>
      </c>
      <c r="F125" s="6">
        <v>1062351</v>
      </c>
      <c r="G125" s="8" t="s">
        <v>412</v>
      </c>
      <c r="H125" s="129">
        <v>50138.632421417882</v>
      </c>
      <c r="I125" s="129">
        <v>7520.7948632126818</v>
      </c>
      <c r="J125" s="9">
        <v>0</v>
      </c>
      <c r="K125" s="9">
        <v>9362</v>
      </c>
      <c r="L125" s="100">
        <v>1404.3</v>
      </c>
      <c r="M125" s="10">
        <v>0.25612984199613392</v>
      </c>
      <c r="N125" s="100">
        <v>6116.4948632126816</v>
      </c>
      <c r="O125" s="100">
        <v>17.522057420187107</v>
      </c>
      <c r="P125" s="10">
        <v>3.065686345847022</v>
      </c>
      <c r="Q125" s="6">
        <v>63018</v>
      </c>
      <c r="R125" s="6">
        <v>3480</v>
      </c>
      <c r="S125" s="6">
        <v>59538</v>
      </c>
      <c r="T125" s="6">
        <v>4320</v>
      </c>
      <c r="U125" s="6">
        <v>0</v>
      </c>
      <c r="V125" s="6">
        <v>0</v>
      </c>
      <c r="W125" s="6">
        <v>0</v>
      </c>
      <c r="X125" s="9">
        <v>50138.632421417882</v>
      </c>
      <c r="Y125" s="9">
        <v>35.62402709725702</v>
      </c>
      <c r="Z125" s="9">
        <v>-26561.367578582118</v>
      </c>
      <c r="AA125" s="132">
        <v>168465.80493596409</v>
      </c>
      <c r="AB125" s="132">
        <v>214562.88</v>
      </c>
      <c r="AC125" s="11">
        <v>1.5297585174508233</v>
      </c>
      <c r="AD125" s="71"/>
      <c r="AE125" s="71">
        <v>112.11666666666667</v>
      </c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126" t="s">
        <v>1</v>
      </c>
      <c r="BJ125" s="31"/>
    </row>
    <row r="126" spans="1:62" ht="12.75" customHeight="1" x14ac:dyDescent="0.35">
      <c r="A126" s="118"/>
      <c r="B126" s="30" t="s">
        <v>31</v>
      </c>
      <c r="C126" s="6" t="s">
        <v>5</v>
      </c>
      <c r="D126" s="6" t="s">
        <v>306</v>
      </c>
      <c r="E126" s="6" t="s">
        <v>307</v>
      </c>
      <c r="F126" s="6">
        <v>1071183</v>
      </c>
      <c r="G126" s="8" t="s">
        <v>591</v>
      </c>
      <c r="H126" s="129">
        <v>191689.2869303597</v>
      </c>
      <c r="I126" s="129">
        <v>26836.500170250361</v>
      </c>
      <c r="J126" s="9">
        <v>78</v>
      </c>
      <c r="K126" s="9">
        <v>49738</v>
      </c>
      <c r="L126" s="100">
        <v>6963.3200000000006</v>
      </c>
      <c r="M126" s="10">
        <v>0.29092914316208185</v>
      </c>
      <c r="N126" s="100">
        <v>19873.180170250362</v>
      </c>
      <c r="O126" s="100">
        <v>0</v>
      </c>
      <c r="P126" s="10">
        <v>0.86212133260304691</v>
      </c>
      <c r="Q126" s="6">
        <v>234304</v>
      </c>
      <c r="R126" s="6">
        <v>6030</v>
      </c>
      <c r="S126" s="6">
        <v>228274</v>
      </c>
      <c r="T126" s="6">
        <v>0</v>
      </c>
      <c r="U126" s="6">
        <v>0</v>
      </c>
      <c r="V126" s="6">
        <v>0</v>
      </c>
      <c r="W126" s="6">
        <v>30</v>
      </c>
      <c r="X126" s="9">
        <v>191689.2869303597</v>
      </c>
      <c r="Y126" s="9">
        <v>35.725627183786976</v>
      </c>
      <c r="Z126" s="9">
        <v>-92352.713069640304</v>
      </c>
      <c r="AA126" s="132">
        <v>515644.18184266757</v>
      </c>
      <c r="AB126" s="132">
        <v>614137.76</v>
      </c>
      <c r="AC126" s="11">
        <v>1.4817833826216478</v>
      </c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/>
      <c r="BJ126" s="31"/>
    </row>
    <row r="127" spans="1:62" ht="12.75" customHeight="1" x14ac:dyDescent="0.35">
      <c r="A127" s="118"/>
      <c r="B127" s="30" t="s">
        <v>1</v>
      </c>
      <c r="C127" s="6" t="s">
        <v>50</v>
      </c>
      <c r="D127" s="6" t="s">
        <v>310</v>
      </c>
      <c r="E127" s="6" t="s">
        <v>403</v>
      </c>
      <c r="F127" s="61">
        <v>1076300</v>
      </c>
      <c r="G127" s="70" t="s">
        <v>690</v>
      </c>
      <c r="H127" s="129">
        <v>26252.455431555933</v>
      </c>
      <c r="I127" s="129">
        <v>3412.8192061022714</v>
      </c>
      <c r="J127" s="9">
        <v>62</v>
      </c>
      <c r="K127" s="9">
        <v>9120</v>
      </c>
      <c r="L127" s="100">
        <v>1185.6000000000001</v>
      </c>
      <c r="M127" s="10">
        <v>0.43485456169093267</v>
      </c>
      <c r="N127" s="100">
        <v>2227.2192061022715</v>
      </c>
      <c r="O127" s="100">
        <v>35.876594371977852</v>
      </c>
      <c r="P127" s="10">
        <v>2.750655897494688</v>
      </c>
      <c r="Q127" s="6">
        <v>33845</v>
      </c>
      <c r="R127" s="6">
        <v>2296</v>
      </c>
      <c r="S127" s="6">
        <v>31549</v>
      </c>
      <c r="T127" s="6">
        <v>0</v>
      </c>
      <c r="U127" s="6">
        <v>0</v>
      </c>
      <c r="V127" s="6">
        <v>0</v>
      </c>
      <c r="W127" s="6">
        <v>0</v>
      </c>
      <c r="X127" s="9">
        <v>26252.455431555929</v>
      </c>
      <c r="Y127" s="9">
        <v>36.052627628207524</v>
      </c>
      <c r="Z127" s="9">
        <v>-16712.544568444067</v>
      </c>
      <c r="AA127" s="132">
        <v>118661.0985506328</v>
      </c>
      <c r="AB127" s="132">
        <v>142601.47999999998</v>
      </c>
      <c r="AC127" s="11">
        <v>1.6366088159645167</v>
      </c>
      <c r="AD127" s="71"/>
      <c r="AE127" s="71">
        <v>37.655840694486706</v>
      </c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126" t="s">
        <v>1</v>
      </c>
      <c r="BJ127" s="31" t="s">
        <v>800</v>
      </c>
    </row>
    <row r="128" spans="1:62" ht="12.75" customHeight="1" x14ac:dyDescent="0.35">
      <c r="A128" s="118"/>
      <c r="B128" s="30" t="s">
        <v>21</v>
      </c>
      <c r="C128" s="6" t="s">
        <v>5</v>
      </c>
      <c r="D128" s="6" t="s">
        <v>396</v>
      </c>
      <c r="E128" s="6" t="s">
        <v>397</v>
      </c>
      <c r="F128" s="6">
        <v>1042368</v>
      </c>
      <c r="G128" s="8" t="s">
        <v>134</v>
      </c>
      <c r="H128" s="129">
        <v>200</v>
      </c>
      <c r="I128" s="129">
        <v>1920</v>
      </c>
      <c r="J128" s="9">
        <v>0</v>
      </c>
      <c r="K128" s="9">
        <v>120</v>
      </c>
      <c r="L128" s="100">
        <v>1152</v>
      </c>
      <c r="M128" s="10">
        <v>0.625</v>
      </c>
      <c r="N128" s="100">
        <v>768</v>
      </c>
      <c r="O128" s="100">
        <v>0</v>
      </c>
      <c r="P128" s="10">
        <v>0.54577124623316409</v>
      </c>
      <c r="Q128" s="6">
        <v>309</v>
      </c>
      <c r="R128" s="6">
        <v>5</v>
      </c>
      <c r="S128" s="6">
        <v>304</v>
      </c>
      <c r="T128" s="6">
        <v>0</v>
      </c>
      <c r="U128" s="6">
        <v>0</v>
      </c>
      <c r="V128" s="6">
        <v>0</v>
      </c>
      <c r="W128" s="6">
        <v>9</v>
      </c>
      <c r="X128" s="9">
        <v>230.76923076923077</v>
      </c>
      <c r="Y128" s="9">
        <v>39.519999999999996</v>
      </c>
      <c r="Z128" s="9">
        <v>-229</v>
      </c>
      <c r="AA128" s="132">
        <v>18490</v>
      </c>
      <c r="AB128" s="132">
        <v>28936.850000000002</v>
      </c>
      <c r="AC128" s="11">
        <v>2.145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 t="s">
        <v>1</v>
      </c>
      <c r="BJ128" s="31"/>
    </row>
    <row r="129" spans="1:62" ht="12.75" customHeight="1" x14ac:dyDescent="0.35">
      <c r="A129" s="118"/>
      <c r="B129" s="30" t="s">
        <v>31</v>
      </c>
      <c r="C129" s="6" t="s">
        <v>5</v>
      </c>
      <c r="D129" s="6" t="s">
        <v>306</v>
      </c>
      <c r="E129" s="6" t="s">
        <v>307</v>
      </c>
      <c r="F129" s="61">
        <v>1075354</v>
      </c>
      <c r="G129" s="70" t="s">
        <v>670</v>
      </c>
      <c r="H129" s="129">
        <v>12117.135518167654</v>
      </c>
      <c r="I129" s="129">
        <v>1090.5421966350889</v>
      </c>
      <c r="J129" s="9">
        <v>0</v>
      </c>
      <c r="K129" s="9">
        <v>900</v>
      </c>
      <c r="L129" s="100">
        <v>81</v>
      </c>
      <c r="M129" s="10">
        <v>8.6654143499979644E-2</v>
      </c>
      <c r="N129" s="100">
        <v>1009.5421966350889</v>
      </c>
      <c r="O129" s="100">
        <v>0</v>
      </c>
      <c r="P129" s="10">
        <v>0.30633438453702727</v>
      </c>
      <c r="Q129" s="6">
        <v>15069</v>
      </c>
      <c r="R129" s="6">
        <v>150</v>
      </c>
      <c r="S129" s="6">
        <v>14919</v>
      </c>
      <c r="T129" s="6">
        <v>0</v>
      </c>
      <c r="U129" s="6">
        <v>3</v>
      </c>
      <c r="V129" s="6">
        <v>0</v>
      </c>
      <c r="W129" s="6">
        <v>0</v>
      </c>
      <c r="X129" s="9">
        <v>12117.135518167654</v>
      </c>
      <c r="Y129" s="9">
        <v>36.936947625034179</v>
      </c>
      <c r="Z129" s="9">
        <v>-3851.8644818323464</v>
      </c>
      <c r="AA129" s="132">
        <v>21568.501222338422</v>
      </c>
      <c r="AB129" s="132">
        <v>26561.16</v>
      </c>
      <c r="AC129" s="11">
        <v>1.3178857310011189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2" t="s">
        <v>1</v>
      </c>
      <c r="BJ129" s="31"/>
    </row>
    <row r="130" spans="1:62" ht="12.75" customHeight="1" x14ac:dyDescent="0.35">
      <c r="A130" s="118"/>
      <c r="B130" s="30" t="s">
        <v>27</v>
      </c>
      <c r="C130" s="6" t="s">
        <v>5</v>
      </c>
      <c r="D130" s="6" t="s">
        <v>308</v>
      </c>
      <c r="E130" s="6" t="s">
        <v>315</v>
      </c>
      <c r="F130" s="6">
        <v>1078707</v>
      </c>
      <c r="G130" s="8" t="s">
        <v>695</v>
      </c>
      <c r="H130" s="129">
        <v>4305.0894869911044</v>
      </c>
      <c r="I130" s="129">
        <v>2815.5285244921824</v>
      </c>
      <c r="J130" s="9">
        <v>21</v>
      </c>
      <c r="K130" s="9">
        <v>535</v>
      </c>
      <c r="L130" s="100">
        <v>349.89</v>
      </c>
      <c r="M130" s="10">
        <v>0.12427151668197263</v>
      </c>
      <c r="N130" s="100">
        <v>2465.6385244921826</v>
      </c>
      <c r="O130" s="100">
        <v>10.72258064516129</v>
      </c>
      <c r="P130" s="10">
        <v>1.3574193548387097</v>
      </c>
      <c r="Q130" s="6">
        <v>5307</v>
      </c>
      <c r="R130" s="6">
        <v>0</v>
      </c>
      <c r="S130" s="6">
        <v>5306</v>
      </c>
      <c r="T130" s="6">
        <v>56</v>
      </c>
      <c r="U130" s="6">
        <v>0</v>
      </c>
      <c r="V130" s="6">
        <v>0</v>
      </c>
      <c r="W130" s="6">
        <v>0</v>
      </c>
      <c r="X130" s="9">
        <v>4305.0894869911044</v>
      </c>
      <c r="Y130" s="9">
        <v>36.974841169040005</v>
      </c>
      <c r="Z130" s="9">
        <v>-1592.9105130088956</v>
      </c>
      <c r="AA130" s="132">
        <v>51445.819369543693</v>
      </c>
      <c r="AB130" s="132">
        <v>64075.899999999994</v>
      </c>
      <c r="AC130" s="11">
        <v>1.3700063652154664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 t="s">
        <v>825</v>
      </c>
    </row>
    <row r="131" spans="1:62" ht="12.75" customHeight="1" x14ac:dyDescent="0.35">
      <c r="A131" s="118"/>
      <c r="B131" s="30" t="s">
        <v>4</v>
      </c>
      <c r="C131" s="6" t="s">
        <v>5</v>
      </c>
      <c r="D131" s="6" t="s">
        <v>308</v>
      </c>
      <c r="E131" s="6" t="s">
        <v>314</v>
      </c>
      <c r="F131" s="61">
        <v>1069728</v>
      </c>
      <c r="G131" s="70" t="s">
        <v>568</v>
      </c>
      <c r="H131" s="129">
        <v>23435.242212776284</v>
      </c>
      <c r="I131" s="129">
        <v>4745.6365480871982</v>
      </c>
      <c r="J131" s="9">
        <v>2</v>
      </c>
      <c r="K131" s="9">
        <v>6773</v>
      </c>
      <c r="L131" s="100">
        <v>1371.5325</v>
      </c>
      <c r="M131" s="10">
        <v>0.31397157892349881</v>
      </c>
      <c r="N131" s="100">
        <v>3374.104048087198</v>
      </c>
      <c r="O131" s="100">
        <v>0</v>
      </c>
      <c r="P131" s="10">
        <v>0.23167728153557771</v>
      </c>
      <c r="Q131" s="6">
        <v>30042</v>
      </c>
      <c r="R131" s="6">
        <v>585</v>
      </c>
      <c r="S131" s="6">
        <v>29457</v>
      </c>
      <c r="T131" s="6">
        <v>0</v>
      </c>
      <c r="U131" s="6">
        <v>0</v>
      </c>
      <c r="V131" s="6">
        <v>0</v>
      </c>
      <c r="W131" s="6">
        <v>0</v>
      </c>
      <c r="X131" s="9">
        <v>23435.242212776284</v>
      </c>
      <c r="Y131" s="9">
        <v>37.708592553749</v>
      </c>
      <c r="Z131" s="9">
        <v>-13379.757787223716</v>
      </c>
      <c r="AA131" s="132">
        <v>55072.819200024271</v>
      </c>
      <c r="AB131" s="132">
        <v>69223.95</v>
      </c>
      <c r="AC131" s="11">
        <v>1.5709246640484653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/>
      <c r="BJ131" s="31" t="s">
        <v>810</v>
      </c>
    </row>
    <row r="132" spans="1:62" ht="12.75" customHeight="1" x14ac:dyDescent="0.35">
      <c r="A132" s="118"/>
      <c r="B132" s="30" t="s">
        <v>1</v>
      </c>
      <c r="C132" s="6" t="s">
        <v>50</v>
      </c>
      <c r="D132" s="6" t="s">
        <v>320</v>
      </c>
      <c r="E132" s="6" t="s">
        <v>402</v>
      </c>
      <c r="F132" s="6">
        <v>1060795</v>
      </c>
      <c r="G132" s="8" t="s">
        <v>432</v>
      </c>
      <c r="H132" s="129">
        <v>20276.475168859557</v>
      </c>
      <c r="I132" s="129">
        <v>3649.7655303947199</v>
      </c>
      <c r="J132" s="9">
        <v>2</v>
      </c>
      <c r="K132" s="9">
        <v>5504</v>
      </c>
      <c r="L132" s="100">
        <v>990.71999999999991</v>
      </c>
      <c r="M132" s="10">
        <v>0.37679132770243268</v>
      </c>
      <c r="N132" s="100">
        <v>2659.0455303947201</v>
      </c>
      <c r="O132" s="100">
        <v>9.1332147680169449</v>
      </c>
      <c r="P132" s="10">
        <v>1.3693286455717395</v>
      </c>
      <c r="Q132" s="6">
        <v>27685</v>
      </c>
      <c r="R132" s="6">
        <v>2136</v>
      </c>
      <c r="S132" s="6">
        <v>25549</v>
      </c>
      <c r="T132" s="6">
        <v>0</v>
      </c>
      <c r="U132" s="6">
        <v>24</v>
      </c>
      <c r="V132" s="6">
        <v>0</v>
      </c>
      <c r="W132" s="6">
        <v>1</v>
      </c>
      <c r="X132" s="9">
        <v>20276.475168859557</v>
      </c>
      <c r="Y132" s="9">
        <v>37.800948814670626</v>
      </c>
      <c r="Z132" s="9">
        <v>-12912.524831140443</v>
      </c>
      <c r="AA132" s="132">
        <v>139907.67866513095</v>
      </c>
      <c r="AB132" s="132">
        <v>176460.6</v>
      </c>
      <c r="AC132" s="11">
        <v>1.6368229548581201</v>
      </c>
      <c r="AD132" s="71"/>
      <c r="AE132" s="71">
        <v>53.485240371099245</v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 t="s">
        <v>829</v>
      </c>
    </row>
    <row r="133" spans="1:62" ht="12.75" customHeight="1" x14ac:dyDescent="0.35">
      <c r="A133" s="118"/>
      <c r="B133" s="30" t="s">
        <v>27</v>
      </c>
      <c r="C133" s="6" t="s">
        <v>5</v>
      </c>
      <c r="D133" s="6" t="s">
        <v>312</v>
      </c>
      <c r="E133" s="6" t="s">
        <v>313</v>
      </c>
      <c r="F133" s="6">
        <v>1076340</v>
      </c>
      <c r="G133" s="8" t="s">
        <v>651</v>
      </c>
      <c r="H133" s="129">
        <v>228</v>
      </c>
      <c r="I133" s="129">
        <v>1299.6000000000001</v>
      </c>
      <c r="J133" s="9">
        <v>0</v>
      </c>
      <c r="K133" s="9">
        <v>0</v>
      </c>
      <c r="L133" s="100">
        <v>0</v>
      </c>
      <c r="M133" s="10">
        <v>0</v>
      </c>
      <c r="N133" s="100">
        <v>1299.6000000000001</v>
      </c>
      <c r="O133" s="100">
        <v>0</v>
      </c>
      <c r="P133" s="10">
        <v>0.67502634993090915</v>
      </c>
      <c r="Q133" s="6">
        <v>294</v>
      </c>
      <c r="R133" s="6">
        <v>0</v>
      </c>
      <c r="S133" s="6">
        <v>294</v>
      </c>
      <c r="T133" s="6">
        <v>0</v>
      </c>
      <c r="U133" s="6">
        <v>0</v>
      </c>
      <c r="V133" s="6">
        <v>0</v>
      </c>
      <c r="W133" s="6">
        <v>0</v>
      </c>
      <c r="X133" s="9">
        <v>228</v>
      </c>
      <c r="Y133" s="9">
        <v>38.684210526315788</v>
      </c>
      <c r="Z133" s="9">
        <v>-66</v>
      </c>
      <c r="AA133" s="132">
        <v>10057.08</v>
      </c>
      <c r="AB133" s="132">
        <v>12968.34</v>
      </c>
      <c r="AC133" s="11">
        <v>1.2894736842105263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/>
      <c r="BJ133" s="31"/>
    </row>
    <row r="134" spans="1:62" ht="12.75" customHeight="1" x14ac:dyDescent="0.35">
      <c r="A134" s="118"/>
      <c r="B134" s="30" t="s">
        <v>15</v>
      </c>
      <c r="C134" s="6" t="s">
        <v>5</v>
      </c>
      <c r="D134" s="6" t="s">
        <v>308</v>
      </c>
      <c r="E134" s="6" t="s">
        <v>397</v>
      </c>
      <c r="F134" s="61">
        <v>1074165</v>
      </c>
      <c r="G134" s="70" t="s">
        <v>631</v>
      </c>
      <c r="H134" s="129">
        <v>12885.535414600512</v>
      </c>
      <c r="I134" s="129">
        <v>12885.535414600512</v>
      </c>
      <c r="J134" s="9">
        <v>18</v>
      </c>
      <c r="K134" s="9">
        <v>5023</v>
      </c>
      <c r="L134" s="100">
        <v>5023</v>
      </c>
      <c r="M134" s="10">
        <v>0.4226444478068932</v>
      </c>
      <c r="N134" s="100">
        <v>7862.535414600512</v>
      </c>
      <c r="O134" s="100">
        <v>9.0264122197286731</v>
      </c>
      <c r="P134" s="10">
        <v>1.3566204376335407</v>
      </c>
      <c r="Q134" s="6">
        <v>17058</v>
      </c>
      <c r="R134" s="6">
        <v>423</v>
      </c>
      <c r="S134" s="6">
        <v>16635</v>
      </c>
      <c r="T134" s="6">
        <v>120</v>
      </c>
      <c r="U134" s="6">
        <v>0</v>
      </c>
      <c r="V134" s="6">
        <v>0</v>
      </c>
      <c r="W134" s="6">
        <v>4</v>
      </c>
      <c r="X134" s="9">
        <v>12885.535414600512</v>
      </c>
      <c r="Y134" s="9">
        <v>38.729473315833651</v>
      </c>
      <c r="Z134" s="9">
        <v>-9315.464585399488</v>
      </c>
      <c r="AA134" s="132">
        <v>144575.70735181775</v>
      </c>
      <c r="AB134" s="132">
        <v>188035.98</v>
      </c>
      <c r="AC134" s="11">
        <v>1.7229396595227389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 t="s">
        <v>1</v>
      </c>
      <c r="BJ134" s="31"/>
    </row>
    <row r="135" spans="1:62" ht="12.75" customHeight="1" x14ac:dyDescent="0.35">
      <c r="A135" s="118"/>
      <c r="B135" s="30" t="s">
        <v>1</v>
      </c>
      <c r="C135" s="6" t="s">
        <v>2</v>
      </c>
      <c r="D135" s="6" t="s">
        <v>310</v>
      </c>
      <c r="E135" s="6" t="s">
        <v>311</v>
      </c>
      <c r="F135" s="141">
        <v>1068295</v>
      </c>
      <c r="G135" s="142" t="s">
        <v>566</v>
      </c>
      <c r="H135" s="129">
        <v>802.80434449646077</v>
      </c>
      <c r="I135" s="129">
        <v>433.51434602808882</v>
      </c>
      <c r="J135" s="9">
        <v>0</v>
      </c>
      <c r="K135" s="9">
        <v>432</v>
      </c>
      <c r="L135" s="100">
        <v>233.28000000000003</v>
      </c>
      <c r="M135" s="10">
        <v>0.68758970200420177</v>
      </c>
      <c r="N135" s="100">
        <v>200.23434602808879</v>
      </c>
      <c r="O135" s="100">
        <v>3.0145726507705071</v>
      </c>
      <c r="P135" s="10">
        <v>1.0998246855661706</v>
      </c>
      <c r="Q135" s="6">
        <v>1546</v>
      </c>
      <c r="R135" s="6">
        <v>120</v>
      </c>
      <c r="S135" s="6">
        <v>1426</v>
      </c>
      <c r="T135" s="6">
        <v>0</v>
      </c>
      <c r="U135" s="6">
        <v>0</v>
      </c>
      <c r="V135" s="6">
        <v>0</v>
      </c>
      <c r="W135" s="6">
        <v>0</v>
      </c>
      <c r="X135" s="9">
        <v>1019.0769230769231</v>
      </c>
      <c r="Y135" s="9">
        <v>41.979166666666664</v>
      </c>
      <c r="Z135" s="9">
        <v>-1175.1956555035392</v>
      </c>
      <c r="AA135" s="132">
        <v>6615.1077986508371</v>
      </c>
      <c r="AB135" s="132">
        <v>11750.24</v>
      </c>
      <c r="AC135" s="11">
        <v>2.4638630988483898</v>
      </c>
      <c r="AD135" s="71"/>
      <c r="AE135" s="71">
        <v>0</v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 t="s">
        <v>1</v>
      </c>
      <c r="BJ135" s="31"/>
    </row>
    <row r="136" spans="1:62" ht="12.75" customHeight="1" x14ac:dyDescent="0.35">
      <c r="A136" s="118"/>
      <c r="B136" s="30" t="s">
        <v>15</v>
      </c>
      <c r="C136" s="6" t="s">
        <v>5</v>
      </c>
      <c r="D136" s="6" t="s">
        <v>308</v>
      </c>
      <c r="E136" s="6" t="s">
        <v>315</v>
      </c>
      <c r="F136" s="61">
        <v>1074235</v>
      </c>
      <c r="G136" s="70" t="s">
        <v>636</v>
      </c>
      <c r="H136" s="129">
        <v>1438.5349221518081</v>
      </c>
      <c r="I136" s="129">
        <v>1078.9011916138561</v>
      </c>
      <c r="J136" s="9">
        <v>120</v>
      </c>
      <c r="K136" s="9">
        <v>160</v>
      </c>
      <c r="L136" s="100">
        <v>120</v>
      </c>
      <c r="M136" s="10">
        <v>0.11817578939669283</v>
      </c>
      <c r="N136" s="100">
        <v>958.9011916138561</v>
      </c>
      <c r="O136" s="100">
        <v>0</v>
      </c>
      <c r="P136" s="10">
        <v>0.98124139560935042</v>
      </c>
      <c r="Q136" s="6">
        <v>1908</v>
      </c>
      <c r="R136" s="6">
        <v>10</v>
      </c>
      <c r="S136" s="6">
        <v>1898</v>
      </c>
      <c r="T136" s="6">
        <v>0</v>
      </c>
      <c r="U136" s="6">
        <v>0</v>
      </c>
      <c r="V136" s="6">
        <v>0</v>
      </c>
      <c r="W136" s="6">
        <v>0</v>
      </c>
      <c r="X136" s="9">
        <v>1438.5349221518081</v>
      </c>
      <c r="Y136" s="9">
        <v>39.581937930868762</v>
      </c>
      <c r="Z136" s="9">
        <v>-629.46507784819187</v>
      </c>
      <c r="AA136" s="132">
        <v>13018.741045473864</v>
      </c>
      <c r="AB136" s="132">
        <v>17176.900000000001</v>
      </c>
      <c r="AC136" s="11">
        <v>1.4375737204256516</v>
      </c>
      <c r="AD136" s="71"/>
      <c r="AE136" s="71">
        <v>339.04983660130716</v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4</v>
      </c>
      <c r="C137" s="6" t="s">
        <v>5</v>
      </c>
      <c r="D137" s="6" t="s">
        <v>308</v>
      </c>
      <c r="E137" s="6" t="s">
        <v>314</v>
      </c>
      <c r="F137" s="150">
        <v>1083030</v>
      </c>
      <c r="G137" s="151" t="s">
        <v>775</v>
      </c>
      <c r="H137" s="129">
        <v>440323</v>
      </c>
      <c r="I137" s="129">
        <v>88064.6</v>
      </c>
      <c r="J137" s="9">
        <v>9</v>
      </c>
      <c r="K137" s="9">
        <v>75725</v>
      </c>
      <c r="L137" s="100">
        <v>15145</v>
      </c>
      <c r="M137" s="10">
        <v>0.18498920110918576</v>
      </c>
      <c r="N137" s="100">
        <v>72919.600000000006</v>
      </c>
      <c r="O137" s="100">
        <v>10.333752947079054</v>
      </c>
      <c r="P137" s="10">
        <v>1.3444584315693018</v>
      </c>
      <c r="Q137" s="6">
        <v>593838</v>
      </c>
      <c r="R137" s="6">
        <v>5730</v>
      </c>
      <c r="S137" s="6">
        <v>587913</v>
      </c>
      <c r="T137" s="6">
        <v>0</v>
      </c>
      <c r="U137" s="6">
        <v>0</v>
      </c>
      <c r="V137" s="6">
        <v>0</v>
      </c>
      <c r="W137" s="6">
        <v>0</v>
      </c>
      <c r="X137" s="9">
        <v>440323</v>
      </c>
      <c r="Y137" s="9">
        <v>40.055572840846374</v>
      </c>
      <c r="Z137" s="9">
        <v>-229240</v>
      </c>
      <c r="AA137" s="132">
        <v>1858163.0599999998</v>
      </c>
      <c r="AB137" s="132">
        <v>2480992.86</v>
      </c>
      <c r="AC137" s="11">
        <v>1.5206178191918207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2"/>
      <c r="BJ137" s="31"/>
    </row>
    <row r="138" spans="1:62" ht="12.75" customHeight="1" x14ac:dyDescent="0.35">
      <c r="A138" s="118"/>
      <c r="B138" s="30" t="s">
        <v>1</v>
      </c>
      <c r="C138" s="6" t="s">
        <v>50</v>
      </c>
      <c r="D138" s="6" t="s">
        <v>320</v>
      </c>
      <c r="E138" s="6" t="s">
        <v>402</v>
      </c>
      <c r="F138" s="6">
        <v>1060794</v>
      </c>
      <c r="G138" s="8" t="s">
        <v>431</v>
      </c>
      <c r="H138" s="129">
        <v>43527.394192551612</v>
      </c>
      <c r="I138" s="129">
        <v>7834.9309546592895</v>
      </c>
      <c r="J138" s="9">
        <v>2</v>
      </c>
      <c r="K138" s="9">
        <v>12091</v>
      </c>
      <c r="L138" s="100">
        <v>2176.38</v>
      </c>
      <c r="M138" s="10">
        <v>0.37904864984596992</v>
      </c>
      <c r="N138" s="100">
        <v>5658.5509546592893</v>
      </c>
      <c r="O138" s="100">
        <v>0</v>
      </c>
      <c r="P138" s="10">
        <v>0.65720924133971981</v>
      </c>
      <c r="Q138" s="6">
        <v>62532</v>
      </c>
      <c r="R138" s="6">
        <v>4408</v>
      </c>
      <c r="S138" s="6">
        <v>58124</v>
      </c>
      <c r="T138" s="6">
        <v>0</v>
      </c>
      <c r="U138" s="6">
        <v>152</v>
      </c>
      <c r="V138" s="6">
        <v>0</v>
      </c>
      <c r="W138" s="6">
        <v>16800</v>
      </c>
      <c r="X138" s="9">
        <v>43527.394192551612</v>
      </c>
      <c r="Y138" s="9">
        <v>40.060289212037986</v>
      </c>
      <c r="Z138" s="9">
        <v>-31095.605807448388</v>
      </c>
      <c r="AA138" s="132">
        <v>299033.19810282957</v>
      </c>
      <c r="AB138" s="132">
        <v>515772.12</v>
      </c>
      <c r="AC138" s="11">
        <v>1.7143916235805694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/>
      <c r="BJ138" s="31" t="s">
        <v>831</v>
      </c>
    </row>
    <row r="139" spans="1:62" ht="12.75" customHeight="1" x14ac:dyDescent="0.35">
      <c r="A139" s="118"/>
      <c r="B139" s="30" t="s">
        <v>27</v>
      </c>
      <c r="C139" s="6" t="s">
        <v>5</v>
      </c>
      <c r="D139" s="6" t="s">
        <v>312</v>
      </c>
      <c r="E139" s="6" t="s">
        <v>313</v>
      </c>
      <c r="F139" s="6">
        <v>1072811</v>
      </c>
      <c r="G139" s="8" t="s">
        <v>606</v>
      </c>
      <c r="H139" s="129">
        <v>77934.697707890475</v>
      </c>
      <c r="I139" s="129">
        <v>17769.111077399029</v>
      </c>
      <c r="J139" s="9">
        <v>25</v>
      </c>
      <c r="K139" s="9">
        <v>20605</v>
      </c>
      <c r="L139" s="100">
        <v>4697.9400000000005</v>
      </c>
      <c r="M139" s="10">
        <v>0.28902402476014816</v>
      </c>
      <c r="N139" s="100">
        <v>13071.171077399029</v>
      </c>
      <c r="O139" s="100">
        <v>0</v>
      </c>
      <c r="P139" s="10">
        <v>0.85415406656527793</v>
      </c>
      <c r="Q139" s="6">
        <v>107050</v>
      </c>
      <c r="R139" s="6">
        <v>1920</v>
      </c>
      <c r="S139" s="6">
        <v>105130</v>
      </c>
      <c r="T139" s="6">
        <v>0</v>
      </c>
      <c r="U139" s="6">
        <v>0</v>
      </c>
      <c r="V139" s="6">
        <v>0</v>
      </c>
      <c r="W139" s="6">
        <v>0</v>
      </c>
      <c r="X139" s="9">
        <v>77934.697707890475</v>
      </c>
      <c r="Y139" s="9">
        <v>40.468495968525254</v>
      </c>
      <c r="Z139" s="9">
        <v>-49720.302292109525</v>
      </c>
      <c r="AA139" s="132">
        <v>155090.04843870204</v>
      </c>
      <c r="AB139" s="132">
        <v>209208.7</v>
      </c>
      <c r="AC139" s="11">
        <v>1.6379738903776566</v>
      </c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/>
      <c r="BJ139" s="31"/>
    </row>
    <row r="140" spans="1:62" ht="12.75" customHeight="1" x14ac:dyDescent="0.35">
      <c r="A140" s="118"/>
      <c r="B140" s="30" t="s">
        <v>9</v>
      </c>
      <c r="C140" s="6" t="s">
        <v>5</v>
      </c>
      <c r="D140" s="6" t="s">
        <v>308</v>
      </c>
      <c r="E140" s="6" t="s">
        <v>315</v>
      </c>
      <c r="F140" s="120">
        <v>1082308</v>
      </c>
      <c r="G140" s="121" t="s">
        <v>757</v>
      </c>
      <c r="H140" s="129">
        <v>66602.638259441184</v>
      </c>
      <c r="I140" s="129">
        <v>17716.301777011355</v>
      </c>
      <c r="J140" s="9">
        <v>0</v>
      </c>
      <c r="K140" s="9">
        <v>7320</v>
      </c>
      <c r="L140" s="100">
        <v>1947.1200000000001</v>
      </c>
      <c r="M140" s="10">
        <v>0.1099055561655977</v>
      </c>
      <c r="N140" s="100">
        <v>15769.181777011354</v>
      </c>
      <c r="O140" s="100">
        <v>8.1960138888837939</v>
      </c>
      <c r="P140" s="10">
        <v>1.2743095010344963</v>
      </c>
      <c r="Q140" s="6">
        <v>91200</v>
      </c>
      <c r="R140" s="6">
        <v>0</v>
      </c>
      <c r="S140" s="6">
        <v>91200</v>
      </c>
      <c r="T140" s="6">
        <v>0</v>
      </c>
      <c r="U140" s="6">
        <v>0</v>
      </c>
      <c r="V140" s="6">
        <v>0</v>
      </c>
      <c r="W140" s="6">
        <v>0</v>
      </c>
      <c r="X140" s="9">
        <v>66602.638259441184</v>
      </c>
      <c r="Y140" s="9">
        <v>41.079453779928329</v>
      </c>
      <c r="Z140" s="9">
        <v>-31917.361740558816</v>
      </c>
      <c r="AA140" s="132">
        <v>378969.01169622038</v>
      </c>
      <c r="AB140" s="132">
        <v>518928.00000000006</v>
      </c>
      <c r="AC140" s="11">
        <v>1.4792206821632086</v>
      </c>
      <c r="AD140" s="71"/>
      <c r="AE140" s="71">
        <v>56.781838316722038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>
        <v>0</v>
      </c>
      <c r="C141" s="6" t="s">
        <v>2</v>
      </c>
      <c r="D141" s="6" t="s">
        <v>310</v>
      </c>
      <c r="E141" s="6" t="s">
        <v>311</v>
      </c>
      <c r="F141" s="154">
        <v>1080746</v>
      </c>
      <c r="G141" s="162" t="s">
        <v>789</v>
      </c>
      <c r="H141" s="129">
        <v>8109.826278203117</v>
      </c>
      <c r="I141" s="129">
        <v>3892.716613537496</v>
      </c>
      <c r="J141" s="9">
        <v>6</v>
      </c>
      <c r="K141" s="9">
        <v>3667</v>
      </c>
      <c r="L141" s="100">
        <v>1760.1599999999999</v>
      </c>
      <c r="M141" s="10">
        <v>0.4818845516461408</v>
      </c>
      <c r="N141" s="100">
        <v>2132.5566135374961</v>
      </c>
      <c r="O141" s="100">
        <v>0</v>
      </c>
      <c r="P141" s="10">
        <v>0</v>
      </c>
      <c r="Q141" s="6">
        <v>11699</v>
      </c>
      <c r="R141" s="6">
        <v>241</v>
      </c>
      <c r="S141" s="6">
        <v>11458</v>
      </c>
      <c r="T141" s="6">
        <v>0</v>
      </c>
      <c r="U141" s="6">
        <v>0</v>
      </c>
      <c r="V141" s="6">
        <v>0</v>
      </c>
      <c r="W141" s="6">
        <v>0</v>
      </c>
      <c r="X141" s="9">
        <v>8109.826278203117</v>
      </c>
      <c r="Y141" s="9">
        <v>42.385618163470944</v>
      </c>
      <c r="Z141" s="9">
        <v>-7256.173721796883</v>
      </c>
      <c r="AA141" s="132">
        <v>185633.92350806936</v>
      </c>
      <c r="AB141" s="132">
        <v>262273.62</v>
      </c>
      <c r="AC141" s="11">
        <v>1.8947384904285056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2" t="s">
        <v>1</v>
      </c>
      <c r="BJ141" s="31" t="s">
        <v>833</v>
      </c>
    </row>
    <row r="142" spans="1:62" ht="12.75" customHeight="1" x14ac:dyDescent="0.35">
      <c r="A142" s="118"/>
      <c r="B142" s="30" t="s">
        <v>8</v>
      </c>
      <c r="C142" s="6" t="s">
        <v>5</v>
      </c>
      <c r="D142" s="6" t="s">
        <v>308</v>
      </c>
      <c r="E142" s="6" t="s">
        <v>309</v>
      </c>
      <c r="F142" s="6">
        <v>1079847</v>
      </c>
      <c r="G142" s="8" t="s">
        <v>728</v>
      </c>
      <c r="H142" s="129">
        <v>8271.166346510523</v>
      </c>
      <c r="I142" s="129">
        <v>3176.1278770600411</v>
      </c>
      <c r="J142" s="9">
        <v>4</v>
      </c>
      <c r="K142" s="9">
        <v>1589</v>
      </c>
      <c r="L142" s="100">
        <v>610.17600000000004</v>
      </c>
      <c r="M142" s="10">
        <v>0.20371975721548333</v>
      </c>
      <c r="N142" s="100">
        <v>2565.9518770600412</v>
      </c>
      <c r="O142" s="100">
        <v>0</v>
      </c>
      <c r="P142" s="10">
        <v>0.92272727272727273</v>
      </c>
      <c r="Q142" s="6">
        <v>12111</v>
      </c>
      <c r="R142" s="6">
        <v>96</v>
      </c>
      <c r="S142" s="6">
        <v>12015</v>
      </c>
      <c r="T142" s="6">
        <v>0</v>
      </c>
      <c r="U142" s="6">
        <v>0</v>
      </c>
      <c r="V142" s="6">
        <v>0</v>
      </c>
      <c r="W142" s="6">
        <v>1</v>
      </c>
      <c r="X142" s="9">
        <v>8271.166346510523</v>
      </c>
      <c r="Y142" s="9">
        <v>43.579101773484247</v>
      </c>
      <c r="Z142" s="9">
        <v>-5428.833653489477</v>
      </c>
      <c r="AA142" s="132">
        <v>74275.073791664501</v>
      </c>
      <c r="AB142" s="132">
        <v>107903.68000000001</v>
      </c>
      <c r="AC142" s="11">
        <v>1.6563564829982917</v>
      </c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/>
    </row>
    <row r="143" spans="1:62" ht="12.75" customHeight="1" x14ac:dyDescent="0.35">
      <c r="A143" s="118"/>
      <c r="B143" s="30" t="s">
        <v>27</v>
      </c>
      <c r="C143" s="6" t="s">
        <v>5</v>
      </c>
      <c r="D143" s="6" t="s">
        <v>312</v>
      </c>
      <c r="E143" s="6" t="s">
        <v>313</v>
      </c>
      <c r="F143" s="127">
        <v>1080361</v>
      </c>
      <c r="G143" s="128" t="s">
        <v>741</v>
      </c>
      <c r="H143" s="129">
        <v>6054.9852882265532</v>
      </c>
      <c r="I143" s="129">
        <v>2785.2932325842144</v>
      </c>
      <c r="J143" s="9">
        <v>0</v>
      </c>
      <c r="K143" s="9">
        <v>1232</v>
      </c>
      <c r="L143" s="100">
        <v>566.72</v>
      </c>
      <c r="M143" s="10">
        <v>0.26160261744648078</v>
      </c>
      <c r="N143" s="100">
        <v>2218.5732325842146</v>
      </c>
      <c r="O143" s="100">
        <v>0</v>
      </c>
      <c r="P143" s="10">
        <v>0.59190787153299962</v>
      </c>
      <c r="Q143" s="6">
        <v>9415</v>
      </c>
      <c r="R143" s="6">
        <v>352</v>
      </c>
      <c r="S143" s="6">
        <v>9063</v>
      </c>
      <c r="T143" s="6">
        <v>0</v>
      </c>
      <c r="U143" s="6">
        <v>0</v>
      </c>
      <c r="V143" s="6">
        <v>0</v>
      </c>
      <c r="W143" s="6">
        <v>0</v>
      </c>
      <c r="X143" s="9">
        <v>6054.9852882265532</v>
      </c>
      <c r="Y143" s="9">
        <v>44.903494733285136</v>
      </c>
      <c r="Z143" s="9">
        <v>-4592.0147117734468</v>
      </c>
      <c r="AA143" s="132">
        <v>3088.042496995542</v>
      </c>
      <c r="AB143" s="132">
        <v>4622.13</v>
      </c>
      <c r="AC143" s="11">
        <v>1.7583857752226519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/>
      <c r="BJ143" s="31"/>
    </row>
    <row r="144" spans="1:62" ht="12.75" customHeight="1" x14ac:dyDescent="0.35">
      <c r="A144" s="118"/>
      <c r="B144" s="30" t="s">
        <v>31</v>
      </c>
      <c r="C144" s="6" t="s">
        <v>5</v>
      </c>
      <c r="D144" s="6" t="s">
        <v>306</v>
      </c>
      <c r="E144" s="6" t="s">
        <v>307</v>
      </c>
      <c r="F144" s="6">
        <v>1071166</v>
      </c>
      <c r="G144" s="8" t="s">
        <v>605</v>
      </c>
      <c r="H144" s="129">
        <v>30159.735955766228</v>
      </c>
      <c r="I144" s="129">
        <v>4222.3630338072726</v>
      </c>
      <c r="J144" s="9">
        <v>1</v>
      </c>
      <c r="K144" s="9">
        <v>5789</v>
      </c>
      <c r="L144" s="100">
        <v>810.46</v>
      </c>
      <c r="M144" s="10">
        <v>0.19293935492454031</v>
      </c>
      <c r="N144" s="100">
        <v>3411.9030338072725</v>
      </c>
      <c r="O144" s="100">
        <v>0</v>
      </c>
      <c r="P144" s="10">
        <v>0.99164681242476349</v>
      </c>
      <c r="Q144" s="6">
        <v>45480</v>
      </c>
      <c r="R144" s="6">
        <v>30</v>
      </c>
      <c r="S144" s="6">
        <v>45450</v>
      </c>
      <c r="T144" s="6">
        <v>0</v>
      </c>
      <c r="U144" s="6">
        <v>0</v>
      </c>
      <c r="V144" s="6">
        <v>0</v>
      </c>
      <c r="W144" s="6">
        <v>0</v>
      </c>
      <c r="X144" s="9">
        <v>30159.735955766228</v>
      </c>
      <c r="Y144" s="9">
        <v>45.209281739063535</v>
      </c>
      <c r="Z144" s="9">
        <v>-21109.264044233772</v>
      </c>
      <c r="AA144" s="132">
        <v>82336.079159241795</v>
      </c>
      <c r="AB144" s="132">
        <v>124078.5</v>
      </c>
      <c r="AC144" s="11">
        <v>1.6999154128933247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 t="s">
        <v>1</v>
      </c>
      <c r="BJ144" s="31" t="s">
        <v>807</v>
      </c>
    </row>
    <row r="145" spans="1:62" ht="12.75" customHeight="1" x14ac:dyDescent="0.35">
      <c r="A145" s="118"/>
      <c r="B145" s="30" t="s">
        <v>21</v>
      </c>
      <c r="C145" s="6" t="s">
        <v>5</v>
      </c>
      <c r="D145" s="6" t="s">
        <v>306</v>
      </c>
      <c r="E145" s="6" t="s">
        <v>307</v>
      </c>
      <c r="F145" s="6">
        <v>1059375</v>
      </c>
      <c r="G145" s="8" t="s">
        <v>349</v>
      </c>
      <c r="H145" s="129">
        <v>4043.190899222503</v>
      </c>
      <c r="I145" s="129">
        <v>3638.8718093002526</v>
      </c>
      <c r="J145" s="9">
        <v>0</v>
      </c>
      <c r="K145" s="9">
        <v>1214</v>
      </c>
      <c r="L145" s="100">
        <v>1092.6000000000001</v>
      </c>
      <c r="M145" s="10">
        <v>0.30520448595125588</v>
      </c>
      <c r="N145" s="100">
        <v>2546.2718093002522</v>
      </c>
      <c r="O145" s="100">
        <v>0</v>
      </c>
      <c r="P145" s="10">
        <v>0.76593679089250466</v>
      </c>
      <c r="Q145" s="6">
        <v>6289</v>
      </c>
      <c r="R145" s="6">
        <v>20</v>
      </c>
      <c r="S145" s="6">
        <v>6269</v>
      </c>
      <c r="T145" s="6">
        <v>0</v>
      </c>
      <c r="U145" s="6">
        <v>0</v>
      </c>
      <c r="V145" s="6">
        <v>0</v>
      </c>
      <c r="W145" s="6">
        <v>0</v>
      </c>
      <c r="X145" s="9">
        <v>4043.190899222503</v>
      </c>
      <c r="Y145" s="9">
        <v>46.515241225974627</v>
      </c>
      <c r="Z145" s="9">
        <v>-3459.809100777497</v>
      </c>
      <c r="AA145" s="132">
        <v>96955.717763355628</v>
      </c>
      <c r="AB145" s="132">
        <v>150330.62</v>
      </c>
      <c r="AC145" s="11">
        <v>1.8557125268170767</v>
      </c>
      <c r="AD145" s="71"/>
      <c r="AE145" s="71" t="s">
        <v>574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">
      <c r="A146" s="118"/>
      <c r="B146" s="30" t="s">
        <v>1</v>
      </c>
      <c r="C146" s="6" t="s">
        <v>17</v>
      </c>
      <c r="D146" s="6" t="s">
        <v>312</v>
      </c>
      <c r="E146" s="6" t="s">
        <v>398</v>
      </c>
      <c r="F146" s="61">
        <v>1082287</v>
      </c>
      <c r="G146" s="70" t="s">
        <v>774</v>
      </c>
      <c r="H146" s="175">
        <v>8881.1093436375395</v>
      </c>
      <c r="I146" s="129">
        <v>2158.109570503922</v>
      </c>
      <c r="J146" s="9">
        <v>23</v>
      </c>
      <c r="K146" s="9">
        <v>3005</v>
      </c>
      <c r="L146" s="100">
        <v>730.21500000000003</v>
      </c>
      <c r="M146" s="10">
        <v>0.33847122962780657</v>
      </c>
      <c r="N146" s="100">
        <v>1427.8945705039218</v>
      </c>
      <c r="O146" s="100">
        <v>0</v>
      </c>
      <c r="P146" s="10">
        <v>0</v>
      </c>
      <c r="Q146" s="6">
        <v>14014</v>
      </c>
      <c r="R146" s="6">
        <v>1</v>
      </c>
      <c r="S146" s="6">
        <v>14013</v>
      </c>
      <c r="T146" s="6">
        <v>0</v>
      </c>
      <c r="U146" s="6">
        <v>0</v>
      </c>
      <c r="V146" s="6">
        <v>0</v>
      </c>
      <c r="W146" s="6">
        <v>0</v>
      </c>
      <c r="X146" s="9">
        <v>8881.1093436375395</v>
      </c>
      <c r="Y146" s="9">
        <v>47.335302802140248</v>
      </c>
      <c r="Z146" s="9">
        <v>-8137.8906563624605</v>
      </c>
      <c r="AA146" s="132">
        <v>22735.639919712103</v>
      </c>
      <c r="AB146" s="132">
        <v>35873.279999999999</v>
      </c>
      <c r="AC146" s="11">
        <v>1.9163146563658149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2"/>
      <c r="BJ146" s="31"/>
    </row>
    <row r="147" spans="1:62" ht="12.75" customHeight="1" x14ac:dyDescent="0.35">
      <c r="A147" s="118"/>
      <c r="B147" s="30" t="s">
        <v>27</v>
      </c>
      <c r="C147" s="6" t="s">
        <v>5</v>
      </c>
      <c r="D147" s="6" t="s">
        <v>312</v>
      </c>
      <c r="E147" s="6" t="s">
        <v>313</v>
      </c>
      <c r="F147" s="6">
        <v>1052861</v>
      </c>
      <c r="G147" s="8" t="s">
        <v>196</v>
      </c>
      <c r="H147" s="129">
        <v>12988.152287151419</v>
      </c>
      <c r="I147" s="129">
        <v>597.4550052089653</v>
      </c>
      <c r="J147" s="9">
        <v>0</v>
      </c>
      <c r="K147" s="9">
        <v>5236</v>
      </c>
      <c r="L147" s="100">
        <v>240.85599999999999</v>
      </c>
      <c r="M147" s="10">
        <v>0.40313663439100061</v>
      </c>
      <c r="N147" s="100">
        <v>356.59900520896531</v>
      </c>
      <c r="O147" s="100">
        <v>0</v>
      </c>
      <c r="P147" s="10">
        <v>0</v>
      </c>
      <c r="Q147" s="6">
        <v>20548</v>
      </c>
      <c r="R147" s="6">
        <v>0</v>
      </c>
      <c r="S147" s="6">
        <v>20548</v>
      </c>
      <c r="T147" s="6">
        <v>0</v>
      </c>
      <c r="U147" s="6">
        <v>0</v>
      </c>
      <c r="V147" s="6">
        <v>0</v>
      </c>
      <c r="W147" s="6">
        <v>0</v>
      </c>
      <c r="X147" s="9">
        <v>12988.152287151417</v>
      </c>
      <c r="Y147" s="9">
        <v>47.461716368217807</v>
      </c>
      <c r="Z147" s="9">
        <v>-12795.847712848581</v>
      </c>
      <c r="AA147" s="132">
        <v>6623.9576664472233</v>
      </c>
      <c r="AB147" s="132">
        <v>10479.48</v>
      </c>
      <c r="AC147" s="11">
        <v>1.9851938466649273</v>
      </c>
      <c r="AD147" s="71"/>
      <c r="AE147" s="71">
        <v>7.7885819816926292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1</v>
      </c>
      <c r="C148" s="6" t="s">
        <v>2</v>
      </c>
      <c r="D148" s="6" t="s">
        <v>308</v>
      </c>
      <c r="E148" s="6" t="s">
        <v>395</v>
      </c>
      <c r="F148" s="6">
        <v>1078355</v>
      </c>
      <c r="G148" s="8" t="s">
        <v>706</v>
      </c>
      <c r="H148" s="129">
        <v>889</v>
      </c>
      <c r="I148" s="129">
        <v>224.02799999999999</v>
      </c>
      <c r="J148" s="9">
        <v>0</v>
      </c>
      <c r="K148" s="9">
        <v>324</v>
      </c>
      <c r="L148" s="100">
        <v>81.647999999999996</v>
      </c>
      <c r="M148" s="10">
        <v>1.1203599550056242</v>
      </c>
      <c r="N148" s="100">
        <v>142.38</v>
      </c>
      <c r="O148" s="100">
        <v>0</v>
      </c>
      <c r="P148" s="10">
        <v>4.6263809104883022E-2</v>
      </c>
      <c r="Q148" s="6">
        <v>3849</v>
      </c>
      <c r="R148" s="6">
        <v>672</v>
      </c>
      <c r="S148" s="6">
        <v>3177</v>
      </c>
      <c r="T148" s="6">
        <v>0</v>
      </c>
      <c r="U148" s="6">
        <v>0</v>
      </c>
      <c r="V148" s="6">
        <v>0</v>
      </c>
      <c r="W148" s="6">
        <v>0</v>
      </c>
      <c r="X148" s="9">
        <v>1838.7692307692309</v>
      </c>
      <c r="Y148" s="9">
        <v>51.833584337349393</v>
      </c>
      <c r="Z148" s="9">
        <v>-3284</v>
      </c>
      <c r="AA148" s="132">
        <v>8045.4500000000007</v>
      </c>
      <c r="AB148" s="132">
        <v>28751.850000000002</v>
      </c>
      <c r="AC148" s="11">
        <v>4.6940382452193479</v>
      </c>
      <c r="AD148" s="71"/>
      <c r="AE148" s="71">
        <v>67.599515738498795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4</v>
      </c>
      <c r="C149" s="6" t="s">
        <v>5</v>
      </c>
      <c r="D149" s="6" t="s">
        <v>308</v>
      </c>
      <c r="E149" s="6" t="s">
        <v>315</v>
      </c>
      <c r="F149" s="6">
        <v>1072750</v>
      </c>
      <c r="G149" s="8" t="s">
        <v>602</v>
      </c>
      <c r="H149" s="129">
        <v>2027.4896879705855</v>
      </c>
      <c r="I149" s="129">
        <v>405.4979375941171</v>
      </c>
      <c r="J149" s="9">
        <v>214</v>
      </c>
      <c r="K149" s="9">
        <v>1090</v>
      </c>
      <c r="L149" s="100">
        <v>218</v>
      </c>
      <c r="M149" s="10">
        <v>0.57312252037301514</v>
      </c>
      <c r="N149" s="100">
        <v>187.4979375941171</v>
      </c>
      <c r="O149" s="100">
        <v>5.1600000000000046</v>
      </c>
      <c r="P149" s="10">
        <v>1.0860000000000001</v>
      </c>
      <c r="Q149" s="6">
        <v>3792</v>
      </c>
      <c r="R149" s="6">
        <v>72</v>
      </c>
      <c r="S149" s="6">
        <v>3720</v>
      </c>
      <c r="T149" s="6">
        <v>0</v>
      </c>
      <c r="U149" s="6">
        <v>0</v>
      </c>
      <c r="V149" s="6">
        <v>0</v>
      </c>
      <c r="W149" s="6">
        <v>1816</v>
      </c>
      <c r="X149" s="9">
        <v>2145.2307692307695</v>
      </c>
      <c r="Y149" s="9">
        <v>52.02237521514629</v>
      </c>
      <c r="Z149" s="9">
        <v>-2854.5103120294143</v>
      </c>
      <c r="AA149" s="132">
        <v>3568.3818508282307</v>
      </c>
      <c r="AB149" s="132">
        <v>9743.36</v>
      </c>
      <c r="AC149" s="11">
        <v>2.4079037387788809</v>
      </c>
      <c r="AD149" s="71"/>
      <c r="AE149" s="71">
        <v>7.1636228102869923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27</v>
      </c>
      <c r="C150" s="6" t="s">
        <v>5</v>
      </c>
      <c r="D150" s="6" t="s">
        <v>312</v>
      </c>
      <c r="E150" s="6" t="s">
        <v>313</v>
      </c>
      <c r="F150" s="6">
        <v>1072810</v>
      </c>
      <c r="G150" s="8" t="s">
        <v>609</v>
      </c>
      <c r="H150" s="129">
        <v>7851.0185228962173</v>
      </c>
      <c r="I150" s="129">
        <v>10740.193339322026</v>
      </c>
      <c r="J150" s="9">
        <v>2</v>
      </c>
      <c r="K150" s="9">
        <v>1839</v>
      </c>
      <c r="L150" s="100">
        <v>2515.7520000000004</v>
      </c>
      <c r="M150" s="10">
        <v>0.23487398413623331</v>
      </c>
      <c r="N150" s="100">
        <v>8224.4413393220257</v>
      </c>
      <c r="O150" s="100">
        <v>0</v>
      </c>
      <c r="P150" s="10">
        <v>0.52768030994442572</v>
      </c>
      <c r="Q150" s="6">
        <v>12611</v>
      </c>
      <c r="R150" s="6">
        <v>5</v>
      </c>
      <c r="S150" s="6">
        <v>12606</v>
      </c>
      <c r="T150" s="6">
        <v>0</v>
      </c>
      <c r="U150" s="6">
        <v>0</v>
      </c>
      <c r="V150" s="6">
        <v>0</v>
      </c>
      <c r="W150" s="6">
        <v>0</v>
      </c>
      <c r="X150" s="9">
        <v>7851.0185228962173</v>
      </c>
      <c r="Y150" s="9">
        <v>48.169546269327938</v>
      </c>
      <c r="Z150" s="9">
        <v>-6598.9814771037827</v>
      </c>
      <c r="AA150" s="132">
        <v>93898.181533838768</v>
      </c>
      <c r="AB150" s="132">
        <v>150767.76</v>
      </c>
      <c r="AC150" s="11">
        <v>1.8405255264471645</v>
      </c>
      <c r="AD150" s="71"/>
      <c r="AE150" s="71">
        <v>69.94509598864569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27</v>
      </c>
      <c r="C151" s="6" t="s">
        <v>5</v>
      </c>
      <c r="D151" s="6" t="s">
        <v>312</v>
      </c>
      <c r="E151" s="6" t="s">
        <v>313</v>
      </c>
      <c r="F151" s="6">
        <v>1077108</v>
      </c>
      <c r="G151" s="8" t="s">
        <v>673</v>
      </c>
      <c r="H151" s="129">
        <v>38027.142439739306</v>
      </c>
      <c r="I151" s="129">
        <v>8670.1884762605623</v>
      </c>
      <c r="J151" s="9">
        <v>62</v>
      </c>
      <c r="K151" s="9">
        <v>7959</v>
      </c>
      <c r="L151" s="100">
        <v>1814.652</v>
      </c>
      <c r="M151" s="10">
        <v>0.23059844725109235</v>
      </c>
      <c r="N151" s="100">
        <v>6855.5364762605623</v>
      </c>
      <c r="O151" s="100">
        <v>0</v>
      </c>
      <c r="P151" s="10">
        <v>0</v>
      </c>
      <c r="Q151" s="6">
        <v>61886</v>
      </c>
      <c r="R151" s="6">
        <v>810</v>
      </c>
      <c r="S151" s="6">
        <v>61076</v>
      </c>
      <c r="T151" s="6">
        <v>0</v>
      </c>
      <c r="U151" s="6">
        <v>0</v>
      </c>
      <c r="V151" s="6">
        <v>0</v>
      </c>
      <c r="W151" s="6">
        <v>0</v>
      </c>
      <c r="X151" s="9">
        <v>38027.142439739306</v>
      </c>
      <c r="Y151" s="9">
        <v>48.183478495749974</v>
      </c>
      <c r="Z151" s="9">
        <v>-31817.857560260694</v>
      </c>
      <c r="AA151" s="132">
        <v>79476.727699055147</v>
      </c>
      <c r="AB151" s="132">
        <v>127648.84</v>
      </c>
      <c r="AC151" s="11">
        <v>1.8367143971094246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2"/>
      <c r="BJ151" s="31"/>
    </row>
    <row r="152" spans="1:62" ht="12.75" customHeight="1" x14ac:dyDescent="0.35">
      <c r="A152" s="118"/>
      <c r="B152" s="30" t="s">
        <v>31</v>
      </c>
      <c r="C152" s="6" t="s">
        <v>5</v>
      </c>
      <c r="D152" s="6" t="s">
        <v>306</v>
      </c>
      <c r="E152" s="6" t="s">
        <v>307</v>
      </c>
      <c r="F152" s="6">
        <v>1078161</v>
      </c>
      <c r="G152" s="8" t="s">
        <v>705</v>
      </c>
      <c r="H152" s="129">
        <v>4739.7301470349103</v>
      </c>
      <c r="I152" s="129">
        <v>1758.4398845499518</v>
      </c>
      <c r="J152" s="9">
        <v>1</v>
      </c>
      <c r="K152" s="9">
        <v>300</v>
      </c>
      <c r="L152" s="100">
        <v>111.3</v>
      </c>
      <c r="M152" s="10">
        <v>8.6080850036417675E-2</v>
      </c>
      <c r="N152" s="100">
        <v>1647.1398845499518</v>
      </c>
      <c r="O152" s="100">
        <v>26.673169355018267</v>
      </c>
      <c r="P152" s="10">
        <v>1.9056784999321463</v>
      </c>
      <c r="Q152" s="6">
        <v>7798</v>
      </c>
      <c r="R152" s="6">
        <v>108</v>
      </c>
      <c r="S152" s="6">
        <v>7690</v>
      </c>
      <c r="T152" s="6">
        <v>0</v>
      </c>
      <c r="U152" s="6">
        <v>0</v>
      </c>
      <c r="V152" s="6">
        <v>0</v>
      </c>
      <c r="W152" s="6">
        <v>0</v>
      </c>
      <c r="X152" s="9">
        <v>4739.7301470349103</v>
      </c>
      <c r="Y152" s="9">
        <v>48.673657116180287</v>
      </c>
      <c r="Z152" s="9">
        <v>-3358.2698529650897</v>
      </c>
      <c r="AA152" s="132">
        <v>46070.177029179329</v>
      </c>
      <c r="AB152" s="132">
        <v>74746.8</v>
      </c>
      <c r="AC152" s="11">
        <v>1.7085360872424271</v>
      </c>
      <c r="AD152" s="71"/>
      <c r="AE152" s="71">
        <v>40.776923076923076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1</v>
      </c>
      <c r="C153" s="6" t="s">
        <v>2</v>
      </c>
      <c r="D153" s="6" t="s">
        <v>306</v>
      </c>
      <c r="E153" s="6" t="s">
        <v>401</v>
      </c>
      <c r="F153" s="61">
        <v>1064893</v>
      </c>
      <c r="G153" s="70" t="s">
        <v>535</v>
      </c>
      <c r="H153" s="129">
        <v>1048.7424049523765</v>
      </c>
      <c r="I153" s="129">
        <v>1887.7363289142779</v>
      </c>
      <c r="J153" s="9">
        <v>150</v>
      </c>
      <c r="K153" s="9">
        <v>650</v>
      </c>
      <c r="L153" s="100">
        <v>1170</v>
      </c>
      <c r="M153" s="10">
        <v>0.66555905120637915</v>
      </c>
      <c r="N153" s="100">
        <v>717.73632891427792</v>
      </c>
      <c r="O153" s="100">
        <v>0.51611329933386463</v>
      </c>
      <c r="P153" s="10">
        <v>1.0172037766444622</v>
      </c>
      <c r="Q153" s="6">
        <v>2324</v>
      </c>
      <c r="R153" s="6">
        <v>48</v>
      </c>
      <c r="S153" s="6">
        <v>2276</v>
      </c>
      <c r="T153" s="6">
        <v>0</v>
      </c>
      <c r="U153" s="6">
        <v>0</v>
      </c>
      <c r="V153" s="6">
        <v>0</v>
      </c>
      <c r="W153" s="6">
        <v>0</v>
      </c>
      <c r="X153" s="9">
        <v>1288.6153846153848</v>
      </c>
      <c r="Y153" s="9">
        <v>52.987106017191969</v>
      </c>
      <c r="Z153" s="9">
        <v>-1925.2575950476235</v>
      </c>
      <c r="AA153" s="132">
        <v>3156.7146389066534</v>
      </c>
      <c r="AB153" s="132">
        <v>6850.7599999999993</v>
      </c>
      <c r="AC153" s="11">
        <v>2.835777390097094</v>
      </c>
      <c r="AD153" s="71"/>
      <c r="AE153" s="71" t="s">
        <v>574</v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 t="s">
        <v>1</v>
      </c>
      <c r="BJ153" s="31"/>
    </row>
    <row r="154" spans="1:62" ht="12.75" customHeight="1" x14ac:dyDescent="0.35">
      <c r="A154" s="118"/>
      <c r="B154" s="30" t="s">
        <v>1</v>
      </c>
      <c r="C154" s="6" t="s">
        <v>24</v>
      </c>
      <c r="D154" s="6" t="s">
        <v>316</v>
      </c>
      <c r="E154" s="6" t="s">
        <v>317</v>
      </c>
      <c r="F154" s="6">
        <v>1003495</v>
      </c>
      <c r="G154" s="8" t="s">
        <v>129</v>
      </c>
      <c r="H154" s="129">
        <v>1397.6873297428735</v>
      </c>
      <c r="I154" s="129">
        <v>118.80342302814427</v>
      </c>
      <c r="J154" s="9">
        <v>0</v>
      </c>
      <c r="K154" s="9">
        <v>411</v>
      </c>
      <c r="L154" s="100">
        <v>34.935000000000002</v>
      </c>
      <c r="M154" s="10">
        <v>0.34557085102063234</v>
      </c>
      <c r="N154" s="100">
        <v>83.868423028144264</v>
      </c>
      <c r="O154" s="100">
        <v>0</v>
      </c>
      <c r="P154" s="10">
        <v>0.69610202206910632</v>
      </c>
      <c r="Q154" s="6">
        <v>2449</v>
      </c>
      <c r="R154" s="6">
        <v>72</v>
      </c>
      <c r="S154" s="6">
        <v>2377</v>
      </c>
      <c r="T154" s="6">
        <v>0</v>
      </c>
      <c r="U154" s="6">
        <v>0</v>
      </c>
      <c r="V154" s="6">
        <v>0</v>
      </c>
      <c r="W154" s="6">
        <v>0</v>
      </c>
      <c r="X154" s="9">
        <v>1397.6873297428735</v>
      </c>
      <c r="Y154" s="9">
        <v>51.019994588574107</v>
      </c>
      <c r="Z154" s="9">
        <v>-1462.3126702571265</v>
      </c>
      <c r="AA154" s="132">
        <v>8819.4070506775315</v>
      </c>
      <c r="AB154" s="132">
        <v>14998.869999999999</v>
      </c>
      <c r="AC154" s="11">
        <v>2.0462373373064358</v>
      </c>
      <c r="AD154" s="71"/>
      <c r="AE154" s="71">
        <v>18.339424394700778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 t="s">
        <v>1</v>
      </c>
      <c r="BJ154" s="31"/>
    </row>
    <row r="155" spans="1:62" ht="12.75" customHeight="1" x14ac:dyDescent="0.35">
      <c r="A155" s="118"/>
      <c r="B155" s="30" t="s">
        <v>21</v>
      </c>
      <c r="C155" s="6" t="s">
        <v>5</v>
      </c>
      <c r="D155" s="6" t="s">
        <v>308</v>
      </c>
      <c r="E155" s="6" t="s">
        <v>395</v>
      </c>
      <c r="F155" s="6">
        <v>1069121</v>
      </c>
      <c r="G155" s="8" t="s">
        <v>558</v>
      </c>
      <c r="H155" s="129">
        <v>171.23968708906878</v>
      </c>
      <c r="I155" s="129">
        <v>136.99174967125504</v>
      </c>
      <c r="J155" s="9">
        <v>0</v>
      </c>
      <c r="K155" s="9">
        <v>104</v>
      </c>
      <c r="L155" s="100">
        <v>83.2</v>
      </c>
      <c r="M155" s="10">
        <v>0.64821421883505514</v>
      </c>
      <c r="N155" s="100">
        <v>53.791749671255033</v>
      </c>
      <c r="O155" s="100">
        <v>13.643243243243241</v>
      </c>
      <c r="P155" s="10">
        <v>1.5047999999999999</v>
      </c>
      <c r="Q155" s="6">
        <v>395</v>
      </c>
      <c r="R155" s="6">
        <v>7</v>
      </c>
      <c r="S155" s="6">
        <v>388</v>
      </c>
      <c r="T155" s="6">
        <v>0</v>
      </c>
      <c r="U155" s="6">
        <v>0</v>
      </c>
      <c r="V155" s="6">
        <v>0</v>
      </c>
      <c r="W155" s="6">
        <v>0</v>
      </c>
      <c r="X155" s="9">
        <v>204.92307692307691</v>
      </c>
      <c r="Y155" s="9">
        <v>56.801801801801808</v>
      </c>
      <c r="Z155" s="9">
        <v>-327.76031291093125</v>
      </c>
      <c r="AA155" s="132">
        <v>6806.7775617904845</v>
      </c>
      <c r="AB155" s="132">
        <v>15423</v>
      </c>
      <c r="AC155" s="11">
        <v>2.914044100889122</v>
      </c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/>
      <c r="BJ155" s="31"/>
    </row>
    <row r="156" spans="1:62" ht="12.75" customHeight="1" x14ac:dyDescent="0.35">
      <c r="A156" s="118"/>
      <c r="B156" s="30" t="s">
        <v>1</v>
      </c>
      <c r="C156" s="6" t="s">
        <v>24</v>
      </c>
      <c r="D156" s="6" t="s">
        <v>316</v>
      </c>
      <c r="E156" s="6" t="s">
        <v>317</v>
      </c>
      <c r="F156" s="6">
        <v>1072239</v>
      </c>
      <c r="G156" s="8" t="s">
        <v>767</v>
      </c>
      <c r="H156" s="129">
        <v>3907.3097526170368</v>
      </c>
      <c r="I156" s="129">
        <v>1484.777705994474</v>
      </c>
      <c r="J156" s="9">
        <v>0</v>
      </c>
      <c r="K156" s="9">
        <v>1873</v>
      </c>
      <c r="L156" s="100">
        <v>711.74</v>
      </c>
      <c r="M156" s="10">
        <v>0.65748562633902674</v>
      </c>
      <c r="N156" s="100">
        <v>773.03770599447398</v>
      </c>
      <c r="O156" s="100">
        <v>0</v>
      </c>
      <c r="P156" s="10">
        <v>0.1</v>
      </c>
      <c r="Q156" s="6">
        <v>9681</v>
      </c>
      <c r="R156" s="6">
        <v>696</v>
      </c>
      <c r="S156" s="6">
        <v>8985</v>
      </c>
      <c r="T156" s="6">
        <v>0</v>
      </c>
      <c r="U156" s="6">
        <v>0</v>
      </c>
      <c r="V156" s="6">
        <v>0</v>
      </c>
      <c r="W156" s="6">
        <v>0</v>
      </c>
      <c r="X156" s="9">
        <v>4742.7692307692314</v>
      </c>
      <c r="Y156" s="9">
        <v>56.833884780070058</v>
      </c>
      <c r="Z156" s="9">
        <v>-7646.6902473829632</v>
      </c>
      <c r="AA156" s="132">
        <v>33837.302457663536</v>
      </c>
      <c r="AB156" s="132">
        <v>77810.100000000006</v>
      </c>
      <c r="AC156" s="11">
        <v>2.9570217698408388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/>
      <c r="BJ156" s="31"/>
    </row>
    <row r="157" spans="1:62" x14ac:dyDescent="0.35">
      <c r="A157" s="118"/>
      <c r="B157" s="30" t="s">
        <v>27</v>
      </c>
      <c r="C157" s="6" t="s">
        <v>5</v>
      </c>
      <c r="D157" s="6" t="s">
        <v>312</v>
      </c>
      <c r="E157" s="6" t="s">
        <v>319</v>
      </c>
      <c r="F157" s="6">
        <v>1030816</v>
      </c>
      <c r="G157" s="8" t="s">
        <v>61</v>
      </c>
      <c r="H157" s="129">
        <v>8000</v>
      </c>
      <c r="I157" s="129">
        <v>1536</v>
      </c>
      <c r="J157" s="9">
        <v>0</v>
      </c>
      <c r="K157" s="9">
        <v>1648</v>
      </c>
      <c r="L157" s="100">
        <v>316.416</v>
      </c>
      <c r="M157" s="10">
        <v>0.20599999999999999</v>
      </c>
      <c r="N157" s="100">
        <v>1219.5840000000001</v>
      </c>
      <c r="O157" s="100">
        <v>42299956</v>
      </c>
      <c r="P157" s="10">
        <v>961363.63636363635</v>
      </c>
      <c r="Q157" s="6">
        <v>14040</v>
      </c>
      <c r="R157" s="6">
        <v>0</v>
      </c>
      <c r="S157" s="6">
        <v>14040</v>
      </c>
      <c r="T157" s="6">
        <v>0</v>
      </c>
      <c r="U157" s="6">
        <v>0</v>
      </c>
      <c r="V157" s="6">
        <v>0</v>
      </c>
      <c r="W157" s="6">
        <v>0</v>
      </c>
      <c r="X157" s="9">
        <v>8000</v>
      </c>
      <c r="Y157" s="9">
        <v>52.65</v>
      </c>
      <c r="Z157" s="9">
        <v>-7688</v>
      </c>
      <c r="AA157" s="132">
        <v>17920</v>
      </c>
      <c r="AB157" s="132">
        <v>31449.600000000002</v>
      </c>
      <c r="AC157" s="11">
        <v>1.9609999999999999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/>
      <c r="BJ157" s="31"/>
    </row>
    <row r="158" spans="1:62" ht="12.75" customHeight="1" x14ac:dyDescent="0.35">
      <c r="A158" s="118"/>
      <c r="B158" s="30" t="s">
        <v>1</v>
      </c>
      <c r="C158" s="6" t="s">
        <v>50</v>
      </c>
      <c r="D158" s="6" t="s">
        <v>310</v>
      </c>
      <c r="E158" s="6" t="s">
        <v>403</v>
      </c>
      <c r="F158" s="6">
        <v>1076301</v>
      </c>
      <c r="G158" s="8" t="s">
        <v>691</v>
      </c>
      <c r="H158" s="129">
        <v>19270.129703929786</v>
      </c>
      <c r="I158" s="129">
        <v>2505.1168615108722</v>
      </c>
      <c r="J158" s="9">
        <v>407</v>
      </c>
      <c r="K158" s="9">
        <v>8529</v>
      </c>
      <c r="L158" s="100">
        <v>1108.77</v>
      </c>
      <c r="M158" s="10">
        <v>0.49491104349209986</v>
      </c>
      <c r="N158" s="100">
        <v>1396.3468615108723</v>
      </c>
      <c r="O158" s="100">
        <v>0</v>
      </c>
      <c r="P158" s="10">
        <v>0.70781394122247632</v>
      </c>
      <c r="Q158" s="6">
        <v>35543</v>
      </c>
      <c r="R158" s="6">
        <v>1008</v>
      </c>
      <c r="S158" s="6">
        <v>34535</v>
      </c>
      <c r="T158" s="6">
        <v>0</v>
      </c>
      <c r="U158" s="6">
        <v>0</v>
      </c>
      <c r="V158" s="6">
        <v>0</v>
      </c>
      <c r="W158" s="6">
        <v>0</v>
      </c>
      <c r="X158" s="9">
        <v>19270.129703929786</v>
      </c>
      <c r="Y158" s="9">
        <v>53.764557681659859</v>
      </c>
      <c r="Z158" s="9">
        <v>-24801.870296070214</v>
      </c>
      <c r="AA158" s="132">
        <v>87679.090152880526</v>
      </c>
      <c r="AB158" s="132">
        <v>157134.25</v>
      </c>
      <c r="AC158" s="11">
        <v>2.2870629662140951</v>
      </c>
      <c r="AD158" s="71"/>
      <c r="AE158" s="71">
        <v>0</v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 t="s">
        <v>1</v>
      </c>
      <c r="BJ158" s="31"/>
    </row>
    <row r="159" spans="1:62" ht="12.75" customHeight="1" x14ac:dyDescent="0.35">
      <c r="A159" s="118"/>
      <c r="B159" s="30" t="s">
        <v>31</v>
      </c>
      <c r="C159" s="6" t="s">
        <v>5</v>
      </c>
      <c r="D159" s="6" t="s">
        <v>306</v>
      </c>
      <c r="E159" s="6" t="s">
        <v>307</v>
      </c>
      <c r="F159" s="6">
        <v>1071169</v>
      </c>
      <c r="G159" s="8" t="s">
        <v>601</v>
      </c>
      <c r="H159" s="129">
        <v>20963.360076706809</v>
      </c>
      <c r="I159" s="129">
        <v>3773.4048138072253</v>
      </c>
      <c r="J159" s="9">
        <v>1</v>
      </c>
      <c r="K159" s="9">
        <v>8365</v>
      </c>
      <c r="L159" s="100">
        <v>1505.7</v>
      </c>
      <c r="M159" s="10">
        <v>0.48260393195465767</v>
      </c>
      <c r="N159" s="100">
        <v>2267.704813807225</v>
      </c>
      <c r="O159" s="100">
        <v>2.3007324341404778</v>
      </c>
      <c r="P159" s="10">
        <v>1.0766910811380159</v>
      </c>
      <c r="Q159" s="6">
        <v>39389</v>
      </c>
      <c r="R159" s="6">
        <v>1752</v>
      </c>
      <c r="S159" s="6">
        <v>37637</v>
      </c>
      <c r="T159" s="6">
        <v>0</v>
      </c>
      <c r="U159" s="6">
        <v>0</v>
      </c>
      <c r="V159" s="6">
        <v>0</v>
      </c>
      <c r="W159" s="6">
        <v>0</v>
      </c>
      <c r="X159" s="9">
        <v>20963.360076706809</v>
      </c>
      <c r="Y159" s="9">
        <v>53.861117486342152</v>
      </c>
      <c r="Z159" s="9">
        <v>-26790.639923293191</v>
      </c>
      <c r="AA159" s="132">
        <v>92867.685139811161</v>
      </c>
      <c r="AB159" s="132">
        <v>166731.91</v>
      </c>
      <c r="AC159" s="11">
        <v>2.2779745148327293</v>
      </c>
      <c r="AD159" s="71"/>
      <c r="AE159" s="71">
        <v>45.406639004149376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21</v>
      </c>
      <c r="C160" s="6" t="s">
        <v>5</v>
      </c>
      <c r="D160" s="6" t="s">
        <v>396</v>
      </c>
      <c r="E160" s="6" t="s">
        <v>307</v>
      </c>
      <c r="F160" s="6">
        <v>1063071</v>
      </c>
      <c r="G160" s="8" t="s">
        <v>444</v>
      </c>
      <c r="H160" s="129">
        <v>1361.1952223581898</v>
      </c>
      <c r="I160" s="129">
        <v>680.59761117909488</v>
      </c>
      <c r="J160" s="9">
        <v>13.016</v>
      </c>
      <c r="K160" s="9">
        <v>625</v>
      </c>
      <c r="L160" s="100">
        <v>312.5</v>
      </c>
      <c r="M160" s="10">
        <v>0.4591552995001148</v>
      </c>
      <c r="N160" s="100">
        <v>368.09761117909488</v>
      </c>
      <c r="O160" s="100">
        <v>0</v>
      </c>
      <c r="P160" s="10">
        <v>0.44765141636343875</v>
      </c>
      <c r="Q160" s="6">
        <v>2503</v>
      </c>
      <c r="R160" s="6">
        <v>0</v>
      </c>
      <c r="S160" s="6">
        <v>2503</v>
      </c>
      <c r="T160" s="6">
        <v>0</v>
      </c>
      <c r="U160" s="6">
        <v>0</v>
      </c>
      <c r="V160" s="6">
        <v>0</v>
      </c>
      <c r="W160" s="6">
        <v>0</v>
      </c>
      <c r="X160" s="9">
        <v>1361.1952223581898</v>
      </c>
      <c r="Y160" s="9">
        <v>55.164754303141791</v>
      </c>
      <c r="Z160" s="9">
        <v>-1766.8047776418102</v>
      </c>
      <c r="AA160" s="132">
        <v>6833.2000162381119</v>
      </c>
      <c r="AB160" s="132">
        <v>12565.06</v>
      </c>
      <c r="AC160" s="11">
        <v>2.2979804429381749</v>
      </c>
      <c r="AD160" s="71"/>
      <c r="AE160" s="71">
        <v>0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2" t="s">
        <v>1</v>
      </c>
      <c r="BJ160" s="31"/>
    </row>
    <row r="161" spans="1:62" ht="12.75" customHeight="1" x14ac:dyDescent="0.35">
      <c r="A161" s="118"/>
      <c r="B161" s="30" t="s">
        <v>31</v>
      </c>
      <c r="C161" s="6" t="s">
        <v>5</v>
      </c>
      <c r="D161" s="6" t="s">
        <v>396</v>
      </c>
      <c r="E161" s="6" t="s">
        <v>397</v>
      </c>
      <c r="F161" s="6">
        <v>1071794</v>
      </c>
      <c r="G161" s="8" t="s">
        <v>660</v>
      </c>
      <c r="H161" s="129">
        <v>200</v>
      </c>
      <c r="I161" s="129">
        <v>100</v>
      </c>
      <c r="J161" s="9">
        <v>0</v>
      </c>
      <c r="K161" s="9">
        <v>150</v>
      </c>
      <c r="L161" s="100">
        <v>75</v>
      </c>
      <c r="M161" s="10">
        <v>0.93</v>
      </c>
      <c r="N161" s="100">
        <v>25</v>
      </c>
      <c r="O161" s="100">
        <v>0.58570394806390269</v>
      </c>
      <c r="P161" s="10">
        <v>1.0200734441053423</v>
      </c>
      <c r="Q161" s="6">
        <v>723</v>
      </c>
      <c r="R161" s="6">
        <v>36</v>
      </c>
      <c r="S161" s="6">
        <v>687</v>
      </c>
      <c r="T161" s="6">
        <v>0</v>
      </c>
      <c r="U161" s="6">
        <v>0</v>
      </c>
      <c r="V161" s="6">
        <v>0</v>
      </c>
      <c r="W161" s="6">
        <v>0</v>
      </c>
      <c r="X161" s="9">
        <v>343.38461538461542</v>
      </c>
      <c r="Y161" s="9">
        <v>60.020161290322577</v>
      </c>
      <c r="Z161" s="9">
        <v>-673</v>
      </c>
      <c r="AA161" s="132">
        <v>1358</v>
      </c>
      <c r="AB161" s="132">
        <v>4664.7300000000005</v>
      </c>
      <c r="AC161" s="11">
        <v>4.3650000000000002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/>
      <c r="BJ161" s="31"/>
    </row>
    <row r="162" spans="1:62" ht="12.75" customHeight="1" x14ac:dyDescent="0.35">
      <c r="A162" s="118"/>
      <c r="B162" s="30" t="s">
        <v>1</v>
      </c>
      <c r="C162" s="6" t="s">
        <v>2</v>
      </c>
      <c r="D162" s="6" t="s">
        <v>396</v>
      </c>
      <c r="E162" s="6" t="s">
        <v>397</v>
      </c>
      <c r="F162" s="6">
        <v>1043305</v>
      </c>
      <c r="G162" s="8" t="s">
        <v>128</v>
      </c>
      <c r="H162" s="129">
        <v>5589.9803373125123</v>
      </c>
      <c r="I162" s="129">
        <v>5589.9803373125123</v>
      </c>
      <c r="J162" s="9">
        <v>0</v>
      </c>
      <c r="K162" s="9">
        <v>855</v>
      </c>
      <c r="L162" s="100">
        <v>855</v>
      </c>
      <c r="M162" s="10">
        <v>0.16010789770153072</v>
      </c>
      <c r="N162" s="100">
        <v>4734.9803373125123</v>
      </c>
      <c r="O162" s="100">
        <v>0</v>
      </c>
      <c r="P162" s="10">
        <v>0</v>
      </c>
      <c r="Q162" s="6">
        <v>10386</v>
      </c>
      <c r="R162" s="6">
        <v>40</v>
      </c>
      <c r="S162" s="6">
        <v>10346</v>
      </c>
      <c r="T162" s="6">
        <v>0</v>
      </c>
      <c r="U162" s="6">
        <v>0</v>
      </c>
      <c r="V162" s="6">
        <v>0</v>
      </c>
      <c r="W162" s="6">
        <v>0</v>
      </c>
      <c r="X162" s="9">
        <v>5589.9803373125123</v>
      </c>
      <c r="Y162" s="9">
        <v>55.524345573855989</v>
      </c>
      <c r="Z162" s="9">
        <v>-5651.0196626874877</v>
      </c>
      <c r="AA162" s="132">
        <v>167028.61247889788</v>
      </c>
      <c r="AB162" s="132">
        <v>309138.48</v>
      </c>
      <c r="AC162" s="11">
        <v>2.0109194168300637</v>
      </c>
      <c r="AD162" s="71"/>
      <c r="AE162" s="71">
        <v>62.451143451143452</v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1</v>
      </c>
      <c r="C163" s="6" t="s">
        <v>2</v>
      </c>
      <c r="D163" s="6" t="s">
        <v>310</v>
      </c>
      <c r="E163" s="6" t="s">
        <v>311</v>
      </c>
      <c r="F163" s="123">
        <v>1080744</v>
      </c>
      <c r="G163" s="124" t="s">
        <v>765</v>
      </c>
      <c r="H163" s="129">
        <v>14333.811238200115</v>
      </c>
      <c r="I163" s="129">
        <v>2150.0716857300172</v>
      </c>
      <c r="J163" s="9">
        <v>0</v>
      </c>
      <c r="K163" s="9">
        <v>5147</v>
      </c>
      <c r="L163" s="100">
        <v>772.05</v>
      </c>
      <c r="M163" s="10">
        <v>0.36661568320330873</v>
      </c>
      <c r="N163" s="100">
        <v>1378.0216857300172</v>
      </c>
      <c r="O163" s="100">
        <v>0</v>
      </c>
      <c r="P163" s="10">
        <v>0</v>
      </c>
      <c r="Q163" s="6">
        <v>27098</v>
      </c>
      <c r="R163" s="6">
        <v>108</v>
      </c>
      <c r="S163" s="6">
        <v>26990</v>
      </c>
      <c r="T163" s="6">
        <v>0</v>
      </c>
      <c r="U163" s="6">
        <v>0</v>
      </c>
      <c r="V163" s="6">
        <v>0</v>
      </c>
      <c r="W163" s="6">
        <v>2688</v>
      </c>
      <c r="X163" s="9">
        <v>14333.811238200113</v>
      </c>
      <c r="Y163" s="9">
        <v>56.488814213076907</v>
      </c>
      <c r="Z163" s="9">
        <v>-17911.188761799887</v>
      </c>
      <c r="AA163" s="132">
        <v>35977.866207882282</v>
      </c>
      <c r="AB163" s="132">
        <v>74491.78</v>
      </c>
      <c r="AC163" s="11">
        <v>2.2495761569725388</v>
      </c>
      <c r="AD163" s="71"/>
      <c r="AE163" s="71">
        <v>40.312352692310292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</v>
      </c>
      <c r="D164" s="6" t="s">
        <v>310</v>
      </c>
      <c r="E164" s="6" t="s">
        <v>311</v>
      </c>
      <c r="F164" s="6">
        <v>1080399</v>
      </c>
      <c r="G164" s="8" t="s">
        <v>752</v>
      </c>
      <c r="H164" s="129">
        <v>13204.799999999997</v>
      </c>
      <c r="I164" s="129">
        <v>0</v>
      </c>
      <c r="J164" s="9">
        <v>1</v>
      </c>
      <c r="K164" s="9">
        <v>996</v>
      </c>
      <c r="L164" s="100">
        <v>0</v>
      </c>
      <c r="M164" s="10">
        <v>7.5502847449412352E-2</v>
      </c>
      <c r="N164" s="100">
        <v>0</v>
      </c>
      <c r="O164" s="100">
        <v>26.394092181603455</v>
      </c>
      <c r="P164" s="10">
        <v>1.9005631167079649</v>
      </c>
      <c r="Q164" s="6">
        <v>24905</v>
      </c>
      <c r="R164" s="6">
        <v>1</v>
      </c>
      <c r="S164" s="6">
        <v>24904</v>
      </c>
      <c r="T164" s="6">
        <v>0</v>
      </c>
      <c r="U164" s="6">
        <v>0</v>
      </c>
      <c r="V164" s="6">
        <v>0</v>
      </c>
      <c r="W164" s="6">
        <v>0</v>
      </c>
      <c r="X164" s="9">
        <v>13204.8</v>
      </c>
      <c r="Y164" s="9">
        <v>56.579425663395135</v>
      </c>
      <c r="Z164" s="9">
        <v>-12696.200000000003</v>
      </c>
      <c r="AA164" s="132">
        <v>29578.751999999997</v>
      </c>
      <c r="AB164" s="132">
        <v>55784.960000000006</v>
      </c>
      <c r="AC164" s="11">
        <v>1.9614837028959169</v>
      </c>
      <c r="AD164" s="71"/>
      <c r="AE164" s="71" t="s">
        <v>574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2" t="s">
        <v>1</v>
      </c>
      <c r="BJ164" s="31"/>
    </row>
    <row r="165" spans="1:62" ht="12.75" customHeight="1" x14ac:dyDescent="0.35">
      <c r="A165" s="118"/>
      <c r="B165" s="30" t="s">
        <v>4</v>
      </c>
      <c r="C165" s="6" t="s">
        <v>5</v>
      </c>
      <c r="D165" s="6" t="s">
        <v>308</v>
      </c>
      <c r="E165" s="6" t="s">
        <v>314</v>
      </c>
      <c r="F165" s="6">
        <v>1075138</v>
      </c>
      <c r="G165" s="8" t="s">
        <v>664</v>
      </c>
      <c r="H165" s="129">
        <v>2721.3864470982403</v>
      </c>
      <c r="I165" s="129">
        <v>65.313274730357762</v>
      </c>
      <c r="J165" s="9">
        <v>0</v>
      </c>
      <c r="K165" s="9">
        <v>2040</v>
      </c>
      <c r="L165" s="100">
        <v>48.96</v>
      </c>
      <c r="M165" s="10">
        <v>0.99214134136625676</v>
      </c>
      <c r="N165" s="100">
        <v>16.353274730357761</v>
      </c>
      <c r="O165" s="100">
        <v>0</v>
      </c>
      <c r="P165" s="10">
        <v>0.6847605468400163</v>
      </c>
      <c r="Q165" s="6">
        <v>10904</v>
      </c>
      <c r="R165" s="6">
        <v>660</v>
      </c>
      <c r="S165" s="6">
        <v>10244</v>
      </c>
      <c r="T165" s="6">
        <v>0</v>
      </c>
      <c r="U165" s="6">
        <v>0</v>
      </c>
      <c r="V165" s="6">
        <v>0</v>
      </c>
      <c r="W165" s="6">
        <v>0</v>
      </c>
      <c r="X165" s="9">
        <v>4984.6153846153848</v>
      </c>
      <c r="Y165" s="9">
        <v>61.653703703703705</v>
      </c>
      <c r="Z165" s="9">
        <v>-10222.613552901759</v>
      </c>
      <c r="AA165" s="132">
        <v>1034.1268498973313</v>
      </c>
      <c r="AB165" s="132">
        <v>3892.7200000000003</v>
      </c>
      <c r="AC165" s="11">
        <v>4.7563990824610478</v>
      </c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/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123">
        <v>1080748</v>
      </c>
      <c r="G166" s="124" t="s">
        <v>768</v>
      </c>
      <c r="H166" s="129">
        <v>3083.5175950684861</v>
      </c>
      <c r="I166" s="129">
        <v>1850.1105570410916</v>
      </c>
      <c r="J166" s="9">
        <v>2</v>
      </c>
      <c r="K166" s="9">
        <v>1952</v>
      </c>
      <c r="L166" s="100">
        <v>1171.2</v>
      </c>
      <c r="M166" s="10">
        <v>0.65444737634298444</v>
      </c>
      <c r="N166" s="100">
        <v>678.91055704109158</v>
      </c>
      <c r="O166" s="100">
        <v>0</v>
      </c>
      <c r="P166" s="10">
        <v>0.72454729574609511</v>
      </c>
      <c r="Q166" s="6">
        <v>7730</v>
      </c>
      <c r="R166" s="6">
        <v>66</v>
      </c>
      <c r="S166" s="6">
        <v>7664</v>
      </c>
      <c r="T166" s="6">
        <v>0</v>
      </c>
      <c r="U166" s="6">
        <v>0</v>
      </c>
      <c r="V166" s="6">
        <v>0</v>
      </c>
      <c r="W166" s="6">
        <v>0</v>
      </c>
      <c r="X166" s="9">
        <v>3725.5384615384619</v>
      </c>
      <c r="Y166" s="9">
        <v>61.714568880079284</v>
      </c>
      <c r="Z166" s="9">
        <v>-6598.4824049315139</v>
      </c>
      <c r="AA166" s="132">
        <v>44340.983017084836</v>
      </c>
      <c r="AB166" s="132">
        <v>110208.32000000001</v>
      </c>
      <c r="AC166" s="11">
        <v>3.1399204646941405</v>
      </c>
      <c r="AD166" s="71"/>
      <c r="AE166" s="71" t="s">
        <v>574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27</v>
      </c>
      <c r="C167" s="6" t="s">
        <v>5</v>
      </c>
      <c r="D167" s="6" t="s">
        <v>312</v>
      </c>
      <c r="E167" s="6" t="s">
        <v>313</v>
      </c>
      <c r="F167" s="6">
        <v>1081304</v>
      </c>
      <c r="G167" s="8" t="s">
        <v>747</v>
      </c>
      <c r="H167" s="129">
        <v>20006.320991402186</v>
      </c>
      <c r="I167" s="129">
        <v>4561.4411860396986</v>
      </c>
      <c r="J167" s="9">
        <v>13</v>
      </c>
      <c r="K167" s="9">
        <v>24775</v>
      </c>
      <c r="L167" s="100">
        <v>5648.7</v>
      </c>
      <c r="M167" s="10">
        <v>1.314834447138217</v>
      </c>
      <c r="N167" s="100">
        <v>1087.2588139603013</v>
      </c>
      <c r="O167" s="100">
        <v>0</v>
      </c>
      <c r="P167" s="10">
        <v>0.55909134072274513</v>
      </c>
      <c r="Q167" s="6">
        <v>101676</v>
      </c>
      <c r="R167" s="6">
        <v>1530</v>
      </c>
      <c r="S167" s="6">
        <v>100146</v>
      </c>
      <c r="T167" s="6">
        <v>0</v>
      </c>
      <c r="U167" s="6">
        <v>150</v>
      </c>
      <c r="V167" s="6">
        <v>0</v>
      </c>
      <c r="W167" s="6">
        <v>0</v>
      </c>
      <c r="X167" s="9">
        <v>48563.076923076915</v>
      </c>
      <c r="Y167" s="9">
        <v>61.865519863143895</v>
      </c>
      <c r="Z167" s="9">
        <v>-106444.67900859781</v>
      </c>
      <c r="AA167" s="132">
        <v>39612.515562976332</v>
      </c>
      <c r="AB167" s="132">
        <v>198586.08</v>
      </c>
      <c r="AC167" s="11">
        <v>6.3205523921336129</v>
      </c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15</v>
      </c>
      <c r="C168" s="6" t="s">
        <v>5</v>
      </c>
      <c r="D168" s="6" t="s">
        <v>312</v>
      </c>
      <c r="E168" s="6" t="s">
        <v>315</v>
      </c>
      <c r="F168" s="6">
        <v>1078687</v>
      </c>
      <c r="G168" s="8" t="s">
        <v>709</v>
      </c>
      <c r="H168" s="173">
        <v>1713.0487804878048</v>
      </c>
      <c r="I168" s="129">
        <v>596.14097560975608</v>
      </c>
      <c r="J168" s="9">
        <v>0</v>
      </c>
      <c r="K168" s="9">
        <v>479</v>
      </c>
      <c r="L168" s="100">
        <v>166.69199999999998</v>
      </c>
      <c r="M168" s="10">
        <v>0.3374101231579697</v>
      </c>
      <c r="N168" s="100">
        <v>429.44897560975608</v>
      </c>
      <c r="O168" s="100">
        <v>0</v>
      </c>
      <c r="P168" s="10">
        <v>0</v>
      </c>
      <c r="Q168" s="6">
        <v>3524</v>
      </c>
      <c r="R168" s="6">
        <v>99</v>
      </c>
      <c r="S168" s="6">
        <v>3425</v>
      </c>
      <c r="T168" s="6">
        <v>0</v>
      </c>
      <c r="U168" s="6">
        <v>0</v>
      </c>
      <c r="V168" s="6">
        <v>0</v>
      </c>
      <c r="W168" s="6">
        <v>0</v>
      </c>
      <c r="X168" s="9">
        <v>1713.0487804878048</v>
      </c>
      <c r="Y168" s="9">
        <v>59.980778813981637</v>
      </c>
      <c r="Z168" s="9">
        <v>-2289.9512195121952</v>
      </c>
      <c r="AA168" s="132">
        <v>7999.9378048780482</v>
      </c>
      <c r="AB168" s="132">
        <v>15994.75</v>
      </c>
      <c r="AC168" s="11">
        <v>2.3367694169573574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2"/>
      <c r="BJ168" s="31"/>
    </row>
    <row r="169" spans="1:62" ht="12.75" customHeight="1" x14ac:dyDescent="0.35">
      <c r="A169" s="118"/>
      <c r="B169" s="30" t="s">
        <v>1</v>
      </c>
      <c r="C169" s="6" t="s">
        <v>2</v>
      </c>
      <c r="D169" s="6" t="s">
        <v>310</v>
      </c>
      <c r="E169" s="6" t="s">
        <v>311</v>
      </c>
      <c r="F169" s="61">
        <v>1068803</v>
      </c>
      <c r="G169" s="70" t="s">
        <v>561</v>
      </c>
      <c r="H169" s="129">
        <v>23339.174123599438</v>
      </c>
      <c r="I169" s="129">
        <v>3500.8761185399158</v>
      </c>
      <c r="J169" s="9">
        <v>37</v>
      </c>
      <c r="K169" s="9">
        <v>9362</v>
      </c>
      <c r="L169" s="100">
        <v>1404.3</v>
      </c>
      <c r="M169" s="10">
        <v>0.40477010668717933</v>
      </c>
      <c r="N169" s="100">
        <v>2096.576118539916</v>
      </c>
      <c r="O169" s="100">
        <v>123.65622599121473</v>
      </c>
      <c r="P169" s="10">
        <v>5.1218741997071575</v>
      </c>
      <c r="Q169" s="6">
        <v>47960</v>
      </c>
      <c r="R169" s="6">
        <v>85</v>
      </c>
      <c r="S169" s="6">
        <v>47875</v>
      </c>
      <c r="T169" s="6">
        <v>0</v>
      </c>
      <c r="U169" s="6">
        <v>1</v>
      </c>
      <c r="V169" s="6">
        <v>0</v>
      </c>
      <c r="W169" s="6">
        <v>6021</v>
      </c>
      <c r="X169" s="9">
        <v>23339.174123599438</v>
      </c>
      <c r="Y169" s="9">
        <v>61.538167220224551</v>
      </c>
      <c r="Z169" s="9">
        <v>-33982.825876400559</v>
      </c>
      <c r="AA169" s="132">
        <v>49945.8326245028</v>
      </c>
      <c r="AB169" s="132">
        <v>115339.58</v>
      </c>
      <c r="AC169" s="11">
        <v>2.4560423473613309</v>
      </c>
      <c r="AD169" s="71"/>
      <c r="AE169" s="71">
        <v>21.299374464661145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1</v>
      </c>
      <c r="C170" s="6" t="s">
        <v>24</v>
      </c>
      <c r="D170" s="6" t="s">
        <v>316</v>
      </c>
      <c r="E170" s="6" t="s">
        <v>317</v>
      </c>
      <c r="F170" s="6">
        <v>1032134</v>
      </c>
      <c r="G170" s="8" t="s">
        <v>25</v>
      </c>
      <c r="H170" s="129">
        <v>1607.210444282189</v>
      </c>
      <c r="I170" s="129">
        <v>273.22577552797213</v>
      </c>
      <c r="J170" s="9">
        <v>5</v>
      </c>
      <c r="K170" s="9">
        <v>319</v>
      </c>
      <c r="L170" s="100">
        <v>54.230000000000004</v>
      </c>
      <c r="M170" s="10">
        <v>0.37020665347016113</v>
      </c>
      <c r="N170" s="100">
        <v>218.99577552797211</v>
      </c>
      <c r="O170" s="100">
        <v>0</v>
      </c>
      <c r="P170" s="10">
        <v>0.99707133258995295</v>
      </c>
      <c r="Q170" s="6">
        <v>3579</v>
      </c>
      <c r="R170" s="6">
        <v>276</v>
      </c>
      <c r="S170" s="6">
        <v>3303</v>
      </c>
      <c r="T170" s="6">
        <v>0</v>
      </c>
      <c r="U170" s="6">
        <v>0</v>
      </c>
      <c r="V170" s="6">
        <v>0</v>
      </c>
      <c r="W170" s="6">
        <v>0</v>
      </c>
      <c r="X170" s="9">
        <v>1607.210444282189</v>
      </c>
      <c r="Y170" s="9">
        <v>61.653407214047505</v>
      </c>
      <c r="Z170" s="9">
        <v>-2290.7895557178108</v>
      </c>
      <c r="AA170" s="132">
        <v>18611.496944787748</v>
      </c>
      <c r="AB170" s="132">
        <v>38248.74</v>
      </c>
      <c r="AC170" s="11">
        <v>2.4253202272717447</v>
      </c>
      <c r="AD170" s="71"/>
      <c r="AE170" s="71">
        <v>9.4224010042222996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9</v>
      </c>
      <c r="C171" s="6" t="s">
        <v>5</v>
      </c>
      <c r="D171" s="6" t="s">
        <v>308</v>
      </c>
      <c r="E171" s="6" t="s">
        <v>315</v>
      </c>
      <c r="F171" s="133">
        <v>1080402</v>
      </c>
      <c r="G171" s="134" t="s">
        <v>742</v>
      </c>
      <c r="H171" s="129">
        <v>4379.9479256411914</v>
      </c>
      <c r="I171" s="129">
        <v>875.98958512823833</v>
      </c>
      <c r="J171" s="9">
        <v>1</v>
      </c>
      <c r="K171" s="9">
        <v>721</v>
      </c>
      <c r="L171" s="100">
        <v>144.20000000000002</v>
      </c>
      <c r="M171" s="10">
        <v>0.19634936638524131</v>
      </c>
      <c r="N171" s="100">
        <v>731.78958512823829</v>
      </c>
      <c r="O171" s="100">
        <v>39.241622511709515</v>
      </c>
      <c r="P171" s="10">
        <v>2.3080540837236505</v>
      </c>
      <c r="Q171" s="6">
        <v>9229</v>
      </c>
      <c r="R171" s="6">
        <v>139</v>
      </c>
      <c r="S171" s="6">
        <v>9090</v>
      </c>
      <c r="T171" s="6">
        <v>0</v>
      </c>
      <c r="U171" s="6">
        <v>0</v>
      </c>
      <c r="V171" s="6">
        <v>0</v>
      </c>
      <c r="W171" s="6">
        <v>0</v>
      </c>
      <c r="X171" s="9">
        <v>4379.9479256411914</v>
      </c>
      <c r="Y171" s="9">
        <v>62.261014201459659</v>
      </c>
      <c r="Z171" s="9">
        <v>-5570.0520743588086</v>
      </c>
      <c r="AA171" s="132">
        <v>28513.460995924157</v>
      </c>
      <c r="AB171" s="132">
        <v>59175.9</v>
      </c>
      <c r="AC171" s="11">
        <v>2.2717165064338967</v>
      </c>
      <c r="AD171" s="71"/>
      <c r="AE171" s="71">
        <v>104.89112227805695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</v>
      </c>
      <c r="C172" s="6" t="s">
        <v>24</v>
      </c>
      <c r="D172" s="6" t="s">
        <v>316</v>
      </c>
      <c r="E172" s="6" t="s">
        <v>317</v>
      </c>
      <c r="F172" s="6">
        <v>1003496</v>
      </c>
      <c r="G172" s="8" t="s">
        <v>280</v>
      </c>
      <c r="H172" s="129">
        <v>4054.4483973268702</v>
      </c>
      <c r="I172" s="129">
        <v>202.72241986634353</v>
      </c>
      <c r="J172" s="9">
        <v>1</v>
      </c>
      <c r="K172" s="9">
        <v>1177</v>
      </c>
      <c r="L172" s="100">
        <v>58.85</v>
      </c>
      <c r="M172" s="10">
        <v>0.39092864051371401</v>
      </c>
      <c r="N172" s="100">
        <v>143.87241986634353</v>
      </c>
      <c r="O172" s="100">
        <v>0</v>
      </c>
      <c r="P172" s="10">
        <v>0.89159264567720198</v>
      </c>
      <c r="Q172" s="6">
        <v>9025</v>
      </c>
      <c r="R172" s="6">
        <v>408</v>
      </c>
      <c r="S172" s="6">
        <v>8617</v>
      </c>
      <c r="T172" s="6">
        <v>0</v>
      </c>
      <c r="U172" s="6">
        <v>0</v>
      </c>
      <c r="V172" s="6">
        <v>0</v>
      </c>
      <c r="W172" s="6">
        <v>0</v>
      </c>
      <c r="X172" s="9">
        <v>4054.4483973268702</v>
      </c>
      <c r="Y172" s="9">
        <v>63.759598018422842</v>
      </c>
      <c r="Z172" s="9">
        <v>-6147.5516026731293</v>
      </c>
      <c r="AA172" s="132">
        <v>17515.217076452082</v>
      </c>
      <c r="AB172" s="132">
        <v>37225.440000000002</v>
      </c>
      <c r="AC172" s="11">
        <v>2.5162485744611418</v>
      </c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2"/>
      <c r="BJ172" s="31" t="s">
        <v>832</v>
      </c>
    </row>
    <row r="173" spans="1:62" ht="12.75" customHeight="1" x14ac:dyDescent="0.35">
      <c r="A173" s="118"/>
      <c r="B173" s="30" t="s">
        <v>21</v>
      </c>
      <c r="C173" s="6" t="s">
        <v>5</v>
      </c>
      <c r="D173" s="6" t="s">
        <v>308</v>
      </c>
      <c r="E173" s="6" t="s">
        <v>395</v>
      </c>
      <c r="F173" s="6">
        <v>1069726</v>
      </c>
      <c r="G173" s="8" t="s">
        <v>569</v>
      </c>
      <c r="H173" s="129">
        <v>2383.2202517347187</v>
      </c>
      <c r="I173" s="129">
        <v>1191.6101258673593</v>
      </c>
      <c r="J173" s="9">
        <v>1</v>
      </c>
      <c r="K173" s="9">
        <v>1211</v>
      </c>
      <c r="L173" s="100">
        <v>605.5</v>
      </c>
      <c r="M173" s="10">
        <v>0.6067420746980785</v>
      </c>
      <c r="N173" s="100">
        <v>586.11012586735933</v>
      </c>
      <c r="O173" s="100">
        <v>15.713474904042513</v>
      </c>
      <c r="P173" s="10">
        <v>1.3755081370199564</v>
      </c>
      <c r="Q173" s="6">
        <v>6571</v>
      </c>
      <c r="R173" s="6">
        <v>235</v>
      </c>
      <c r="S173" s="6">
        <v>6336</v>
      </c>
      <c r="T173" s="6">
        <v>0</v>
      </c>
      <c r="U173" s="6">
        <v>0</v>
      </c>
      <c r="V173" s="6">
        <v>0</v>
      </c>
      <c r="W173" s="6">
        <v>0</v>
      </c>
      <c r="X173" s="9">
        <v>2669.5384615384623</v>
      </c>
      <c r="Y173" s="9">
        <v>71.203319502074663</v>
      </c>
      <c r="Z173" s="9">
        <v>-5398.7797482652813</v>
      </c>
      <c r="AA173" s="132">
        <v>42659.642506051459</v>
      </c>
      <c r="AB173" s="132">
        <v>113414.39999999999</v>
      </c>
      <c r="AC173" s="11">
        <v>3.2653297547029365</v>
      </c>
      <c r="AD173" s="71"/>
      <c r="AE173" s="71">
        <v>4.154447115384615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 t="s">
        <v>1</v>
      </c>
      <c r="BJ173" s="31"/>
    </row>
    <row r="174" spans="1:62" ht="12.75" customHeight="1" x14ac:dyDescent="0.35">
      <c r="A174" s="118"/>
      <c r="B174" s="30" t="s">
        <v>15</v>
      </c>
      <c r="C174" s="6" t="s">
        <v>5</v>
      </c>
      <c r="D174" s="6" t="s">
        <v>312</v>
      </c>
      <c r="E174" s="6" t="s">
        <v>315</v>
      </c>
      <c r="F174" s="6">
        <v>1080723</v>
      </c>
      <c r="G174" s="8" t="s">
        <v>737</v>
      </c>
      <c r="H174" s="129">
        <v>240</v>
      </c>
      <c r="I174" s="129">
        <v>11.28</v>
      </c>
      <c r="J174" s="9">
        <v>0</v>
      </c>
      <c r="K174" s="9">
        <v>0</v>
      </c>
      <c r="L174" s="100">
        <v>0</v>
      </c>
      <c r="M174" s="10">
        <v>0</v>
      </c>
      <c r="N174" s="100">
        <v>11.28</v>
      </c>
      <c r="O174" s="100">
        <v>0</v>
      </c>
      <c r="P174" s="10">
        <v>3.3546124797698251E-2</v>
      </c>
      <c r="Q174" s="6">
        <v>528</v>
      </c>
      <c r="R174" s="6">
        <v>0</v>
      </c>
      <c r="S174" s="6">
        <v>528</v>
      </c>
      <c r="T174" s="6">
        <v>0</v>
      </c>
      <c r="U174" s="6">
        <v>0</v>
      </c>
      <c r="V174" s="6">
        <v>0</v>
      </c>
      <c r="W174" s="6">
        <v>0</v>
      </c>
      <c r="X174" s="9">
        <v>240</v>
      </c>
      <c r="Y174" s="9">
        <v>66</v>
      </c>
      <c r="Z174" s="9">
        <v>-288</v>
      </c>
      <c r="AA174" s="132">
        <v>156</v>
      </c>
      <c r="AB174" s="132">
        <v>343.2</v>
      </c>
      <c r="AC174" s="11">
        <v>2.2000000000000002</v>
      </c>
      <c r="AD174" s="71"/>
      <c r="AE174" s="71">
        <v>21.992222251817914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2" t="s">
        <v>1</v>
      </c>
      <c r="BJ174" s="31"/>
    </row>
    <row r="175" spans="1:62" ht="12.75" customHeight="1" x14ac:dyDescent="0.35">
      <c r="A175" s="118"/>
      <c r="B175" s="30" t="s">
        <v>15</v>
      </c>
      <c r="C175" s="6" t="s">
        <v>5</v>
      </c>
      <c r="D175" s="6" t="s">
        <v>312</v>
      </c>
      <c r="E175" s="6" t="s">
        <v>315</v>
      </c>
      <c r="F175" s="61">
        <v>1080722</v>
      </c>
      <c r="G175" s="70" t="s">
        <v>736</v>
      </c>
      <c r="H175" s="129">
        <v>5472.9268292682927</v>
      </c>
      <c r="I175" s="129">
        <v>1543.3653658536584</v>
      </c>
      <c r="J175" s="9">
        <v>0</v>
      </c>
      <c r="K175" s="9">
        <v>16</v>
      </c>
      <c r="L175" s="100">
        <v>4.5119999999999996</v>
      </c>
      <c r="M175" s="10">
        <v>1.5713712732296447E-2</v>
      </c>
      <c r="N175" s="100">
        <v>1538.8533658536585</v>
      </c>
      <c r="O175" s="100">
        <v>17.831539884505236</v>
      </c>
      <c r="P175" s="10">
        <v>1.750603966600089</v>
      </c>
      <c r="Q175" s="6">
        <v>12211</v>
      </c>
      <c r="R175" s="6">
        <v>70</v>
      </c>
      <c r="S175" s="6">
        <v>12141</v>
      </c>
      <c r="T175" s="6">
        <v>0</v>
      </c>
      <c r="U175" s="6">
        <v>0</v>
      </c>
      <c r="V175" s="6">
        <v>0</v>
      </c>
      <c r="W175" s="6">
        <v>0</v>
      </c>
      <c r="X175" s="9">
        <v>5472.9268292682927</v>
      </c>
      <c r="Y175" s="9">
        <v>66.551227773073663</v>
      </c>
      <c r="Z175" s="9">
        <v>-6754.0731707317073</v>
      </c>
      <c r="AA175" s="132">
        <v>23369.397560975609</v>
      </c>
      <c r="AB175" s="132">
        <v>51842.069999999992</v>
      </c>
      <c r="AC175" s="11">
        <v>2.2340879718347519</v>
      </c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/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308</v>
      </c>
      <c r="E176" s="6" t="s">
        <v>315</v>
      </c>
      <c r="F176" s="6">
        <v>1058339</v>
      </c>
      <c r="G176" s="8" t="s">
        <v>232</v>
      </c>
      <c r="H176" s="129">
        <v>272.55457483929598</v>
      </c>
      <c r="I176" s="129">
        <v>85.037027349860352</v>
      </c>
      <c r="J176" s="9">
        <v>1</v>
      </c>
      <c r="K176" s="9">
        <v>517</v>
      </c>
      <c r="L176" s="100">
        <v>161.304</v>
      </c>
      <c r="M176" s="10">
        <v>1.8968678119045856</v>
      </c>
      <c r="N176" s="100">
        <v>76.26697265013965</v>
      </c>
      <c r="O176" s="100">
        <v>24.786011668915812</v>
      </c>
      <c r="P176" s="10">
        <v>1.8538502089624427</v>
      </c>
      <c r="Q176" s="6">
        <v>2322</v>
      </c>
      <c r="R176" s="6">
        <v>0</v>
      </c>
      <c r="S176" s="6">
        <v>2322</v>
      </c>
      <c r="T176" s="6">
        <v>0</v>
      </c>
      <c r="U176" s="6">
        <v>0</v>
      </c>
      <c r="V176" s="6">
        <v>0</v>
      </c>
      <c r="W176" s="6">
        <v>0</v>
      </c>
      <c r="X176" s="9">
        <v>954.46153846153845</v>
      </c>
      <c r="Y176" s="9">
        <v>72.983558994197296</v>
      </c>
      <c r="Z176" s="9">
        <v>-2566.445425160704</v>
      </c>
      <c r="AA176" s="132">
        <v>1324.6152337189785</v>
      </c>
      <c r="AB176" s="132">
        <v>11284.92</v>
      </c>
      <c r="AC176" s="11">
        <v>10.416262510632725</v>
      </c>
      <c r="AD176" s="71"/>
      <c r="AE176" s="71">
        <v>0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15</v>
      </c>
      <c r="C177" s="6" t="s">
        <v>5</v>
      </c>
      <c r="D177" s="6" t="s">
        <v>308</v>
      </c>
      <c r="E177" s="6" t="s">
        <v>315</v>
      </c>
      <c r="F177" s="6">
        <v>1071558</v>
      </c>
      <c r="G177" s="8" t="s">
        <v>589</v>
      </c>
      <c r="H177" s="129">
        <v>3922.6942234465287</v>
      </c>
      <c r="I177" s="129">
        <v>1019.9004980960975</v>
      </c>
      <c r="J177" s="9">
        <v>0</v>
      </c>
      <c r="K177" s="9">
        <v>1790</v>
      </c>
      <c r="L177" s="100">
        <v>465.40000000000003</v>
      </c>
      <c r="M177" s="10">
        <v>0.517501463118483</v>
      </c>
      <c r="N177" s="100">
        <v>554.50049809609754</v>
      </c>
      <c r="O177" s="100">
        <v>0</v>
      </c>
      <c r="P177" s="10">
        <v>0.64112769330792241</v>
      </c>
      <c r="Q177" s="6">
        <v>9716</v>
      </c>
      <c r="R177" s="6">
        <v>240</v>
      </c>
      <c r="S177" s="6">
        <v>9476</v>
      </c>
      <c r="T177" s="6">
        <v>0</v>
      </c>
      <c r="U177" s="6">
        <v>0</v>
      </c>
      <c r="V177" s="6">
        <v>0</v>
      </c>
      <c r="W177" s="6">
        <v>0</v>
      </c>
      <c r="X177" s="9">
        <v>3922.6942234465287</v>
      </c>
      <c r="Y177" s="9">
        <v>72.470598982917409</v>
      </c>
      <c r="Z177" s="9">
        <v>-7583.3057765534713</v>
      </c>
      <c r="AA177" s="132">
        <v>7060.8496022037516</v>
      </c>
      <c r="AB177" s="132">
        <v>17056.8</v>
      </c>
      <c r="AC177" s="11">
        <v>2.9331880958823966</v>
      </c>
      <c r="AD177" s="71"/>
      <c r="AE177" s="71">
        <v>22.123413866612527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306</v>
      </c>
      <c r="E178" s="6" t="s">
        <v>307</v>
      </c>
      <c r="F178" s="6">
        <v>1016066</v>
      </c>
      <c r="G178" s="8" t="s">
        <v>289</v>
      </c>
      <c r="H178" s="129">
        <v>1701.5309796143101</v>
      </c>
      <c r="I178" s="129">
        <v>1633.4697404297376</v>
      </c>
      <c r="J178" s="9">
        <v>0</v>
      </c>
      <c r="K178" s="9">
        <v>154</v>
      </c>
      <c r="L178" s="100">
        <v>147.84</v>
      </c>
      <c r="M178" s="10">
        <v>0.14340026888920238</v>
      </c>
      <c r="N178" s="100">
        <v>1485.6297404297377</v>
      </c>
      <c r="O178" s="100">
        <v>0.96222608928602971</v>
      </c>
      <c r="P178" s="10">
        <v>1.0305559522809493</v>
      </c>
      <c r="Q178" s="6">
        <v>4297</v>
      </c>
      <c r="R178" s="6">
        <v>90</v>
      </c>
      <c r="S178" s="6">
        <v>4207</v>
      </c>
      <c r="T178" s="6">
        <v>0</v>
      </c>
      <c r="U178" s="6">
        <v>0</v>
      </c>
      <c r="V178" s="6">
        <v>0</v>
      </c>
      <c r="W178" s="6">
        <v>303</v>
      </c>
      <c r="X178" s="9">
        <v>1701.5309796143101</v>
      </c>
      <c r="Y178" s="9">
        <v>74.174376788959961</v>
      </c>
      <c r="Z178" s="9">
        <v>-2749.4690203856899</v>
      </c>
      <c r="AA178" s="132">
        <v>18648.779536572842</v>
      </c>
      <c r="AB178" s="132">
        <v>49429.600000000006</v>
      </c>
      <c r="AC178" s="11">
        <v>2.6158794951878681</v>
      </c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/>
      <c r="BJ178" s="31"/>
    </row>
    <row r="179" spans="1:62" x14ac:dyDescent="0.35">
      <c r="A179" s="118"/>
      <c r="B179" s="30" t="s">
        <v>21</v>
      </c>
      <c r="C179" s="6" t="s">
        <v>5</v>
      </c>
      <c r="D179" s="6" t="s">
        <v>306</v>
      </c>
      <c r="E179" s="6" t="s">
        <v>307</v>
      </c>
      <c r="F179" s="61">
        <v>1016065</v>
      </c>
      <c r="G179" s="70" t="s">
        <v>288</v>
      </c>
      <c r="H179" s="129">
        <v>1453.3230278508431</v>
      </c>
      <c r="I179" s="129">
        <v>1395.1901067368094</v>
      </c>
      <c r="J179" s="9">
        <v>0</v>
      </c>
      <c r="K179" s="9">
        <v>504</v>
      </c>
      <c r="L179" s="100">
        <v>483.84</v>
      </c>
      <c r="M179" s="10">
        <v>0.34679144989900096</v>
      </c>
      <c r="N179" s="100">
        <v>911.35010673680949</v>
      </c>
      <c r="O179" s="100">
        <v>0</v>
      </c>
      <c r="P179" s="10">
        <v>0.71192764017889576</v>
      </c>
      <c r="Q179" s="6">
        <v>3650</v>
      </c>
      <c r="R179" s="6">
        <v>0</v>
      </c>
      <c r="S179" s="6">
        <v>3650</v>
      </c>
      <c r="T179" s="6">
        <v>0</v>
      </c>
      <c r="U179" s="6">
        <v>0</v>
      </c>
      <c r="V179" s="6">
        <v>0</v>
      </c>
      <c r="W179" s="6">
        <v>230</v>
      </c>
      <c r="X179" s="9">
        <v>1453.3230278508431</v>
      </c>
      <c r="Y179" s="9">
        <v>75.344570960199604</v>
      </c>
      <c r="Z179" s="9">
        <v>-2700.6769721491569</v>
      </c>
      <c r="AA179" s="132">
        <v>15913.887154966731</v>
      </c>
      <c r="AB179" s="132">
        <v>42486</v>
      </c>
      <c r="AC179" s="11">
        <v>2.8582771485723213</v>
      </c>
      <c r="AD179" s="71"/>
      <c r="AE179" s="71">
        <v>58.314976494291471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308</v>
      </c>
      <c r="E180" s="6" t="s">
        <v>395</v>
      </c>
      <c r="F180" s="61">
        <v>1069936</v>
      </c>
      <c r="G180" s="70" t="s">
        <v>610</v>
      </c>
      <c r="H180" s="129">
        <v>221.069321854912</v>
      </c>
      <c r="I180" s="129">
        <v>42.003171152433282</v>
      </c>
      <c r="J180" s="9">
        <v>0</v>
      </c>
      <c r="K180" s="9">
        <v>71</v>
      </c>
      <c r="L180" s="100">
        <v>13.49</v>
      </c>
      <c r="M180" s="10">
        <v>0.72827834567504779</v>
      </c>
      <c r="N180" s="100">
        <v>28.51317115243328</v>
      </c>
      <c r="O180" s="100">
        <v>17.456332106178646</v>
      </c>
      <c r="P180" s="10">
        <v>1.4859477521752689</v>
      </c>
      <c r="Q180" s="6">
        <v>920</v>
      </c>
      <c r="R180" s="6">
        <v>90</v>
      </c>
      <c r="S180" s="6">
        <v>830</v>
      </c>
      <c r="T180" s="6">
        <v>0</v>
      </c>
      <c r="U180" s="6">
        <v>0</v>
      </c>
      <c r="V180" s="6">
        <v>0</v>
      </c>
      <c r="W180" s="6">
        <v>0</v>
      </c>
      <c r="X180" s="9">
        <v>297.23076923076923</v>
      </c>
      <c r="Y180" s="9">
        <v>83.773291925465841</v>
      </c>
      <c r="Z180" s="9">
        <v>-769.930678145088</v>
      </c>
      <c r="AA180" s="132">
        <v>1806.1363595546311</v>
      </c>
      <c r="AB180" s="132">
        <v>6781.1</v>
      </c>
      <c r="AC180" s="11">
        <v>4.4827567736892693</v>
      </c>
      <c r="AD180" s="71"/>
      <c r="AE180" s="71">
        <v>75.108571428571437</v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 t="s">
        <v>1</v>
      </c>
      <c r="BJ180" s="31"/>
    </row>
    <row r="181" spans="1:62" ht="12.75" customHeight="1" x14ac:dyDescent="0.35">
      <c r="A181" s="118"/>
      <c r="B181" s="30" t="s">
        <v>1</v>
      </c>
      <c r="C181" s="6" t="s">
        <v>2</v>
      </c>
      <c r="D181" s="6" t="s">
        <v>306</v>
      </c>
      <c r="E181" s="6" t="s">
        <v>401</v>
      </c>
      <c r="F181" s="6">
        <v>1075852</v>
      </c>
      <c r="G181" s="8" t="s">
        <v>687</v>
      </c>
      <c r="H181" s="129">
        <v>10861.380860113519</v>
      </c>
      <c r="I181" s="129">
        <v>977.52427741021665</v>
      </c>
      <c r="J181" s="9">
        <v>0</v>
      </c>
      <c r="K181" s="9">
        <v>3504</v>
      </c>
      <c r="L181" s="100">
        <v>315.36</v>
      </c>
      <c r="M181" s="10">
        <v>0.3402882237168296</v>
      </c>
      <c r="N181" s="100">
        <v>662.16427741021664</v>
      </c>
      <c r="O181" s="100">
        <v>0</v>
      </c>
      <c r="P181" s="10">
        <v>0.2910158611225403</v>
      </c>
      <c r="Q181" s="6">
        <v>29915</v>
      </c>
      <c r="R181" s="6">
        <v>192</v>
      </c>
      <c r="S181" s="6">
        <v>29723</v>
      </c>
      <c r="T181" s="6">
        <v>0</v>
      </c>
      <c r="U181" s="6">
        <v>0</v>
      </c>
      <c r="V181" s="6">
        <v>0</v>
      </c>
      <c r="W181" s="6">
        <v>0</v>
      </c>
      <c r="X181" s="9">
        <v>10861.380860113519</v>
      </c>
      <c r="Y181" s="9">
        <v>82.0972960514231</v>
      </c>
      <c r="Z181" s="9">
        <v>-22557.619139886483</v>
      </c>
      <c r="AA181" s="132">
        <v>4235.938535444272</v>
      </c>
      <c r="AB181" s="132">
        <v>11591.970000000001</v>
      </c>
      <c r="AC181" s="11">
        <v>3.0768647587642666</v>
      </c>
      <c r="AD181" s="71"/>
      <c r="AE181" s="71">
        <v>8.3670715249662617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1</v>
      </c>
      <c r="C182" s="6" t="s">
        <v>2</v>
      </c>
      <c r="D182" s="6" t="s">
        <v>396</v>
      </c>
      <c r="E182" s="6" t="s">
        <v>397</v>
      </c>
      <c r="F182" s="61">
        <v>1043304</v>
      </c>
      <c r="G182" s="70" t="s">
        <v>123</v>
      </c>
      <c r="H182" s="129">
        <v>561</v>
      </c>
      <c r="I182" s="129">
        <v>561</v>
      </c>
      <c r="J182" s="9">
        <v>4</v>
      </c>
      <c r="K182" s="9">
        <v>275</v>
      </c>
      <c r="L182" s="100">
        <v>275</v>
      </c>
      <c r="M182" s="10">
        <v>0.5133689839572193</v>
      </c>
      <c r="N182" s="100">
        <v>286</v>
      </c>
      <c r="O182" s="100">
        <v>0</v>
      </c>
      <c r="P182" s="10">
        <v>0</v>
      </c>
      <c r="Q182" s="6">
        <v>1617</v>
      </c>
      <c r="R182" s="6">
        <v>13</v>
      </c>
      <c r="S182" s="6">
        <v>1604</v>
      </c>
      <c r="T182" s="6">
        <v>0</v>
      </c>
      <c r="U182" s="6">
        <v>0</v>
      </c>
      <c r="V182" s="6">
        <v>0</v>
      </c>
      <c r="W182" s="6">
        <v>18</v>
      </c>
      <c r="X182" s="9">
        <v>561</v>
      </c>
      <c r="Y182" s="9">
        <v>85.775401069518722</v>
      </c>
      <c r="Z182" s="9">
        <v>-1331</v>
      </c>
      <c r="AA182" s="132">
        <v>19214.25</v>
      </c>
      <c r="AB182" s="132">
        <v>55553.5</v>
      </c>
      <c r="AC182" s="11">
        <v>3.3725490196078431</v>
      </c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2" t="s">
        <v>1</v>
      </c>
      <c r="BJ182" s="31"/>
    </row>
    <row r="183" spans="1:62" x14ac:dyDescent="0.35">
      <c r="A183" s="118"/>
      <c r="B183" s="30" t="s">
        <v>1</v>
      </c>
      <c r="C183" s="6" t="s">
        <v>50</v>
      </c>
      <c r="D183" s="6" t="s">
        <v>310</v>
      </c>
      <c r="E183" s="6" t="s">
        <v>403</v>
      </c>
      <c r="F183" s="6">
        <v>1076303</v>
      </c>
      <c r="G183" s="8" t="s">
        <v>693</v>
      </c>
      <c r="H183" s="129">
        <v>7618.1326851145541</v>
      </c>
      <c r="I183" s="129">
        <v>281.8709093492385</v>
      </c>
      <c r="J183" s="9">
        <v>2</v>
      </c>
      <c r="K183" s="9">
        <v>4707</v>
      </c>
      <c r="L183" s="100">
        <v>174.15899999999999</v>
      </c>
      <c r="M183" s="10">
        <v>0.69347702624328333</v>
      </c>
      <c r="N183" s="100">
        <v>107.71190934923851</v>
      </c>
      <c r="O183" s="100">
        <v>4.4521345554003382</v>
      </c>
      <c r="P183" s="10">
        <v>1.1223487285336138</v>
      </c>
      <c r="Q183" s="6">
        <v>30294</v>
      </c>
      <c r="R183" s="6">
        <v>576</v>
      </c>
      <c r="S183" s="6">
        <v>29718</v>
      </c>
      <c r="T183" s="6">
        <v>0</v>
      </c>
      <c r="U183" s="6">
        <v>0</v>
      </c>
      <c r="V183" s="6">
        <v>0</v>
      </c>
      <c r="W183" s="6">
        <v>0</v>
      </c>
      <c r="X183" s="9">
        <v>9753.2307692307695</v>
      </c>
      <c r="Y183" s="9">
        <v>91.409710391822827</v>
      </c>
      <c r="Z183" s="9">
        <v>-27382.867314885447</v>
      </c>
      <c r="AA183" s="132">
        <v>17216.979868358889</v>
      </c>
      <c r="AB183" s="132">
        <v>67162.679999999993</v>
      </c>
      <c r="AC183" s="11">
        <v>4.594432972845194</v>
      </c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2"/>
      <c r="BJ183" s="31"/>
    </row>
    <row r="184" spans="1:62" ht="12.75" customHeight="1" x14ac:dyDescent="0.35">
      <c r="A184" s="118"/>
      <c r="B184" s="30" t="s">
        <v>15</v>
      </c>
      <c r="C184" s="6" t="s">
        <v>5</v>
      </c>
      <c r="D184" s="6" t="s">
        <v>308</v>
      </c>
      <c r="E184" s="6" t="s">
        <v>315</v>
      </c>
      <c r="F184" s="6">
        <v>1078372</v>
      </c>
      <c r="G184" s="8" t="s">
        <v>708</v>
      </c>
      <c r="H184" s="129">
        <v>5206.195586776832</v>
      </c>
      <c r="I184" s="129">
        <v>1874.2304112396594</v>
      </c>
      <c r="J184" s="9">
        <v>8</v>
      </c>
      <c r="K184" s="9">
        <v>6124</v>
      </c>
      <c r="L184" s="100">
        <v>2204.64</v>
      </c>
      <c r="M184" s="10">
        <v>1.253314419568252</v>
      </c>
      <c r="N184" s="100">
        <v>330.40958876034051</v>
      </c>
      <c r="O184" s="100">
        <v>0</v>
      </c>
      <c r="P184" s="10">
        <v>0.8767448385356843</v>
      </c>
      <c r="Q184" s="6">
        <v>37899</v>
      </c>
      <c r="R184" s="6">
        <v>401</v>
      </c>
      <c r="S184" s="6">
        <v>37498</v>
      </c>
      <c r="T184" s="6">
        <v>0</v>
      </c>
      <c r="U184" s="6">
        <v>0</v>
      </c>
      <c r="V184" s="6">
        <v>0</v>
      </c>
      <c r="W184" s="6">
        <v>0</v>
      </c>
      <c r="X184" s="9">
        <v>12046.153846153848</v>
      </c>
      <c r="Y184" s="9">
        <v>93.385823754789271</v>
      </c>
      <c r="Z184" s="9">
        <v>-38816.804413223166</v>
      </c>
      <c r="AA184" s="132">
        <v>32851.094152561811</v>
      </c>
      <c r="AB184" s="132">
        <v>236612.37999999998</v>
      </c>
      <c r="AC184" s="11">
        <v>8.4558866961920529</v>
      </c>
      <c r="AD184" s="71"/>
      <c r="AE184" s="71">
        <v>44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1032132</v>
      </c>
      <c r="G185" s="8" t="s">
        <v>96</v>
      </c>
      <c r="H185" s="129">
        <v>2672.7492789714947</v>
      </c>
      <c r="I185" s="129">
        <v>133.63746394857475</v>
      </c>
      <c r="J185" s="9">
        <v>0</v>
      </c>
      <c r="K185" s="9">
        <v>606</v>
      </c>
      <c r="L185" s="100">
        <v>30.3</v>
      </c>
      <c r="M185" s="10">
        <v>0.29856897026535906</v>
      </c>
      <c r="N185" s="100">
        <v>103.33746394857475</v>
      </c>
      <c r="O185" s="100">
        <v>0</v>
      </c>
      <c r="P185" s="10">
        <v>0.58399999999999996</v>
      </c>
      <c r="Q185" s="6">
        <v>8267</v>
      </c>
      <c r="R185" s="6">
        <v>192</v>
      </c>
      <c r="S185" s="6">
        <v>8075</v>
      </c>
      <c r="T185" s="6">
        <v>0</v>
      </c>
      <c r="U185" s="6">
        <v>0</v>
      </c>
      <c r="V185" s="6">
        <v>0</v>
      </c>
      <c r="W185" s="6">
        <v>0</v>
      </c>
      <c r="X185" s="9">
        <v>2672.7492789714947</v>
      </c>
      <c r="Y185" s="9">
        <v>90.63700883055543</v>
      </c>
      <c r="Z185" s="9">
        <v>-6200.2507210285057</v>
      </c>
      <c r="AA185" s="132">
        <v>11599.731870736287</v>
      </c>
      <c r="AB185" s="132">
        <v>35045.5</v>
      </c>
      <c r="AC185" s="11">
        <v>3.3198025979505399</v>
      </c>
      <c r="AD185" s="71"/>
      <c r="AE185" s="71">
        <v>16.66190502303137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1069116</v>
      </c>
      <c r="G186" s="8" t="s">
        <v>555</v>
      </c>
      <c r="H186" s="129">
        <v>171.0258227180864</v>
      </c>
      <c r="I186" s="129">
        <v>136.82065817446912</v>
      </c>
      <c r="J186" s="9">
        <v>0</v>
      </c>
      <c r="K186" s="9">
        <v>93</v>
      </c>
      <c r="L186" s="100">
        <v>74.400000000000006</v>
      </c>
      <c r="M186" s="10">
        <v>0.561318744001854</v>
      </c>
      <c r="N186" s="100">
        <v>62.420658174469111</v>
      </c>
      <c r="O186" s="100">
        <v>0</v>
      </c>
      <c r="P186" s="10">
        <v>0.3271685948973892</v>
      </c>
      <c r="Q186" s="6">
        <v>649</v>
      </c>
      <c r="R186" s="6">
        <v>3</v>
      </c>
      <c r="S186" s="6">
        <v>646</v>
      </c>
      <c r="T186" s="6">
        <v>0</v>
      </c>
      <c r="U186" s="6">
        <v>0</v>
      </c>
      <c r="V186" s="6">
        <v>0</v>
      </c>
      <c r="W186" s="6">
        <v>0</v>
      </c>
      <c r="X186" s="9">
        <v>177.23076923076928</v>
      </c>
      <c r="Y186" s="9">
        <v>109.3489583333333</v>
      </c>
      <c r="Z186" s="9">
        <v>-570.97417728191363</v>
      </c>
      <c r="AA186" s="132">
        <v>6396.3657696564314</v>
      </c>
      <c r="AB186" s="132">
        <v>24160.399999999998</v>
      </c>
      <c r="AC186" s="11">
        <v>4.3385261255143295</v>
      </c>
      <c r="AD186" s="71"/>
      <c r="AE186" s="71">
        <v>29.223956228478066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29">
        <v>3488.8525298438499</v>
      </c>
      <c r="I187" s="129">
        <v>593.10493007345451</v>
      </c>
      <c r="J187" s="9">
        <v>3</v>
      </c>
      <c r="K187" s="9">
        <v>722</v>
      </c>
      <c r="L187" s="100">
        <v>122.74000000000001</v>
      </c>
      <c r="M187" s="10">
        <v>0.32474860725933563</v>
      </c>
      <c r="N187" s="100">
        <v>470.3649300734545</v>
      </c>
      <c r="O187" s="100">
        <v>1.1645835455032501</v>
      </c>
      <c r="P187" s="10">
        <v>1.0403078016680627</v>
      </c>
      <c r="Q187" s="6">
        <v>12332</v>
      </c>
      <c r="R187" s="6">
        <v>411</v>
      </c>
      <c r="S187" s="6">
        <v>11921</v>
      </c>
      <c r="T187" s="6">
        <v>0</v>
      </c>
      <c r="U187" s="6">
        <v>0</v>
      </c>
      <c r="V187" s="6">
        <v>0</v>
      </c>
      <c r="W187" s="6">
        <v>145</v>
      </c>
      <c r="X187" s="9">
        <v>3488.8525298438499</v>
      </c>
      <c r="Y187" s="9">
        <v>102.50648227198253</v>
      </c>
      <c r="Z187" s="9">
        <v>-9565.1474701561492</v>
      </c>
      <c r="AA187" s="132">
        <v>36667.840088658864</v>
      </c>
      <c r="AB187" s="132">
        <v>126813.66</v>
      </c>
      <c r="AC187" s="11">
        <v>3.741631349658753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1069125</v>
      </c>
      <c r="G188" s="8" t="s">
        <v>557</v>
      </c>
      <c r="H188" s="129">
        <v>74.566382451788812</v>
      </c>
      <c r="I188" s="129">
        <v>59.653105961431052</v>
      </c>
      <c r="J188" s="9">
        <v>1</v>
      </c>
      <c r="K188" s="9">
        <v>16</v>
      </c>
      <c r="L188" s="100">
        <v>12.8</v>
      </c>
      <c r="M188" s="10">
        <v>0.21457390681846292</v>
      </c>
      <c r="N188" s="100">
        <v>46.853105961431055</v>
      </c>
      <c r="O188" s="100">
        <v>0</v>
      </c>
      <c r="P188" s="10">
        <v>0.19457436856875585</v>
      </c>
      <c r="Q188" s="6">
        <v>273</v>
      </c>
      <c r="R188" s="6">
        <v>0</v>
      </c>
      <c r="S188" s="6">
        <v>273</v>
      </c>
      <c r="T188" s="6">
        <v>0</v>
      </c>
      <c r="U188" s="6">
        <v>0</v>
      </c>
      <c r="V188" s="6">
        <v>0</v>
      </c>
      <c r="W188" s="6">
        <v>0</v>
      </c>
      <c r="X188" s="9">
        <v>74.566382451788812</v>
      </c>
      <c r="Y188" s="9">
        <v>109.8350185527007</v>
      </c>
      <c r="Z188" s="9">
        <v>-214.4336175482112</v>
      </c>
      <c r="AA188" s="132">
        <v>2702.2857000528265</v>
      </c>
      <c r="AB188" s="132">
        <v>9893.52</v>
      </c>
      <c r="AC188" s="11">
        <v>3.8757411919084865</v>
      </c>
      <c r="AD188" s="71"/>
      <c r="AE188" s="71">
        <v>23.728842851009016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29">
        <v>1555</v>
      </c>
      <c r="I189" s="129">
        <v>77.75</v>
      </c>
      <c r="J189" s="9">
        <v>0</v>
      </c>
      <c r="K189" s="9">
        <v>96</v>
      </c>
      <c r="L189" s="100">
        <v>4.8000000000000007</v>
      </c>
      <c r="M189" s="10">
        <v>6.1736334405144692E-2</v>
      </c>
      <c r="N189" s="100">
        <v>72.95</v>
      </c>
      <c r="O189" s="100">
        <v>29.800443458980048</v>
      </c>
      <c r="P189" s="10">
        <v>1.7684391080617496</v>
      </c>
      <c r="Q189" s="6">
        <v>6408</v>
      </c>
      <c r="R189" s="6">
        <v>0</v>
      </c>
      <c r="S189" s="6">
        <v>6408</v>
      </c>
      <c r="T189" s="6">
        <v>0</v>
      </c>
      <c r="U189" s="6">
        <v>0</v>
      </c>
      <c r="V189" s="6">
        <v>0</v>
      </c>
      <c r="W189" s="6">
        <v>0</v>
      </c>
      <c r="X189" s="9">
        <v>1555</v>
      </c>
      <c r="Y189" s="9">
        <v>123.62700964630226</v>
      </c>
      <c r="Z189" s="9">
        <v>-4949</v>
      </c>
      <c r="AA189" s="132">
        <v>7775</v>
      </c>
      <c r="AB189" s="132">
        <v>32040</v>
      </c>
      <c r="AC189" s="11">
        <v>4.1826366559485528</v>
      </c>
      <c r="AD189" s="71"/>
      <c r="AE189" s="71" t="s">
        <v>574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">
        <v>1069727</v>
      </c>
      <c r="G190" s="8" t="s">
        <v>570</v>
      </c>
      <c r="H190" s="129">
        <v>22.748535298438401</v>
      </c>
      <c r="I190" s="129">
        <v>18.198828238750721</v>
      </c>
      <c r="J190" s="9">
        <v>1</v>
      </c>
      <c r="K190" s="9">
        <v>3</v>
      </c>
      <c r="L190" s="100">
        <v>2.4000000000000004</v>
      </c>
      <c r="M190" s="10">
        <v>0.13187662241295764</v>
      </c>
      <c r="N190" s="100">
        <v>15.798828238750721</v>
      </c>
      <c r="O190" s="100">
        <v>0</v>
      </c>
      <c r="P190" s="10">
        <v>0.97194860813704498</v>
      </c>
      <c r="Q190" s="6">
        <v>101</v>
      </c>
      <c r="R190" s="6">
        <v>0</v>
      </c>
      <c r="S190" s="6">
        <v>101</v>
      </c>
      <c r="T190" s="6">
        <v>0</v>
      </c>
      <c r="U190" s="6">
        <v>0</v>
      </c>
      <c r="V190" s="6">
        <v>0</v>
      </c>
      <c r="W190" s="6">
        <v>0</v>
      </c>
      <c r="X190" s="9">
        <v>22.748535298438401</v>
      </c>
      <c r="Y190" s="9">
        <v>133.19538863708723</v>
      </c>
      <c r="Z190" s="9">
        <v>-81.251464701561602</v>
      </c>
      <c r="AA190" s="132">
        <v>767.5355809693117</v>
      </c>
      <c r="AB190" s="132">
        <v>3407.7400000000002</v>
      </c>
      <c r="AC190" s="11">
        <v>4.5717229103158656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5">
      <c r="A191" s="118"/>
      <c r="B191" s="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29">
        <v>4726.8</v>
      </c>
      <c r="I191" s="129">
        <v>0</v>
      </c>
      <c r="J191" s="9">
        <v>0</v>
      </c>
      <c r="K191" s="9">
        <v>719</v>
      </c>
      <c r="L191" s="100">
        <v>0</v>
      </c>
      <c r="M191" s="10">
        <v>0.17072861132267073</v>
      </c>
      <c r="N191" s="100">
        <v>0</v>
      </c>
      <c r="O191" s="100">
        <v>0</v>
      </c>
      <c r="P191" s="10">
        <v>0.38421932181157276</v>
      </c>
      <c r="Q191" s="6">
        <v>22863</v>
      </c>
      <c r="R191" s="6">
        <v>88</v>
      </c>
      <c r="S191" s="6">
        <v>22775</v>
      </c>
      <c r="T191" s="6">
        <v>0</v>
      </c>
      <c r="U191" s="6">
        <v>8</v>
      </c>
      <c r="V191" s="6">
        <v>0</v>
      </c>
      <c r="W191" s="6">
        <v>0</v>
      </c>
      <c r="X191" s="9">
        <v>4726.8</v>
      </c>
      <c r="Y191" s="9">
        <v>144.54810865701953</v>
      </c>
      <c r="Z191" s="9">
        <v>-18855.2</v>
      </c>
      <c r="AA191" s="132">
        <v>32567.651999999998</v>
      </c>
      <c r="AB191" s="132">
        <v>156974.87</v>
      </c>
      <c r="AC191" s="11">
        <v>4.9889988998899888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240</v>
      </c>
      <c r="L192" s="100">
        <v>58.08</v>
      </c>
      <c r="M192" s="10">
        <v>0.45454545454545453</v>
      </c>
      <c r="N192" s="100">
        <v>69.695999999999998</v>
      </c>
      <c r="O192" s="100">
        <v>0</v>
      </c>
      <c r="P192" s="10">
        <v>0.49662490592610509</v>
      </c>
      <c r="Q192" s="6">
        <v>2781</v>
      </c>
      <c r="R192" s="6">
        <v>0</v>
      </c>
      <c r="S192" s="6">
        <v>2781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158.01136363636363</v>
      </c>
      <c r="Z192" s="9">
        <v>-2493</v>
      </c>
      <c r="AA192" s="132">
        <v>2244</v>
      </c>
      <c r="AB192" s="132">
        <v>11819.25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396</v>
      </c>
      <c r="E193" s="6" t="s">
        <v>397</v>
      </c>
      <c r="F193" s="6">
        <v>1067716</v>
      </c>
      <c r="G193" s="8" t="s">
        <v>639</v>
      </c>
      <c r="H193" s="129">
        <v>150</v>
      </c>
      <c r="I193" s="129">
        <v>75</v>
      </c>
      <c r="J193" s="9">
        <v>4</v>
      </c>
      <c r="K193" s="9">
        <v>15</v>
      </c>
      <c r="L193" s="100">
        <v>7.5</v>
      </c>
      <c r="M193" s="10">
        <v>0.1</v>
      </c>
      <c r="N193" s="100">
        <v>67.5</v>
      </c>
      <c r="O193" s="100">
        <v>0</v>
      </c>
      <c r="P193" s="10">
        <v>0.62690909090909086</v>
      </c>
      <c r="Q193" s="6">
        <v>1959</v>
      </c>
      <c r="R193" s="6">
        <v>0</v>
      </c>
      <c r="S193" s="6">
        <v>1959</v>
      </c>
      <c r="T193" s="6">
        <v>0</v>
      </c>
      <c r="U193" s="6">
        <v>0</v>
      </c>
      <c r="V193" s="6">
        <v>0</v>
      </c>
      <c r="W193" s="6">
        <v>0</v>
      </c>
      <c r="X193" s="9">
        <v>150</v>
      </c>
      <c r="Y193" s="9">
        <v>391.8</v>
      </c>
      <c r="Z193" s="9">
        <v>-1824</v>
      </c>
      <c r="AA193" s="132">
        <v>2272.5</v>
      </c>
      <c r="AB193" s="132">
        <v>29678.850000000002</v>
      </c>
      <c r="AC193" s="11">
        <v>13.16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2"/>
      <c r="BJ193" s="31"/>
    </row>
    <row r="194" spans="1:62" ht="12.75" customHeight="1" x14ac:dyDescent="0.35">
      <c r="A194" s="118"/>
      <c r="B194" s="30" t="s">
        <v>1</v>
      </c>
      <c r="C194" s="6" t="s">
        <v>2</v>
      </c>
      <c r="D194" s="6" t="s">
        <v>396</v>
      </c>
      <c r="E194" s="6" t="s">
        <v>397</v>
      </c>
      <c r="F194" s="6">
        <v>1071748</v>
      </c>
      <c r="G194" s="8" t="s">
        <v>640</v>
      </c>
      <c r="H194" s="129">
        <v>200</v>
      </c>
      <c r="I194" s="129">
        <v>100</v>
      </c>
      <c r="J194" s="9">
        <v>0</v>
      </c>
      <c r="K194" s="9">
        <v>0</v>
      </c>
      <c r="L194" s="100">
        <v>0</v>
      </c>
      <c r="M194" s="10">
        <v>0.03</v>
      </c>
      <c r="N194" s="100">
        <v>100</v>
      </c>
      <c r="O194" s="100">
        <v>99.524999999999991</v>
      </c>
      <c r="P194" s="10">
        <v>1.6259433962264151</v>
      </c>
      <c r="Q194" s="6">
        <v>3659</v>
      </c>
      <c r="R194" s="6">
        <v>6</v>
      </c>
      <c r="S194" s="6">
        <v>3653</v>
      </c>
      <c r="T194" s="6">
        <v>0</v>
      </c>
      <c r="U194" s="6">
        <v>0</v>
      </c>
      <c r="V194" s="6">
        <v>0</v>
      </c>
      <c r="W194" s="6">
        <v>0</v>
      </c>
      <c r="X194" s="9">
        <v>200</v>
      </c>
      <c r="Y194" s="9">
        <v>547.95000000000005</v>
      </c>
      <c r="Z194" s="9">
        <v>-3459</v>
      </c>
      <c r="AA194" s="132">
        <v>3697.9999999999995</v>
      </c>
      <c r="AB194" s="132">
        <v>67543.97</v>
      </c>
      <c r="AC194" s="11">
        <v>18.295000000000002</v>
      </c>
      <c r="AD194" s="71"/>
      <c r="AE194" s="71">
        <v>31.022079772079774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1067719</v>
      </c>
      <c r="G195" s="8" t="s">
        <v>699</v>
      </c>
      <c r="H195" s="129">
        <v>100</v>
      </c>
      <c r="I195" s="129">
        <v>100</v>
      </c>
      <c r="J195" s="9">
        <v>4</v>
      </c>
      <c r="K195" s="9">
        <v>23</v>
      </c>
      <c r="L195" s="100">
        <v>23</v>
      </c>
      <c r="M195" s="10">
        <v>0.23</v>
      </c>
      <c r="N195" s="100">
        <v>77</v>
      </c>
      <c r="O195" s="100">
        <v>15.349884210143133</v>
      </c>
      <c r="P195" s="10">
        <v>2.2175334869607006</v>
      </c>
      <c r="Q195" s="6">
        <v>2069</v>
      </c>
      <c r="R195" s="6">
        <v>0</v>
      </c>
      <c r="S195" s="6">
        <v>2069</v>
      </c>
      <c r="T195" s="6">
        <v>0</v>
      </c>
      <c r="U195" s="6">
        <v>0</v>
      </c>
      <c r="V195" s="6">
        <v>0</v>
      </c>
      <c r="W195" s="6">
        <v>0</v>
      </c>
      <c r="X195" s="9">
        <v>100</v>
      </c>
      <c r="Y195" s="9">
        <v>620.70000000000005</v>
      </c>
      <c r="Z195" s="9">
        <v>-1992</v>
      </c>
      <c r="AA195" s="132">
        <v>3584.0000000000005</v>
      </c>
      <c r="AB195" s="132">
        <v>74152.960000000006</v>
      </c>
      <c r="AC195" s="11">
        <v>20.92</v>
      </c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2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24</v>
      </c>
      <c r="D196" s="6" t="s">
        <v>316</v>
      </c>
      <c r="E196" s="6" t="s">
        <v>317</v>
      </c>
      <c r="F196" s="6">
        <v>1064331</v>
      </c>
      <c r="G196" s="8" t="s">
        <v>596</v>
      </c>
      <c r="H196" s="129">
        <v>92.994101193753608</v>
      </c>
      <c r="I196" s="129">
        <v>7.904498601469057</v>
      </c>
      <c r="J196" s="9">
        <v>0</v>
      </c>
      <c r="K196" s="9">
        <v>47</v>
      </c>
      <c r="L196" s="100">
        <v>3.9950000000000001</v>
      </c>
      <c r="M196" s="10">
        <v>0.89252972967682265</v>
      </c>
      <c r="N196" s="100">
        <v>3.9094986014690569</v>
      </c>
      <c r="O196" s="100">
        <v>0</v>
      </c>
      <c r="P196" s="10">
        <v>0.40288672732977721</v>
      </c>
      <c r="Q196" s="6">
        <v>4230</v>
      </c>
      <c r="R196" s="6">
        <v>36</v>
      </c>
      <c r="S196" s="6">
        <v>4194</v>
      </c>
      <c r="T196" s="6">
        <v>0</v>
      </c>
      <c r="U196" s="6">
        <v>0</v>
      </c>
      <c r="V196" s="6">
        <v>0</v>
      </c>
      <c r="W196" s="6">
        <v>0</v>
      </c>
      <c r="X196" s="9">
        <v>153.23076923076923</v>
      </c>
      <c r="Y196" s="9">
        <v>821.11445783132535</v>
      </c>
      <c r="Z196" s="9">
        <v>-4184.0058988062465</v>
      </c>
      <c r="AA196" s="132">
        <v>611.9011858548987</v>
      </c>
      <c r="AB196" s="132">
        <v>27596.52</v>
      </c>
      <c r="AC196" s="11">
        <v>45.992164503949041</v>
      </c>
      <c r="AD196" s="71"/>
      <c r="AE196" s="71">
        <v>0</v>
      </c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126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6">
        <v>1071167</v>
      </c>
      <c r="G197" s="8" t="s">
        <v>599</v>
      </c>
      <c r="H197" s="129">
        <v>0</v>
      </c>
      <c r="I197" s="129">
        <v>0</v>
      </c>
      <c r="J197" s="9">
        <v>7</v>
      </c>
      <c r="K197" s="9">
        <v>-6</v>
      </c>
      <c r="L197" s="100">
        <v>-2.4000000000000004</v>
      </c>
      <c r="M197" s="10">
        <v>0</v>
      </c>
      <c r="N197" s="100">
        <v>2.4000000000000004</v>
      </c>
      <c r="O197" s="100">
        <v>0</v>
      </c>
      <c r="P197" s="10">
        <v>0.91655885962634531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>
        <v>33.010210690745616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126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2</v>
      </c>
      <c r="D198" s="6" t="s">
        <v>308</v>
      </c>
      <c r="E198" s="6" t="s">
        <v>395</v>
      </c>
      <c r="F198" s="96">
        <v>1070485</v>
      </c>
      <c r="G198" s="97" t="s">
        <v>625</v>
      </c>
      <c r="H198" s="129">
        <v>0</v>
      </c>
      <c r="I198" s="129">
        <v>0</v>
      </c>
      <c r="J198" s="9">
        <v>84</v>
      </c>
      <c r="K198" s="9">
        <v>-84</v>
      </c>
      <c r="L198" s="100">
        <v>-7.9379999999999997</v>
      </c>
      <c r="M198" s="10">
        <v>0</v>
      </c>
      <c r="N198" s="100">
        <v>7.9379999999999997</v>
      </c>
      <c r="O198" s="100">
        <v>7.3540058664098868</v>
      </c>
      <c r="P198" s="10">
        <v>1.2464327935256101</v>
      </c>
      <c r="Q198" s="6">
        <v>2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/>
      <c r="BJ198" s="31"/>
    </row>
    <row r="199" spans="1:62" ht="12.75" customHeight="1" x14ac:dyDescent="0.35">
      <c r="A199" s="118"/>
      <c r="B199" s="30" t="s">
        <v>31</v>
      </c>
      <c r="C199" s="6" t="s">
        <v>5</v>
      </c>
      <c r="D199" s="6" t="s">
        <v>306</v>
      </c>
      <c r="E199" s="6" t="s">
        <v>307</v>
      </c>
      <c r="F199" s="133">
        <v>1076007</v>
      </c>
      <c r="G199" s="134" t="s">
        <v>653</v>
      </c>
      <c r="H199" s="129">
        <v>0</v>
      </c>
      <c r="I199" s="129">
        <v>0</v>
      </c>
      <c r="J199" s="9">
        <v>0</v>
      </c>
      <c r="K199" s="9">
        <v>1</v>
      </c>
      <c r="L199" s="100">
        <v>0.3</v>
      </c>
      <c r="M199" s="10">
        <v>0</v>
      </c>
      <c r="N199" s="100">
        <v>0.3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/>
      <c r="BJ199" s="31"/>
    </row>
    <row r="200" spans="1:62" ht="12.75" customHeight="1" x14ac:dyDescent="0.35">
      <c r="A200" s="118"/>
      <c r="B200" s="30" t="s">
        <v>4</v>
      </c>
      <c r="C200" s="6" t="s">
        <v>5</v>
      </c>
      <c r="D200" s="6" t="s">
        <v>308</v>
      </c>
      <c r="E200" s="6" t="s">
        <v>314</v>
      </c>
      <c r="F200" s="6">
        <v>1083123</v>
      </c>
      <c r="G200" s="162" t="s">
        <v>797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/>
      <c r="BJ200" s="31"/>
    </row>
    <row r="201" spans="1:62" ht="12.75" customHeight="1" x14ac:dyDescent="0.35">
      <c r="A201" s="118"/>
      <c r="B201" s="30" t="s">
        <v>21</v>
      </c>
      <c r="C201" s="6" t="s">
        <v>5</v>
      </c>
      <c r="D201" s="6" t="s">
        <v>308</v>
      </c>
      <c r="E201" s="6" t="s">
        <v>372</v>
      </c>
      <c r="F201" s="6">
        <v>1089904</v>
      </c>
      <c r="G201" s="162" t="s">
        <v>798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2280</v>
      </c>
      <c r="R201" s="6">
        <v>0</v>
      </c>
      <c r="S201" s="6">
        <v>2280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26562</v>
      </c>
      <c r="AC201" s="11" t="s">
        <v>791</v>
      </c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/>
      <c r="BJ201" s="31"/>
    </row>
    <row r="202" spans="1:62" ht="12.75" customHeight="1" x14ac:dyDescent="0.35">
      <c r="A202" s="118"/>
      <c r="B202" s="30" t="s">
        <v>31</v>
      </c>
      <c r="C202" s="6" t="s">
        <v>5</v>
      </c>
      <c r="D202" s="6" t="s">
        <v>306</v>
      </c>
      <c r="E202" s="6" t="s">
        <v>307</v>
      </c>
      <c r="F202" s="6">
        <v>1056628</v>
      </c>
      <c r="G202" s="8" t="s">
        <v>222</v>
      </c>
      <c r="H202" s="129">
        <v>0</v>
      </c>
      <c r="I202" s="129">
        <v>0</v>
      </c>
      <c r="J202" s="9">
        <v>0</v>
      </c>
      <c r="K202" s="9">
        <v>277</v>
      </c>
      <c r="L202" s="100">
        <v>138.5</v>
      </c>
      <c r="M202" s="10">
        <v>0</v>
      </c>
      <c r="N202" s="100">
        <v>138.5</v>
      </c>
      <c r="O202" s="100">
        <v>0</v>
      </c>
      <c r="P202" s="10">
        <v>0.84752798255847261</v>
      </c>
      <c r="Q202" s="6">
        <v>0</v>
      </c>
      <c r="R202" s="6">
        <v>0</v>
      </c>
      <c r="S202" s="6">
        <v>0</v>
      </c>
      <c r="T202" s="6">
        <v>0</v>
      </c>
      <c r="U202" s="6">
        <v>4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46.72</v>
      </c>
      <c r="AC202" s="11" t="s">
        <v>791</v>
      </c>
      <c r="AD202" s="71"/>
      <c r="AE202" s="71">
        <v>45.093708609271523</v>
      </c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126" t="s">
        <v>1</v>
      </c>
      <c r="BJ202" s="31"/>
    </row>
    <row r="203" spans="1:62" ht="12.75" customHeight="1" x14ac:dyDescent="0.35">
      <c r="A203" s="118"/>
      <c r="B203" s="30" t="s">
        <v>15</v>
      </c>
      <c r="C203" s="6" t="s">
        <v>5</v>
      </c>
      <c r="D203" s="6" t="s">
        <v>308</v>
      </c>
      <c r="E203" s="6" t="s">
        <v>315</v>
      </c>
      <c r="F203" s="6">
        <v>1074229</v>
      </c>
      <c r="G203" s="8" t="s">
        <v>760</v>
      </c>
      <c r="H203" s="129">
        <v>0</v>
      </c>
      <c r="I203" s="129">
        <v>0</v>
      </c>
      <c r="J203" s="9">
        <v>12</v>
      </c>
      <c r="K203" s="9">
        <v>-12</v>
      </c>
      <c r="L203" s="100">
        <v>-5.76</v>
      </c>
      <c r="M203" s="10">
        <v>0</v>
      </c>
      <c r="N203" s="100">
        <v>5.76</v>
      </c>
      <c r="O203" s="100">
        <v>0</v>
      </c>
      <c r="P203" s="10">
        <v>0.52173913043478259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1062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7529.58</v>
      </c>
      <c r="AC203" s="11" t="s">
        <v>791</v>
      </c>
      <c r="AD203" s="71"/>
      <c r="AE203" s="71">
        <v>12.431794871794875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96">
        <v>1060289</v>
      </c>
      <c r="G204" s="97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72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1140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4879.2000000000007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96">
        <v>1070483</v>
      </c>
      <c r="G207" s="97" t="s">
        <v>614</v>
      </c>
      <c r="H207" s="129">
        <v>0</v>
      </c>
      <c r="I207" s="129">
        <v>0</v>
      </c>
      <c r="J207" s="9">
        <v>0</v>
      </c>
      <c r="K207" s="9">
        <v>7</v>
      </c>
      <c r="L207" s="100">
        <v>0.66149999999999998</v>
      </c>
      <c r="M207" s="10">
        <v>0</v>
      </c>
      <c r="N207" s="100">
        <v>0.66149999999999998</v>
      </c>
      <c r="O207" s="100">
        <v>5.6575648128929608</v>
      </c>
      <c r="P207" s="10">
        <v>1.1918704743612358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400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2340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5</v>
      </c>
      <c r="K208" s="9">
        <v>603</v>
      </c>
      <c r="L208" s="100">
        <v>241.20000000000002</v>
      </c>
      <c r="M208" s="10">
        <v>0</v>
      </c>
      <c r="N208" s="100">
        <v>241.20000000000002</v>
      </c>
      <c r="O208" s="100">
        <v>37.798062379453938</v>
      </c>
      <c r="P208" s="10">
        <v>3.3380332673838486</v>
      </c>
      <c r="Q208" s="6">
        <v>194</v>
      </c>
      <c r="R208" s="6">
        <v>128</v>
      </c>
      <c r="S208" s="6">
        <v>66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991.31999999999994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96">
        <v>1034530</v>
      </c>
      <c r="G210" s="97" t="s">
        <v>77</v>
      </c>
      <c r="H210" s="129">
        <v>0</v>
      </c>
      <c r="I210" s="129">
        <v>0</v>
      </c>
      <c r="J210" s="9">
        <v>0</v>
      </c>
      <c r="K210" s="9">
        <v>4</v>
      </c>
      <c r="L210" s="100">
        <v>1.52</v>
      </c>
      <c r="M210" s="10">
        <v>0</v>
      </c>
      <c r="N210" s="100">
        <v>1.52</v>
      </c>
      <c r="O210" s="100">
        <v>5.658147911203292</v>
      </c>
      <c r="P210" s="10">
        <v>1.1862578249780389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45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96">
        <v>1069939</v>
      </c>
      <c r="G212" s="97" t="s">
        <v>586</v>
      </c>
      <c r="H212" s="129">
        <v>0</v>
      </c>
      <c r="I212" s="129">
        <v>0</v>
      </c>
      <c r="J212" s="9">
        <v>0</v>
      </c>
      <c r="K212" s="9">
        <v>5</v>
      </c>
      <c r="L212" s="100">
        <v>1.4000000000000001</v>
      </c>
      <c r="M212" s="10">
        <v>0</v>
      </c>
      <c r="N212" s="100">
        <v>1.4000000000000001</v>
      </c>
      <c r="O212" s="100">
        <v>0</v>
      </c>
      <c r="P212" s="10">
        <v>0.95271350896849805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96">
        <v>1061340</v>
      </c>
      <c r="G213" s="97" t="s">
        <v>439</v>
      </c>
      <c r="H213" s="129">
        <v>0</v>
      </c>
      <c r="I213" s="129">
        <v>0</v>
      </c>
      <c r="J213" s="9">
        <v>1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1</v>
      </c>
      <c r="K214" s="9">
        <v>12</v>
      </c>
      <c r="L214" s="100">
        <v>2.7360000000000002</v>
      </c>
      <c r="M214" s="10">
        <v>0</v>
      </c>
      <c r="N214" s="100">
        <v>2.7360000000000002</v>
      </c>
      <c r="O214" s="100">
        <v>4.0919722712501176</v>
      </c>
      <c r="P214" s="10">
        <v>1.2047083623664914</v>
      </c>
      <c r="Q214" s="6">
        <v>47</v>
      </c>
      <c r="R214" s="6">
        <v>30</v>
      </c>
      <c r="S214" s="6">
        <v>17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34.340000000000003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1041921</v>
      </c>
      <c r="G215" s="97" t="s">
        <v>110</v>
      </c>
      <c r="H215" s="129">
        <v>0</v>
      </c>
      <c r="I215" s="129">
        <v>0</v>
      </c>
      <c r="J215" s="9">
        <v>0</v>
      </c>
      <c r="K215" s="9">
        <v>37</v>
      </c>
      <c r="L215" s="100">
        <v>6.66</v>
      </c>
      <c r="M215" s="10">
        <v>0</v>
      </c>
      <c r="N215" s="100">
        <v>6.66</v>
      </c>
      <c r="O215" s="100">
        <v>0</v>
      </c>
      <c r="P215" s="10">
        <v>0.61859400868599079</v>
      </c>
      <c r="Q215" s="6">
        <v>32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309</v>
      </c>
      <c r="K216" s="9">
        <v>612</v>
      </c>
      <c r="L216" s="100">
        <v>293.76</v>
      </c>
      <c r="M216" s="10">
        <v>0</v>
      </c>
      <c r="N216" s="100">
        <v>293.76</v>
      </c>
      <c r="O216" s="100">
        <v>0</v>
      </c>
      <c r="P216" s="10">
        <v>0.46500000000000002</v>
      </c>
      <c r="Q216" s="6">
        <v>497</v>
      </c>
      <c r="R216" s="6">
        <v>160</v>
      </c>
      <c r="S216" s="6">
        <v>337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4165.32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1</v>
      </c>
      <c r="L217" s="100">
        <v>0.60000000000000009</v>
      </c>
      <c r="M217" s="10">
        <v>0</v>
      </c>
      <c r="N217" s="100">
        <v>0.60000000000000009</v>
      </c>
      <c r="O217" s="100">
        <v>31.243808084204581</v>
      </c>
      <c r="P217" s="10">
        <v>2.1914402515108531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456</v>
      </c>
      <c r="L218" s="100">
        <v>164.16</v>
      </c>
      <c r="M218" s="10">
        <v>0</v>
      </c>
      <c r="N218" s="100">
        <v>164.16</v>
      </c>
      <c r="O218" s="100">
        <v>0</v>
      </c>
      <c r="P218" s="10">
        <v>0.75249919398657328</v>
      </c>
      <c r="Q218" s="6">
        <v>12935</v>
      </c>
      <c r="R218" s="6">
        <v>648</v>
      </c>
      <c r="S218" s="6">
        <v>12287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67824.239999999991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1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10.92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1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3</v>
      </c>
      <c r="K237" s="9">
        <v>1152</v>
      </c>
      <c r="L237" s="100">
        <v>979.19999999999993</v>
      </c>
      <c r="M237" s="10">
        <v>0</v>
      </c>
      <c r="N237" s="100">
        <v>979.19999999999993</v>
      </c>
      <c r="O237" s="100">
        <v>0</v>
      </c>
      <c r="P237" s="10">
        <v>0</v>
      </c>
      <c r="Q237" s="6">
        <v>3</v>
      </c>
      <c r="R237" s="6">
        <v>0</v>
      </c>
      <c r="S237" s="6">
        <v>3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27.660000000000004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54</v>
      </c>
      <c r="L238" s="100">
        <v>8.91</v>
      </c>
      <c r="M238" s="10">
        <v>0</v>
      </c>
      <c r="N238" s="100">
        <v>8.91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97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291.96999999999997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44</v>
      </c>
      <c r="L240" s="100">
        <v>5.2799999999999994</v>
      </c>
      <c r="M240" s="10">
        <v>0</v>
      </c>
      <c r="N240" s="100">
        <v>5.2799999999999994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8782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13085.18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261</v>
      </c>
      <c r="L241" s="100">
        <v>56.115000000000002</v>
      </c>
      <c r="M241" s="10">
        <v>0</v>
      </c>
      <c r="N241" s="100">
        <v>56.115000000000002</v>
      </c>
      <c r="O241" s="100">
        <v>0</v>
      </c>
      <c r="P241" s="10">
        <v>0</v>
      </c>
      <c r="Q241" s="6">
        <v>8401</v>
      </c>
      <c r="R241" s="6">
        <v>77</v>
      </c>
      <c r="S241" s="6">
        <v>8324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39039.560000000005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440</v>
      </c>
      <c r="L242" s="100">
        <v>202.4</v>
      </c>
      <c r="M242" s="10">
        <v>0</v>
      </c>
      <c r="N242" s="100">
        <v>202.4</v>
      </c>
      <c r="O242" s="100">
        <v>0</v>
      </c>
      <c r="P242" s="10">
        <v>0</v>
      </c>
      <c r="Q242" s="6">
        <v>10560</v>
      </c>
      <c r="R242" s="6">
        <v>0</v>
      </c>
      <c r="S242" s="6">
        <v>10560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6758.4000000000005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10</v>
      </c>
      <c r="L243" s="100">
        <v>2.2400000000000002</v>
      </c>
      <c r="M243" s="10">
        <v>0</v>
      </c>
      <c r="N243" s="100">
        <v>2.2400000000000002</v>
      </c>
      <c r="O243" s="100">
        <v>0</v>
      </c>
      <c r="P243" s="10">
        <v>0</v>
      </c>
      <c r="Q243" s="6">
        <v>772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41</v>
      </c>
      <c r="K247" s="9">
        <v>-41</v>
      </c>
      <c r="L247" s="100">
        <v>-32.800000000000004</v>
      </c>
      <c r="M247" s="10">
        <v>0</v>
      </c>
      <c r="N247" s="100">
        <v>32.800000000000004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490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1871.8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2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3</v>
      </c>
      <c r="L262" s="100">
        <v>1.1520000000000001</v>
      </c>
      <c r="M262" s="10">
        <v>0</v>
      </c>
      <c r="N262" s="100">
        <v>1.1520000000000001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270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1312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5182.4000000000005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1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5520</v>
      </c>
      <c r="S267" s="6">
        <v>84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557.76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1578</v>
      </c>
      <c r="K274" s="9">
        <v>10</v>
      </c>
      <c r="L274" s="100">
        <v>2.25</v>
      </c>
      <c r="M274" s="10">
        <v>0</v>
      </c>
      <c r="N274" s="100">
        <v>2.25</v>
      </c>
      <c r="O274" s="100">
        <v>0</v>
      </c>
      <c r="P274" s="10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0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3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358.79999999999995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5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177.15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212</v>
      </c>
      <c r="K287" s="9">
        <v>-212</v>
      </c>
      <c r="L287" s="100">
        <v>-32.436</v>
      </c>
      <c r="M287" s="10">
        <v>0</v>
      </c>
      <c r="N287" s="100">
        <v>32.436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-600</v>
      </c>
      <c r="L292" s="100">
        <v>-54</v>
      </c>
      <c r="M292" s="10">
        <v>0</v>
      </c>
      <c r="N292" s="100">
        <v>54</v>
      </c>
      <c r="O292" s="100">
        <v>0</v>
      </c>
      <c r="P292" s="10">
        <v>0</v>
      </c>
      <c r="Q292" s="6">
        <v>25950</v>
      </c>
      <c r="R292" s="6">
        <v>0</v>
      </c>
      <c r="S292" s="6">
        <v>25950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47488.5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18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60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126.6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2</v>
      </c>
      <c r="L310" s="100">
        <v>0.156</v>
      </c>
      <c r="M310" s="10">
        <v>0</v>
      </c>
      <c r="N310" s="100">
        <v>0.156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16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96</v>
      </c>
      <c r="R321" s="6">
        <v>0</v>
      </c>
      <c r="S321" s="6">
        <v>96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322.56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38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-6</v>
      </c>
      <c r="L329" s="100">
        <v>-1.08</v>
      </c>
      <c r="M329" s="10">
        <v>0</v>
      </c>
      <c r="N329" s="100">
        <v>1.08</v>
      </c>
      <c r="O329" s="100">
        <v>0</v>
      </c>
      <c r="P329" s="10">
        <v>0</v>
      </c>
      <c r="Q329" s="6">
        <v>969</v>
      </c>
      <c r="R329" s="6">
        <v>0</v>
      </c>
      <c r="S329" s="6">
        <v>969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3682.2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56</v>
      </c>
      <c r="L359" s="100">
        <v>6.048</v>
      </c>
      <c r="M359" s="10">
        <v>0</v>
      </c>
      <c r="N359" s="100">
        <v>6.048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571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1050.6400000000001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3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145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6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2</v>
      </c>
      <c r="L381" s="100">
        <v>0.4</v>
      </c>
      <c r="M381" s="10">
        <v>0</v>
      </c>
      <c r="N381" s="100">
        <v>0.4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22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33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10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2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117.14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3</v>
      </c>
      <c r="L471" s="100">
        <v>0.89999999999999991</v>
      </c>
      <c r="M471" s="10">
        <v>0</v>
      </c>
      <c r="N471" s="100">
        <v>0.89999999999999991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148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2607.7600000000002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9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26.19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2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8.7799999999999994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2</v>
      </c>
      <c r="K504" s="9">
        <v>55</v>
      </c>
      <c r="L504" s="100">
        <v>41.25</v>
      </c>
      <c r="M504" s="10">
        <v>0</v>
      </c>
      <c r="N504" s="100">
        <v>41.25</v>
      </c>
      <c r="O504" s="100">
        <v>0</v>
      </c>
      <c r="P504" s="10">
        <v>0</v>
      </c>
      <c r="Q504" s="6">
        <v>4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8</v>
      </c>
      <c r="L507" s="100">
        <v>6.8</v>
      </c>
      <c r="M507" s="10">
        <v>0</v>
      </c>
      <c r="N507" s="100">
        <v>6.8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2" t="s">
        <v>308</v>
      </c>
      <c r="E515" s="182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2" t="s">
        <v>396</v>
      </c>
      <c r="E516" s="182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2" t="s">
        <v>308</v>
      </c>
      <c r="E517" s="182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2" t="s">
        <v>308</v>
      </c>
      <c r="E518" s="182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2" t="s">
        <v>308</v>
      </c>
      <c r="E519" s="182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2" t="s">
        <v>396</v>
      </c>
      <c r="E520" s="182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2" t="s">
        <v>308</v>
      </c>
      <c r="E521" s="182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2" t="s">
        <v>318</v>
      </c>
      <c r="E522" s="182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2" t="s">
        <v>308</v>
      </c>
      <c r="E523" s="182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2" t="s">
        <v>308</v>
      </c>
      <c r="E524" s="182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2" t="s">
        <v>308</v>
      </c>
      <c r="E525" s="182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2" t="s">
        <v>318</v>
      </c>
      <c r="E526" s="182" t="s">
        <v>319</v>
      </c>
      <c r="F526" s="183">
        <v>1072625</v>
      </c>
      <c r="G526" s="184" t="s">
        <v>623</v>
      </c>
      <c r="H526" s="129">
        <v>0</v>
      </c>
      <c r="I526" s="129">
        <v>0</v>
      </c>
      <c r="J526" s="9">
        <v>0</v>
      </c>
      <c r="K526" s="9">
        <v>56</v>
      </c>
      <c r="L526" s="100">
        <v>44.800000000000004</v>
      </c>
      <c r="M526" s="10">
        <v>0</v>
      </c>
      <c r="N526" s="100">
        <v>44.800000000000004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2" t="s">
        <v>318</v>
      </c>
      <c r="E527" s="182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2" t="s">
        <v>306</v>
      </c>
      <c r="E528" s="185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18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55.08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2" t="s">
        <v>306</v>
      </c>
      <c r="E529" s="185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2" t="s">
        <v>306</v>
      </c>
      <c r="E530" s="185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2" t="s">
        <v>306</v>
      </c>
      <c r="E531" s="185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2" t="s">
        <v>306</v>
      </c>
      <c r="E532" s="185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2" t="s">
        <v>318</v>
      </c>
      <c r="E533" s="185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4</v>
      </c>
      <c r="K533" s="9">
        <v>66</v>
      </c>
      <c r="L533" s="100">
        <v>29.7</v>
      </c>
      <c r="M533" s="10">
        <v>0</v>
      </c>
      <c r="N533" s="100">
        <v>29.7</v>
      </c>
      <c r="O533" s="100">
        <v>0</v>
      </c>
      <c r="P533" s="10">
        <v>0</v>
      </c>
      <c r="Q533" s="6">
        <v>386</v>
      </c>
      <c r="R533" s="6">
        <v>0</v>
      </c>
      <c r="S533" s="6">
        <v>386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3226.9599999999996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2" t="s">
        <v>318</v>
      </c>
      <c r="E534" s="185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2" t="s">
        <v>318</v>
      </c>
      <c r="E535" s="185" t="s">
        <v>319</v>
      </c>
      <c r="F535" s="186">
        <v>1072517</v>
      </c>
      <c r="G535" s="187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2" t="s">
        <v>306</v>
      </c>
      <c r="E536" s="185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4</v>
      </c>
      <c r="L536" s="100">
        <v>0.16</v>
      </c>
      <c r="M536" s="10">
        <v>0</v>
      </c>
      <c r="N536" s="100">
        <v>0.16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2" t="s">
        <v>308</v>
      </c>
      <c r="E537" s="185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22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157.74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2" t="s">
        <v>308</v>
      </c>
      <c r="E538" s="185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2" t="s">
        <v>312</v>
      </c>
      <c r="E539" s="185" t="s">
        <v>313</v>
      </c>
      <c r="F539" s="196">
        <v>1082951</v>
      </c>
      <c r="G539" s="197" t="s">
        <v>783</v>
      </c>
      <c r="H539" s="176">
        <v>0</v>
      </c>
      <c r="I539" s="138">
        <v>0</v>
      </c>
      <c r="J539" s="104">
        <v>0</v>
      </c>
      <c r="K539" s="104">
        <v>2180</v>
      </c>
      <c r="L539" s="164">
        <v>745.56000000000006</v>
      </c>
      <c r="M539" s="177">
        <v>0</v>
      </c>
      <c r="N539" s="164">
        <v>745.56000000000006</v>
      </c>
      <c r="O539" s="164">
        <v>0</v>
      </c>
      <c r="P539" s="177">
        <v>0</v>
      </c>
      <c r="Q539" s="116">
        <v>28445</v>
      </c>
      <c r="R539" s="116">
        <v>370</v>
      </c>
      <c r="S539" s="116">
        <v>28075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169573</v>
      </c>
      <c r="AC539" s="190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1"/>
    </row>
    <row r="540" spans="2:62" ht="14.5" x14ac:dyDescent="0.35">
      <c r="B540" s="137" t="s">
        <v>27</v>
      </c>
      <c r="C540" s="116" t="s">
        <v>5</v>
      </c>
      <c r="D540" s="182" t="s">
        <v>312</v>
      </c>
      <c r="E540" s="185" t="s">
        <v>313</v>
      </c>
      <c r="F540" s="196">
        <v>1083041</v>
      </c>
      <c r="G540" s="197" t="s">
        <v>784</v>
      </c>
      <c r="H540" s="176">
        <v>0</v>
      </c>
      <c r="I540" s="138">
        <v>0</v>
      </c>
      <c r="J540" s="104">
        <v>0</v>
      </c>
      <c r="K540" s="104">
        <v>1246</v>
      </c>
      <c r="L540" s="164">
        <v>1704.528</v>
      </c>
      <c r="M540" s="177">
        <v>0</v>
      </c>
      <c r="N540" s="164">
        <v>1704.528</v>
      </c>
      <c r="O540" s="164">
        <v>0</v>
      </c>
      <c r="P540" s="177">
        <v>0</v>
      </c>
      <c r="Q540" s="116">
        <v>233</v>
      </c>
      <c r="R540" s="116">
        <v>0</v>
      </c>
      <c r="S540" s="116">
        <v>233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6318.96</v>
      </c>
      <c r="AC540" s="190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1"/>
    </row>
    <row r="541" spans="2:62" ht="14.5" x14ac:dyDescent="0.35">
      <c r="B541" s="30" t="s">
        <v>15</v>
      </c>
      <c r="C541" s="6" t="s">
        <v>5</v>
      </c>
      <c r="D541" s="182" t="s">
        <v>308</v>
      </c>
      <c r="E541" s="185" t="s">
        <v>315</v>
      </c>
      <c r="F541" s="188">
        <v>1083117</v>
      </c>
      <c r="G541" s="189" t="s">
        <v>779</v>
      </c>
      <c r="H541" s="176">
        <v>0</v>
      </c>
      <c r="I541" s="129">
        <v>0</v>
      </c>
      <c r="J541" s="9">
        <v>0</v>
      </c>
      <c r="K541" s="9">
        <v>7</v>
      </c>
      <c r="L541" s="100">
        <v>1.5680000000000001</v>
      </c>
      <c r="M541" s="10">
        <v>0</v>
      </c>
      <c r="N541" s="100">
        <v>1.5680000000000001</v>
      </c>
      <c r="O541" s="164">
        <v>0</v>
      </c>
      <c r="P541" s="17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1"/>
    </row>
    <row r="542" spans="2:62" ht="14.5" x14ac:dyDescent="0.35">
      <c r="B542" s="30" t="s">
        <v>15</v>
      </c>
      <c r="C542" s="6" t="s">
        <v>5</v>
      </c>
      <c r="D542" s="182" t="s">
        <v>308</v>
      </c>
      <c r="E542" s="185" t="s">
        <v>315</v>
      </c>
      <c r="F542" s="196">
        <v>1083253</v>
      </c>
      <c r="G542" s="197" t="s">
        <v>780</v>
      </c>
      <c r="H542" s="176">
        <v>0</v>
      </c>
      <c r="I542" s="129">
        <v>0</v>
      </c>
      <c r="J542" s="9">
        <v>0</v>
      </c>
      <c r="K542" s="9">
        <v>2784</v>
      </c>
      <c r="L542" s="100">
        <v>740.5440000000001</v>
      </c>
      <c r="M542" s="10">
        <v>0</v>
      </c>
      <c r="N542" s="100">
        <v>740.5440000000001</v>
      </c>
      <c r="O542" s="164">
        <v>0</v>
      </c>
      <c r="P542" s="177">
        <v>0</v>
      </c>
      <c r="Q542" s="6">
        <v>5115</v>
      </c>
      <c r="R542" s="6">
        <v>672</v>
      </c>
      <c r="S542" s="6">
        <v>4443</v>
      </c>
      <c r="T542" s="6">
        <v>0</v>
      </c>
      <c r="U542" s="6">
        <v>0</v>
      </c>
      <c r="V542" s="6">
        <v>0</v>
      </c>
      <c r="W542" s="6">
        <v>8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41750.380000000005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1"/>
    </row>
    <row r="543" spans="2:62" x14ac:dyDescent="0.3">
      <c r="B543" s="30">
        <v>0</v>
      </c>
      <c r="C543" s="6" t="s">
        <v>5</v>
      </c>
      <c r="D543" s="182" t="s">
        <v>308</v>
      </c>
      <c r="E543" s="185" t="s">
        <v>315</v>
      </c>
      <c r="F543" s="192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450</v>
      </c>
      <c r="L543" s="100">
        <v>28.8</v>
      </c>
      <c r="M543" s="10">
        <v>0</v>
      </c>
      <c r="N543" s="100">
        <v>28.8</v>
      </c>
      <c r="O543" s="164">
        <v>0</v>
      </c>
      <c r="P543" s="177">
        <v>0</v>
      </c>
      <c r="Q543" s="6">
        <v>222</v>
      </c>
      <c r="R543" s="6">
        <v>222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1"/>
    </row>
    <row r="544" spans="2:62" x14ac:dyDescent="0.3">
      <c r="B544" s="30">
        <v>0</v>
      </c>
      <c r="C544" s="6" t="s">
        <v>5</v>
      </c>
      <c r="D544" s="182" t="s">
        <v>308</v>
      </c>
      <c r="E544" s="185" t="s">
        <v>315</v>
      </c>
      <c r="F544" s="192">
        <v>1083108</v>
      </c>
      <c r="G544" s="80" t="s">
        <v>778</v>
      </c>
      <c r="H544" s="176">
        <v>0</v>
      </c>
      <c r="I544" s="129">
        <v>0</v>
      </c>
      <c r="J544" s="9">
        <v>20</v>
      </c>
      <c r="K544" s="9">
        <v>640</v>
      </c>
      <c r="L544" s="100">
        <v>102.4</v>
      </c>
      <c r="M544" s="10">
        <v>0</v>
      </c>
      <c r="N544" s="100">
        <v>102.4</v>
      </c>
      <c r="O544" s="164">
        <v>0</v>
      </c>
      <c r="P544" s="177">
        <v>0</v>
      </c>
      <c r="Q544" s="6">
        <v>12069</v>
      </c>
      <c r="R544" s="6">
        <v>0</v>
      </c>
      <c r="S544" s="6">
        <v>12069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41638.050000000003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1"/>
    </row>
    <row r="545" spans="2:62" x14ac:dyDescent="0.3">
      <c r="B545" s="30" t="s">
        <v>27</v>
      </c>
      <c r="C545" s="6" t="s">
        <v>5</v>
      </c>
      <c r="D545" s="182" t="s">
        <v>312</v>
      </c>
      <c r="E545" s="185" t="s">
        <v>313</v>
      </c>
      <c r="F545" s="192">
        <v>1083381</v>
      </c>
      <c r="G545" s="193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1"/>
    </row>
    <row r="546" spans="2:62" ht="14.5" x14ac:dyDescent="0.35">
      <c r="B546" s="137" t="s">
        <v>31</v>
      </c>
      <c r="C546" s="116" t="s">
        <v>5</v>
      </c>
      <c r="D546" s="182" t="s">
        <v>306</v>
      </c>
      <c r="E546" s="185" t="s">
        <v>307</v>
      </c>
      <c r="F546" s="192">
        <v>1083416</v>
      </c>
      <c r="G546" s="194" t="s">
        <v>834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0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1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2" priority="388"/>
  </conditionalFormatting>
  <conditionalFormatting sqref="F18">
    <cfRule type="duplicateValues" dxfId="31" priority="616"/>
  </conditionalFormatting>
  <conditionalFormatting sqref="F19">
    <cfRule type="duplicateValues" dxfId="30" priority="36"/>
  </conditionalFormatting>
  <conditionalFormatting sqref="F25">
    <cfRule type="duplicateValues" dxfId="29" priority="27"/>
  </conditionalFormatting>
  <conditionalFormatting sqref="F28:F34">
    <cfRule type="duplicateValues" dxfId="28" priority="26"/>
  </conditionalFormatting>
  <conditionalFormatting sqref="F59">
    <cfRule type="duplicateValues" dxfId="27" priority="32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26" priority="11"/>
  </conditionalFormatting>
  <conditionalFormatting sqref="F99">
    <cfRule type="duplicateValues" dxfId="25" priority="33"/>
  </conditionalFormatting>
  <conditionalFormatting sqref="F117">
    <cfRule type="duplicateValues" dxfId="24" priority="34"/>
  </conditionalFormatting>
  <conditionalFormatting sqref="F126">
    <cfRule type="duplicateValues" dxfId="23" priority="30"/>
  </conditionalFormatting>
  <conditionalFormatting sqref="F208">
    <cfRule type="duplicateValues" dxfId="22" priority="22"/>
  </conditionalFormatting>
  <conditionalFormatting sqref="F215">
    <cfRule type="duplicateValues" dxfId="21" priority="31"/>
  </conditionalFormatting>
  <conditionalFormatting sqref="F226">
    <cfRule type="duplicateValues" dxfId="20" priority="13"/>
  </conditionalFormatting>
  <conditionalFormatting sqref="F237">
    <cfRule type="duplicateValues" dxfId="19" priority="21"/>
  </conditionalFormatting>
  <conditionalFormatting sqref="F252">
    <cfRule type="duplicateValues" dxfId="18" priority="20"/>
  </conditionalFormatting>
  <conditionalFormatting sqref="F260">
    <cfRule type="duplicateValues" dxfId="17" priority="35"/>
  </conditionalFormatting>
  <conditionalFormatting sqref="F300">
    <cfRule type="duplicateValues" dxfId="16" priority="18"/>
  </conditionalFormatting>
  <conditionalFormatting sqref="F302">
    <cfRule type="duplicateValues" dxfId="15" priority="19"/>
  </conditionalFormatting>
  <conditionalFormatting sqref="F315">
    <cfRule type="duplicateValues" dxfId="14" priority="12"/>
  </conditionalFormatting>
  <conditionalFormatting sqref="F352">
    <cfRule type="duplicateValues" dxfId="13" priority="23"/>
  </conditionalFormatting>
  <conditionalFormatting sqref="F389">
    <cfRule type="duplicateValues" dxfId="12" priority="14"/>
  </conditionalFormatting>
  <conditionalFormatting sqref="F425">
    <cfRule type="duplicateValues" dxfId="11" priority="24"/>
  </conditionalFormatting>
  <conditionalFormatting sqref="F473">
    <cfRule type="duplicateValues" dxfId="10" priority="15"/>
  </conditionalFormatting>
  <conditionalFormatting sqref="F483">
    <cfRule type="duplicateValues" dxfId="9" priority="16"/>
  </conditionalFormatting>
  <conditionalFormatting sqref="F484">
    <cfRule type="duplicateValues" dxfId="8" priority="17"/>
  </conditionalFormatting>
  <conditionalFormatting sqref="F521">
    <cfRule type="duplicateValues" dxfId="7" priority="25"/>
  </conditionalFormatting>
  <conditionalFormatting sqref="F522">
    <cfRule type="duplicateValues" dxfId="6" priority="29"/>
  </conditionalFormatting>
  <conditionalFormatting sqref="F523:F524">
    <cfRule type="duplicateValues" dxfId="5" priority="28"/>
  </conditionalFormatting>
  <conditionalFormatting sqref="G45">
    <cfRule type="duplicateValues" dxfId="4" priority="1"/>
  </conditionalFormatting>
  <conditionalFormatting sqref="M18:O18">
    <cfRule type="expression" dxfId="3" priority="522" stopIfTrue="1">
      <formula>"g4&gt;1"</formula>
    </cfRule>
  </conditionalFormatting>
  <conditionalFormatting sqref="P18">
    <cfRule type="expression" dxfId="2" priority="521" stopIfTrue="1">
      <formula>"g4&gt;1"</formula>
    </cfRule>
  </conditionalFormatting>
  <conditionalFormatting sqref="Y19:Y514">
    <cfRule type="cellIs" dxfId="1" priority="2" operator="between">
      <formula>5</formula>
      <formula>10</formula>
    </cfRule>
    <cfRule type="cellIs" dxfId="0" priority="3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D40619E7-7DAB-4972-96C3-2EB48D97C5E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7A61F701-FBA5-42C2-85FC-6CFF0E4F6F9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9" id="{1CC66EB2-BB3D-4B90-A2D4-6614B4BA47FF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2026-04-17T13:24:58Z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