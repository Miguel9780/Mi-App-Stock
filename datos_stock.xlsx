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6630C0AD-56C4-492B-8BA3-3DC390C4F4FF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<sst xmlns="http://schemas.openxmlformats.org/spreadsheetml/2006/main" count="4573" uniqueCount="878">
  <si>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</si>
  <si>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</si>
  <si>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</si>
  <si>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</si>
  <si>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</si>
  <si>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</si>
  <si>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</si>
  <si>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</si>
  <si>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</si>
  <si>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</si>
  <si>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</si>
  <si>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</si>
  <si>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</si>
  <si>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</si>
  <si>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</si>
  <si>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</si>
  <si>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</si>
  <si>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</si>
  <si>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</si>
  <si>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</si>
  <si>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</si>
  <si>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</si>
  <si>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</si>
  <si>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</si>
  <si>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</si>
  <si>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</si>
  <si>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</si>
  <si>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</si>
  <si>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</si>
  <si>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</si>
  <si>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</si>
  <si>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</si>
  <si>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</si>
  <si>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</si>
  <si>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</si>
  <si>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</si>
  <si>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</si>
  <si>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</si>
  <si>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</si>
  <si>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</si>
  <si>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</si>
  <si>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</si>
  <si>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</si>
  <si>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</si>
  <si>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</si>
  <si>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</si>
  <si>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</si>
  <si>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</si>
  <si>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</si>
  <si>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</si>
  <si>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</si>
  <si>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</si>
  <si>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</si>
  <si>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</si>
  <si>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</si>
  <si>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</si>
  <si>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</si>
  <si>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</si>
  <si>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</si>
  <si>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</si>
  <si>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</si>
  <si>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</si>
  <si>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</si>
  <si>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</si>
  <si>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</si>
  <si>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</si>
  <si>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</si>
  <si>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</si>
  <si>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</si>
  <si>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</si>
  <si>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</si>
  <si>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</si>
  <si>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</si>
  <si>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</si>
  <si>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</si>
  <si>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</si>
  <si>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</si>
  <si>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</si>
  <si>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</si>
  <si>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</si>
  <si>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</si>
  <si>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</si>
  <si>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</si>
  <si>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</si>
  <si>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</si>
  <si>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</si>
  <si>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</si>
  <si>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</si>
  <si>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</si>
  <si>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</si>
  <si>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</si>
  <si>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</si>
  <si>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</si>
  <si>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</si>
  <si>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</si>
  <si>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</si>
  <si>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</si>
  <si>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</si>
  <si>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</si>
  <si>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</si>
  <si>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</si>
  <si>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</si>
  <si>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</si>
  <si>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</si>
  <si>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</si>
  <si>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</si>
  <si>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</si>
  <si>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</si>
  <si>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</si>
  <si>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</si>
  <si>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</si>
  <si>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</si>
  <si>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</si>
  <si>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</si>
  <si>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</si>
  <si>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</si>
  <si>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</si>
  <si>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</si>
  <si>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</si>
  <si>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</si>
  <si>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</si>
  <si>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</si>
  <si>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</si>
  <si>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</si>
  <si>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</si>
  <si>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</si>
  <si>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</si>
  <si>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</si>
  <si>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</si>
  <si>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</si>
  <si>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</si>
  <si>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</si>
  <si>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</si>
  <si>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</si>
  <si>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</si>
  <si>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</si>
  <si>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</si>
  <si>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</si>
  <si>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</si>
  <si>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</si>
  <si>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</si>
  <si>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</si>
  <si>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</si>
  <si>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</si>
  <si>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</si>
  <si>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</si>
  <si>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</si>
  <si>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</si>
  <si>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</si>
  <si>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</si>
  <si>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</si>
  <si>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</si>
  <si>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</si>
  <si>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</si>
  <si>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</si>
  <si>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</si>
  <si>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</si>
  <si>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</si>
  <si>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</si>
  <si>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</si>
  <si>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</si>
  <si>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</si>
  <si>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</si>
  <si>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</si>
  <si>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</si>
  <si>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</si>
  <si>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</si>
  <si>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</si>
  <si>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</si>
  <si>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</si>
  <si>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</si>
  <si>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</si>
  <si>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</si>
  <si>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</si>
  <si>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</si>
  <si>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</si>
  <si>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</si>
  <si>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</si>
  <si>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</si>
  <si>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</si>
  <si>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</si>
  <si>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</si>
  <si>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</si>
  <si>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</si>
  <si>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</si>
  <si>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</si>
  <si>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</si>
  <si>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</si>
  <si>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</si>
  <si>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</si>
  <si>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</si>
  <si>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</si>
  <si>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</si>
  <si>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</si>
  <si>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</si>
  <si>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</si>
  <si>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</si>
  <si>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</si>
  <si>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</si>
  <si>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</si>
  <si>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</si>
  <si>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</si>
  <si>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</si>
  <si>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</si>
  <si>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</si>
  <si>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</si>
  <si>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</si>
  <si>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</si>
  <si>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</si>
  <si>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</si>
  <si>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</si>
  <si>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</si>
  <si>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</si>
  <si>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</si>
  <si>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</si>
  <si>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</si>
  <si>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</si>
  <si>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</si>
  <si>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</si>
  <si>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</si>
  <si>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</si>
  <si>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</si>
  <si>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</si>
  <si>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</si>
  <si>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</si>
  <si>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</si>
  <si>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</si>
  <si>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</si>
  <si>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</si>
  <si>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</si>
  <si>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</si>
  <si>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</si>
  <si>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</si>
  <si>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</si>
  <si>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</si>
  <si>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</si>
  <si>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</si>
  <si>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</si>
  <si>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</si>
  <si>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</si>
  <si>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</si>
  <si>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</si>
  <si>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</si>
  <si>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</si>
  <si>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</si>
  <si>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</si>
  <si>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</si>
  <si>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</si>
  <si>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</si>
  <si>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</si>
  <si>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</si>
  <si>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</si>
  <si>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</si>
  <si>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</si>
  <si>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</si>
  <si>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</si>
  <si>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</si>
  <si>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</si>
  <si>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</si>
  <si>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</si>
  <si>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</si>
  <si>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</si>
  <si>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</si>
  <si>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</si>
  <si>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</si>
  <si>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</si>
  <si>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</si>
  <si>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</si>
  <si>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</si>
  <si>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</si>
  <si>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</si>
  <si>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</si>
  <si>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</si>
  <si>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</si>
  <si>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</si>
  <si>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</si>
  <si>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</si>
  <si>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</si>
  <si>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</si>
  <si>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</si>
  <si>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</si>
  <si>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</si>
  <si>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</si>
  <si>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</si>
  <si>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</si>
  <si>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</si>
  <si>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</si>
  <si>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</si>
  <si>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</si>
  <si>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</si>
  <si>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</si>
  <si>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</si>
  <si>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</si>
  <si>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</si>
  <si>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</si>
  <si>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</si>
  <si>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</si>
  <si>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</si>
  <si>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</si>
  <si>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</si>
  <si>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</si>
  <si>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</si>
  <si>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</si>
  <si>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</si>
  <si>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</si>
  <si>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</si>
  <si>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</si>
  <si>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</si>
  <si>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</si>
  <si>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</si>
  <si>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</si>
  <si>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</si>
  <si>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</si>
  <si>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</si>
  <si>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</si>
  <si>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</si>
  <si>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</si>
  <si>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</si>
  <si>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</si>
  <si>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</si>
  <si>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</si>
  <si>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</si>
  <si>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</si>
  <si>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</si>
  <si>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</si>
  <si>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</si>
  <si>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</si>
  <si>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</si>
  <si>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</si>
  <si>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</si>
  <si>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</si>
  <si>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</si>
  <si>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</si>
  <si>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</si>
  <si>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</si>
  <si>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</si>
  <si>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</si>
  <si>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</si>
  <si>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</si>
  <si>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</si>
  <si>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</si>
  <si>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</si>
  <si>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</si>
  <si>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</si>
  <si>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</si>
  <si>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</si>
  <si>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</si>
  <si>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</si>
  <si>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</si>
  <si>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</si>
  <si>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</si>
  <si>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</si>
  <si>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</si>
  <si>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</si>
  <si>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</si>
  <si>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</si>
  <si>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</si>
  <si>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</si>
  <si>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</si>
  <si>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</si>
  <si>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</si>
  <si>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</si>
  <si>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</si>
  <si>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</si>
  <si>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</si>
  <si>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</si>
  <si>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</si>
  <si>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</si>
  <si>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</si>
  <si>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</si>
  <si>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</si>
  <si>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</si>
  <si>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</si>
  <si>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</si>
  <si>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</si>
  <si>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</si>
  <si>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</si>
  <si>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</si>
  <si>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</si>
  <si>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</si>
  <si>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</si>
  <si>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</si>
  <si>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</si>
  <si>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</si>
  <si>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</si>
  <si>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</si>
  <si>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</si>
  <si>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</si>
  <si>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</si>
  <si>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</si>
  <si>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</si>
  <si>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</si>
  <si>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</si>
  <si>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</si>
  <si>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</si>
  <si>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</si>
  <si>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</si>
  <si>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</si>
  <si>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</si>
  <si>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</si>
  <si>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</si>
  <si>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</si>
  <si>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</si>
  <si>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</si>
  <si>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</si>
  <si>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</si>
  <si>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</si>
  <si>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</si>
  <si>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</si>
  <si>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</si>
  <si>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</si>
  <si>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</si>
  <si>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</si>
  <si>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</si>
  <si>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</si>
  <si>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</si>
  <si>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</si>
  <si>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</si>
  <si>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</si>
  <si>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</si>
  <si>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</si>
  <si>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</si>
  <si>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</si>
  <si>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</si>
  <si>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</si>
  <si>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</si>
  <si>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</si>
  <si>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</si>
  <si>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</si>
  <si>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</si>
  <si>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</si>
  <si>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</si>
  <si>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</si>
  <si>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</si>
  <si>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</si>
  <si>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</si>
  <si>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</si>
  <si>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</si>
  <si>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</si>
  <si>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</si>
  <si>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</si>
  <si>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</si>
  <si>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</si>
  <si>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</si>
  <si>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</si>
  <si>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</si>
  <si>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</si>
  <si>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</si>
  <si>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</si>
  <si>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</si>
  <si>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</si>
  <si>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</si>
  <si>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</si>
  <si>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</si>
  <si>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</si>
  <si>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</si>
  <si>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</si>
  <si>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</si>
  <si>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</si>
  <si>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</si>
  <si>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</si>
  <si>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</si>
  <si>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</si>
  <si>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</si>
  <si>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</si>
  <si>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</si>
  <si>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</si>
  <si>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</si>
  <si>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</si>
  <si>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</si>
  <si>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</si>
  <si>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</si>
  <si>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</si>
  <si>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</si>
  <si>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</si>
  <si>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</si>
  <si>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</si>
  <si>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</si>
  <si>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</si>
  <si>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</si>
  <si>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</si>
  <si>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</si>
  <si>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</si>
  <si>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</si>
  <si>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</si>
  <si>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</si>
  <si>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</si>
  <si>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</si>
  <si>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</si>
  <si>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</si>
  <si>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</si>
  <si>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</si>
  <si>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</si>
  <si>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</si>
  <si>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</si>
  <si>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</si>
  <si>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</si>
  <si>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</si>
  <si>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</si>
  <si>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</si>
  <si>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</si>
  <si>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</si>
  <si>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</si>
  <si>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</si>
  <si>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</si>
  <si>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</si>
  <si>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</si>
  <si>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</si>
  <si>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</si>
  <si>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</si>
  <si>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</si>
  <si>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</si>
  <si>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</si>
  <si>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</si>
  <si>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</si>
  <si>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</si>
  <si>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</si>
  <si>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</si>
  <si>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</si>
  <si>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</si>
  <si>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</si>
  <si>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</si>
  <si>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</si>
  <si>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</si>
  <si>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</si>
  <si>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</si>
  <si>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</si>
  <si>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</si>
  <si>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</si>
  <si>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</si>
  <si>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</si>
  <si>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</si>
  <si>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</si>
  <si>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</si>
  <si>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</si>
  <si>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</si>
  <si>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</si>
  <si>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</si>
  <si>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</si>
  <si>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</si>
  <si>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</si>
  <si>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</si>
  <si>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</si>
  <si>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</si>
  <si>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</si>
  <si>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</si>
  <si>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</si>
  <si>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</si>
  <si>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</si>
  <si>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</si>
  <si>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</si>
  <si>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</si>
  <si>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</si>
  <si>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</si>
  <si>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</si>
  <si>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</si>
  <si>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</si>
  <si>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</si>
  <si>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</si>
  <si>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</si>
  <si>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</si>
  <si>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</si>
  <si>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</si>
  <si>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</si>
  <si>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</si>
  <si>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</si>
  <si>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</si>
  <si>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</si>
  <si>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</si>
  <si>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</si>
  <si>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</si>
  <si>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</si>
  <si>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</si>
  <si>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</si>
  <si>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</si>
  <si>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</si>
  <si>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</si>
  <si>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</si>
  <si>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</si>
  <si>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</si>
  <si>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</si>
  <si>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</si>
  <si>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</si>
  <si>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</si>
  <si>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</si>
  <si>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</si>
  <si>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</si>
  <si>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</si>
  <si>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</si>
  <si>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</si>
  <si>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</si>
  <si>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</si>
  <si>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</si>
  <si>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</si>
  <si>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</si>
  <si>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</si>
  <si>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</si>
  <si>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</si>
  <si>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</si>
  <si>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</si>
  <si>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</si>
  <si>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</si>
  <si>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</si>
  <si>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</si>
  <si>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</si>
  <si>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</si>
  <si>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</si>
  <si>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</si>
  <si>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</si>
  <si>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</si>
  <si>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</si>
  <si>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</si>
  <si>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</si>
  <si>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</si>
  <si>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</si>
  <si>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</si>
  <si>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</si>
  <si>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</si>
  <si>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</si>
  <si>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</si>
  <si>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</si>
  <si>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</si>
  <si>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</si>
  <si>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</si>
  <si>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</si>
  <si>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</si>
  <si>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</si>
  <si>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</si>
  <si>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</si>
  <si>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</si>
  <si>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</si>
  <si>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</si>
  <si>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</si>
  <si>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</si>
  <si>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</si>
  <si>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</si>
  <si>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</si>
  <si>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</si>
  <si>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</si>
  <si>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</si>
  <si>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</si>
  <si>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</si>
  <si>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</si>
  <si>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</si>
  <si>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</si>
  <si>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</si>
  <si>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</si>
  <si>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</si>
  <si>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</si>
  <si>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</si>
  <si>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</si>
  <si>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</si>
  <si>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</si>
  <si>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</si>
  <si>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</si>
  <si>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</si>
  <si>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</si>
  <si>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</si>
  <si>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</si>
  <si>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</si>
  <si>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</si>
  <si>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</si>
  <si>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</si>
  <si>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</si>
  <si>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</si>
  <si>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</si>
  <si>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</si>
  <si>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</si>
  <si>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</si>
  <si>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</si>
  <si>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</si>
  <si>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</si>
  <si>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</si>
  <si>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</si>
  <si>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</si>
  <si>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</si>
  <si>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</si>
  <si>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</si>
  <si>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</si>
  <si>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</si>
  <si>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</si>
  <si>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</si>
  <si>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</si>
  <si>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</si>
  <si>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</si>
  <si>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</si>
  <si>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</si>
  <si>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</si>
  <si>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</si>
  <si>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</si>
  <si>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</si>
  <si>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</si>
  <si>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</si>
  <si>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</si>
  <si>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</si>
  <si>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</si>
  <si>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</si>
  <si>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</si>
  <si>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</si>
  <si>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</si>
  <si>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</si>
  <si>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</si>
  <si>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</si>
  <si>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</si>
  <si>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</si>
  <si>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</si>
  <si>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</si>
  <si>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</si>
  <si>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</si>
  <si>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</si>
  <si>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</si>
  <si>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</si>
  <si>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</si>
  <si>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</si>
  <si>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</si>
  <si>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</si>
  <si>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</si>
  <si>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</si>
  <si>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</si>
  <si>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</si>
  <si>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</si>
  <si>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</si>
  <si>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</si>
  <si>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</si>
  <si>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</si>
  <si>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</si>
  <si>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</si>
  <si>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</si>
  <si>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</si>
  <si>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</si>
  <si>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</si>
  <si>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</si>
  <si>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</si>
  <si>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</si>
  <si>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</si>
  <si>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</si>
  <si>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</si>
  <si>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</si>
  <si>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</si>
  <si>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</si>
  <si>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</si>
  <si>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</si>
  <si>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</si>
  <si>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</si>
  <si>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</si>
  <si>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</si>
  <si>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</si>
  <si>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</si>
  <si>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</si>
  <si>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</si>
  <si>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</si>
  <si>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</si>
  <si>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</si>
  <si>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</si>
  <si>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</si>
  <si>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</si>
  <si>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</si>
  <si>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</si>
  <si>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</si>
  <si>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</si>
  <si>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</si>
  <si>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</si>
  <si>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</si>
  <si>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</si>
  <si>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</si>
  <si>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</si>
  <si>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</si>
  <si>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</si>
  <si>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</si>
  <si>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</si>
  <si>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</si>
  <si>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</si>
  <si>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</si>
  <si>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</si>
  <si>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</si>
  <si>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</si>
  <si>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</si>
  <si>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</si>
  <si>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</si>
  <si>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</si>
  <si>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</si>
  <si>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</si>
  <si>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</si>
  <si>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</si>
  <si>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</si>
  <si>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</si>
  <si>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</si>
  <si>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</si>
  <si>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</si>
  <si>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</si>
  <si>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</si>
  <si>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</si>
  <si>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</si>
  <si>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</si>
  <si>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</si>
  <si>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</si>
  <si>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</si>
  <si>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</si>
  <si>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</si>
  <si>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</si>
  <si>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</si>
  <si>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</si>
  <si>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</si>
  <si>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</si>
  <si>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</si>
  <si>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</si>
  <si>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</si>
  <si>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3,333 und que brinda una cobertura de 5 días e ingresará entre el 07/07/26 - 13/07/26</t>
  </si>
  <si>
    <t>Sin PD</t>
  </si>
  <si>
    <t>Posible Zarpe el 11 de julio de 1970 und - que nos brinda cobertura de 130 dias</t>
  </si>
  <si>
    <t>Problemas con despacho proveedor</t>
  </si>
  <si>
    <t>Glina.MontblancCaraCor18dspx4undPE</t>
  </si>
  <si>
    <t>Ingreso para la semana 29 de 5500 und que brindan cobertura de 40 dias</t>
  </si>
  <si>
    <t>Glina.MontblancCaraCor12dspx10undPE</t>
  </si>
  <si>
    <t>Ingreso para la semana 29 de 1200 und que brindan cobertura de 52 dias</t>
  </si>
  <si>
    <t>Cocoa Winters Cjx20ux40g RTS</t>
  </si>
  <si>
    <t>Posible ingreso para la seman 27 de 90700 und que brindan cobertura de 36 dias</t>
  </si>
  <si>
    <t>Posible ingreso el 22.07 de 4408 und que brindan cobertura de 113 dias</t>
  </si>
  <si>
    <t>Producción en stand by</t>
  </si>
  <si>
    <t>Existirá ingreso de 7,040 und que brinda una cobertura de 20 días e ingresará entre el 30/06/26 - 06/07/26</t>
  </si>
  <si>
    <t>Existirá ingreso de 81 und que brinda una cobertura de 28 días e ingresará entre el 30/06/26 - 06/07/26</t>
  </si>
  <si>
    <t>Referencia Descontinuada</t>
  </si>
  <si>
    <t>Existirá ingreso de 36,960 und que brinda una cobertura de 89 días e ingresará entre el 30/06/26 - 06/07/26</t>
  </si>
  <si>
    <t>Existirá ingreso de 2,384 und que brinda una cobertura de 31 días e ingresará entre el 07/07/26 - 13/07/26</t>
  </si>
  <si>
    <t>Existirá ingreso de 108,440 und que brinda una cobertura de 42 días e ingresará entre el 07/07/26 - 13/07/26</t>
  </si>
  <si>
    <t>Posible ingreso el 08.07 de 17076 und que brindan cobertura de 78 dias</t>
  </si>
  <si>
    <t>Existirá ingreso de 1,728 und que brinda una cobertura de 11 días e ingresará entre el 30/06/26 - 06/07/26</t>
  </si>
  <si>
    <t>Existirá ingreso de 165,998 und que brinda una cobertura de 79 días e ingresará entre el 07/07/26 - 13/07/26</t>
  </si>
  <si>
    <t>Existirá ingreso de 23,600 und que brinda una cobertura de 13 días e ingresará entre el 30/06/26 - 06/07/26</t>
  </si>
  <si>
    <t>Posible ingreso el 15.07 de 8784 und que brindan cobertura de 627 dias</t>
  </si>
  <si>
    <t>Existirá ingreso de 10,320 und que brinda una cobertura de 36 días e ingresará entre el 30/06/26 - 06/07/26</t>
  </si>
  <si>
    <t>Existirá ingreso de 2,912 und que brinda una cobertura de 13 días e ingresará entre el 07/07/26 - 13/07/26</t>
  </si>
  <si>
    <t>Existirá ingreso de 6,976 und que brinda una cobertura de 30 días e ingresará entre el 07/07/26 - 13/07/26</t>
  </si>
  <si>
    <t>Existirá ingreso de 2,704 und que brinda una cobertura de 14 días e ingresará entre el 30/06/26 - 06/07/26</t>
  </si>
  <si>
    <t>Posible ingreso el 15.07 de 32166 und que brinda una cobertura de 35 dias</t>
  </si>
  <si>
    <t>Posible ingreso el 15.07 de 44448und que brindan cobertura de 37 dias</t>
  </si>
  <si>
    <t>Existirá ingreso de 756 und que brinda una cobertura de 8 días e ingresará entre el 30/06/26 - 06/07/26</t>
  </si>
  <si>
    <t>Existirá ingreso de 4,716 und que brinda una cobertura de 13 días e ingresará entre el 30/06/26 - 06/07/26</t>
  </si>
  <si>
    <t>Existirá ingreso de 21,090 und que brinda una cobertura de 12 días e ingresará entre el 30/06/26 - 06/07/26</t>
  </si>
  <si>
    <t>Existirá ingreso de 131,250 und que brinda una cobertura de 14 días e ingresará entre el 30/06/26 - 06/07/26</t>
  </si>
  <si>
    <t>Existirá ingreso de 11,088 und que brinda una cobertura de 11 días e ingresará entre el 30/06/26 - 06/07/26</t>
  </si>
  <si>
    <t>Ingreso para la semana 28 de 602 und que brinda una cobertura de 12 dias</t>
  </si>
  <si>
    <t>Existirá ingreso de 17,690 und que brinda una cobertura de 26 días e ingresará entre el 07/07/26 - 13/07/26</t>
  </si>
  <si>
    <t>Existirá ingreso de 3,620 und que brinda una cobertura de 8 días e ingresará entre el 07/07/26 - 13/07/26</t>
  </si>
  <si>
    <t>Existirá ingreso de 6,570 und que brinda una cobertura de 9 días e ingresará entre el 30/06/26 - 06/07/26</t>
  </si>
  <si>
    <t>Existirá ingreso de 4,416 und que brinda una cobertura de 4 días e ingresará entre el 30/06/26 - 06/07/26</t>
  </si>
  <si>
    <t>Existirá ingreso de 397,056 und que brinda una cobertura de 13 días e ingresará entre el 30/06/26 - 06/07/26</t>
  </si>
  <si>
    <t>Existirá ingreso de 3,300 und que brinda una cobertura de 34 días e ingresará entre el 30/06/26 - 06/07/26</t>
  </si>
  <si>
    <t>Existirá ingreso de 100,008 und que brinda una cobertura de 21 días e ingresará entre el 07/07/26 - 13/07/26</t>
  </si>
  <si>
    <t>Existirá ingreso de 6,612 und que brinda una cobertura de 3 días e ingresará entre el 30/06/26 - 06/07/26</t>
  </si>
  <si>
    <t>Existirá ingreso de 2,883 und que brinda una cobertura de 40 días e ingresará entre el 07/07/26 - 13/07/26</t>
  </si>
  <si>
    <t>Existirá ingreso de 6,120 und que brinda una cobertura de 84 días e ingresará entre el 30/06/26 - 06/07/26</t>
  </si>
  <si>
    <t>Existirá ingreso de 9,045 und que brinda una cobertura de 4 días e ingresará entre el 07/07/26 - 13/07/26</t>
  </si>
  <si>
    <t>Existirá ingreso de 8,136 und que brinda una cobertura de 9 días e ingresará entre el 30/06/26 - 06/07/26</t>
  </si>
  <si>
    <t>Existirá ingreso de 113,640 und que brinda una cobertura de 10 días e ingresará entre el 30/06/26 - 06/07/26</t>
  </si>
  <si>
    <t>Existirá ingreso de 9,792 und que brinda una cobertura de 67 días e ingresará entre el 30/06/26 - 06/07/26</t>
  </si>
  <si>
    <t>Existirá ingreso de 5,915 und que brinda una cobertura de 15 días e ingresará entre el 07/07/26 - 13/07/26</t>
  </si>
  <si>
    <t>Existirá ingreso de 11,200 und que brinda una cobertura de 9 días e ingresará entre el 30/06/26 - 06/07/26</t>
  </si>
  <si>
    <t>Existirá ingreso de 8,642 und que brinda una cobertura de 3 días e ingresará entre el 07/07/26 - 13/07/26</t>
  </si>
  <si>
    <t>Existirá ingreso de 7,824 und que brinda una cobertura de 18 días e ingresará entre el 30/06/26 - 06/07/26</t>
  </si>
  <si>
    <t>Existirá ingreso de 8,016 und que brinda una cobertura de 28 días e ingresará entre el 07/07/26 - 13/07/26</t>
  </si>
  <si>
    <t>Existirá ingreso de 204 und que brinda una cobertura de 10 días e ingresará entre el 14/07/26 - 20/07/26</t>
  </si>
  <si>
    <t>Existirá ingreso de 14,292 und que brinda una cobertura de 7 días e ingresará entre el 07/07/26 - 13/07/26</t>
  </si>
  <si>
    <t>Existirá ingreso de 18,304 und que brinda una cobertura de 21 días e ingresará entre el 30/06/26 - 06/07/26</t>
  </si>
  <si>
    <t>Ingreso para la semana 30 de 1055 und que brinda una cobertura de 14 dias</t>
  </si>
  <si>
    <t>Existirá ingreso de 4,200 und que brinda una cobertura de 5 días e ingresará entre el 07/07/26 - 13/07/26</t>
  </si>
  <si>
    <t>Existirá ingreso de 15,112 und que brinda una cobertura de 13 días e ingresará entre el 30/06/26 - 06/07/26</t>
  </si>
  <si>
    <t>Existirá ingreso de 4,224 und que brinda una cobertura de 10 días e ingresará entre el 30/06/26 - 06/07/26</t>
  </si>
  <si>
    <t>Existirá ingreso de 8,448 und que brinda una cobertura de 20 días e ingresará entre el 30/06/26 - 06/07/26</t>
  </si>
  <si>
    <t>Existirá ingreso de 1,896 und que brinda una cobertura de 3 días e ingresará entre el 07/07/26 - 13/07/26</t>
  </si>
  <si>
    <t>Existirá ingreso de 7,284 und que brinda una cobertura de 73 días e ingresará entre el 30/06/26 - 06/07/26</t>
  </si>
  <si>
    <t>Existirá ingreso de 7,040 und que brinda una cobertura de 7 días e ingresará entre el 07/07/26 - 13/07/26</t>
  </si>
  <si>
    <t>Existirá ingreso de 7,040 und que brinda una cobertura de 16 días e ingresará entre el 07/07/26 - 13/07/26</t>
  </si>
  <si>
    <t>Existirá ingreso de 5,632 und que brinda una cobertura de 20 días e ingresará entre el 30/06/26 - 06/07/26</t>
  </si>
  <si>
    <t>Existirá ingreso de 9,856 und que brinda una cobertura de 18 días e ingresará entre el 07/07/26 - 13/07/26</t>
  </si>
  <si>
    <t>Posible ingreso el 01.07 de 8392 und que brindan cobertura de 58 dias</t>
  </si>
  <si>
    <t>Existirá ingreso de 2,371 und que brinda una cobertura de 3 días e ingresará entre el 07/07/26 - 13/07/26</t>
  </si>
  <si>
    <t>Existirá ingreso de 4,000 und que brinda una cobertura de 17 días e ingresará entre el 04/08/26 - 10/08/26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</si>
</sst>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4" fontId="9" fillId="0" borderId="14" xfId="0" applyNumberFormat="1" applyFont="1" applyBorder="1"/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14" fontId="2" fillId="0" borderId="0" xfId="3" applyNumberFormat="1" applyFont="1" applyFill="1" applyBorder="1" applyAlignment="1">
      <alignment vertical="center"/>
    </xf>
    <xf numFmtId="14" fontId="6" fillId="0" borderId="14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9" fillId="0" borderId="14" xfId="3" applyNumberFormat="1" applyFont="1" applyFill="1" applyBorder="1" applyAlignment="1">
      <alignment vertical="center"/>
    </xf>
    <xf numFmtId="0" fontId="9" fillId="0" borderId="0" xfId="0" applyFont="1"/>
    <xf numFmtId="1" fontId="9" fillId="0" borderId="14" xfId="0" applyNumberFormat="1" applyFont="1" applyBorder="1"/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3" totalsRowShown="0" headerRowDxfId="147" dataDxfId="0" tableBorderDxfId="146" headerRowCellStyle="Normal 10 2">
  <autoFilter ref="B18:BJ553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3"/>
  <sheetViews>
    <sheetView showGridLines="0" tabSelected="1" zoomScale="85" zoomScaleNormal="85" workbookViewId="0">
      <selection activeCell="H8" sqref="H8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1.089843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4" t="s">
        <v>341</v>
      </c>
      <c r="C2" s="195"/>
      <c r="D2" s="195"/>
      <c r="E2" s="195"/>
      <c r="F2" s="195"/>
      <c r="G2" s="198">
        <v>46206</v>
      </c>
    </row>
    <row r="3" spans="1:62" ht="13.5" customHeight="1" thickBot="1" x14ac:dyDescent="0.4">
      <c r="A3" s="105"/>
      <c r="B3" s="196"/>
      <c r="C3" s="197"/>
      <c r="D3" s="197"/>
      <c r="E3" s="197"/>
      <c r="F3" s="197"/>
      <c r="G3" s="199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200" t="s">
        <v>342</v>
      </c>
      <c r="R17" s="201"/>
      <c r="S17" s="202"/>
      <c r="T17" s="200" t="s">
        <v>497</v>
      </c>
      <c r="U17" s="201"/>
      <c r="V17" s="201"/>
      <c r="W17" s="201"/>
      <c r="X17" s="24"/>
      <c r="Y17" s="24"/>
      <c r="Z17" s="22"/>
      <c r="AA17" s="22"/>
      <c r="AB17" s="22"/>
      <c r="AC17" s="193" t="s">
        <v>331</v>
      </c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31</v>
      </c>
      <c r="C19" s="5" t="s">
        <v>5</v>
      </c>
      <c r="D19" s="5" t="s">
        <v>306</v>
      </c>
      <c r="E19" s="5" t="s">
        <v>307</v>
      </c>
      <c r="F19" s="125">
        <v>1083416</v>
      </c>
      <c r="G19" s="162" t="s">
        <v>802</v>
      </c>
      <c r="H19" s="164">
        <v>1E-4</v>
      </c>
      <c r="I19" s="164">
        <v>9.0000000000000002E-6</v>
      </c>
      <c r="J19" s="114">
        <v>0</v>
      </c>
      <c r="K19" s="114">
        <v>0</v>
      </c>
      <c r="L19" s="165">
        <v>0</v>
      </c>
      <c r="M19" s="115">
        <v>0</v>
      </c>
      <c r="N19" s="165">
        <v>9.0000000000000002E-6</v>
      </c>
      <c r="O19" s="165">
        <v>0</v>
      </c>
      <c r="P19" s="11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14">
        <v>1E-4</v>
      </c>
      <c r="Y19" s="114">
        <v>0</v>
      </c>
      <c r="Z19" s="114">
        <v>1E-4</v>
      </c>
      <c r="AA19" s="166">
        <v>0</v>
      </c>
      <c r="AB19" s="166">
        <v>0</v>
      </c>
      <c r="AC19" s="167">
        <v>0</v>
      </c>
      <c r="AD19" s="168"/>
      <c r="AE19" s="168"/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84" t="s">
        <v>1</v>
      </c>
      <c r="BJ19" s="203" t="s">
        <v>808</v>
      </c>
    </row>
    <row r="20" spans="1:62" ht="12.75" customHeight="1" x14ac:dyDescent="0.35">
      <c r="A20" s="105"/>
      <c r="B20" s="163" t="s">
        <v>1</v>
      </c>
      <c r="C20" s="5" t="s">
        <v>2</v>
      </c>
      <c r="D20" s="5" t="s">
        <v>396</v>
      </c>
      <c r="E20" s="5" t="s">
        <v>397</v>
      </c>
      <c r="F20" s="5">
        <v>1043306</v>
      </c>
      <c r="G20" s="7" t="s">
        <v>10</v>
      </c>
      <c r="H20" s="164">
        <v>391</v>
      </c>
      <c r="I20" s="164">
        <v>391</v>
      </c>
      <c r="J20" s="114">
        <v>0</v>
      </c>
      <c r="K20" s="114">
        <v>0</v>
      </c>
      <c r="L20" s="165">
        <v>0</v>
      </c>
      <c r="M20" s="115">
        <v>0</v>
      </c>
      <c r="N20" s="165">
        <v>391</v>
      </c>
      <c r="O20" s="165">
        <v>14.578005115089512</v>
      </c>
      <c r="P20" s="115">
        <v>0.66513718257614229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9</v>
      </c>
      <c r="X20" s="114">
        <v>391</v>
      </c>
      <c r="Y20" s="114">
        <v>0</v>
      </c>
      <c r="Z20" s="114">
        <v>391</v>
      </c>
      <c r="AA20" s="166">
        <v>11812.11</v>
      </c>
      <c r="AB20" s="166">
        <v>271.89</v>
      </c>
      <c r="AC20" s="167">
        <v>0</v>
      </c>
      <c r="AD20" s="168"/>
      <c r="AE20" s="168">
        <v>13.682250396196514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86" t="s">
        <v>1</v>
      </c>
      <c r="BJ20" s="204" t="s">
        <v>809</v>
      </c>
    </row>
    <row r="21" spans="1:62" ht="12.75" customHeight="1" x14ac:dyDescent="0.35">
      <c r="A21" s="105"/>
      <c r="B21" s="163" t="s">
        <v>1</v>
      </c>
      <c r="C21" s="5" t="s">
        <v>2</v>
      </c>
      <c r="D21" s="5" t="s">
        <v>396</v>
      </c>
      <c r="E21" s="5" t="s">
        <v>397</v>
      </c>
      <c r="F21" s="5">
        <v>1071748</v>
      </c>
      <c r="G21" s="7" t="s">
        <v>640</v>
      </c>
      <c r="H21" s="164">
        <v>89.374600489756901</v>
      </c>
      <c r="I21" s="164">
        <v>44.68730024487845</v>
      </c>
      <c r="J21" s="114">
        <v>0</v>
      </c>
      <c r="K21" s="114">
        <v>0</v>
      </c>
      <c r="L21" s="165">
        <v>0</v>
      </c>
      <c r="M21" s="115">
        <v>0</v>
      </c>
      <c r="N21" s="165">
        <v>44.68730024487845</v>
      </c>
      <c r="O21" s="165">
        <v>117.69296788647277</v>
      </c>
      <c r="P21" s="115">
        <v>1.512887019639082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3063</v>
      </c>
      <c r="X21" s="114">
        <v>89.374600489756901</v>
      </c>
      <c r="Y21" s="114">
        <v>0</v>
      </c>
      <c r="Z21" s="114">
        <v>89.374600489756901</v>
      </c>
      <c r="AA21" s="166">
        <v>1652.54</v>
      </c>
      <c r="AB21" s="166">
        <v>56634.87</v>
      </c>
      <c r="AC21" s="167">
        <v>0</v>
      </c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86" t="s">
        <v>1</v>
      </c>
      <c r="BJ21" s="204" t="s">
        <v>810</v>
      </c>
    </row>
    <row r="22" spans="1:62" ht="12.75" customHeight="1" x14ac:dyDescent="0.35">
      <c r="A22" s="105"/>
      <c r="B22" s="163" t="s">
        <v>21</v>
      </c>
      <c r="C22" s="5" t="s">
        <v>5</v>
      </c>
      <c r="D22" s="5" t="s">
        <v>308</v>
      </c>
      <c r="E22" s="5" t="s">
        <v>395</v>
      </c>
      <c r="F22" s="5">
        <v>1089560</v>
      </c>
      <c r="G22" s="7" t="s">
        <v>811</v>
      </c>
      <c r="H22" s="164">
        <v>3500</v>
      </c>
      <c r="I22" s="164">
        <v>189</v>
      </c>
      <c r="J22" s="114">
        <v>0</v>
      </c>
      <c r="K22" s="114">
        <v>0</v>
      </c>
      <c r="L22" s="165">
        <v>0</v>
      </c>
      <c r="M22" s="115">
        <v>0</v>
      </c>
      <c r="N22" s="165">
        <v>189</v>
      </c>
      <c r="O22" s="165">
        <v>0</v>
      </c>
      <c r="P22" s="11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14">
        <v>3500</v>
      </c>
      <c r="Y22" s="114">
        <v>0</v>
      </c>
      <c r="Z22" s="114">
        <v>3500</v>
      </c>
      <c r="AA22" s="166">
        <v>10885</v>
      </c>
      <c r="AB22" s="166">
        <v>0</v>
      </c>
      <c r="AC22" s="167">
        <v>0</v>
      </c>
      <c r="AD22" s="168"/>
      <c r="AE22" s="168">
        <v>3.0745629682483053</v>
      </c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84" t="s">
        <v>1</v>
      </c>
      <c r="BJ22" s="187" t="s">
        <v>812</v>
      </c>
    </row>
    <row r="23" spans="1:62" ht="12.75" customHeight="1" x14ac:dyDescent="0.35">
      <c r="A23" s="105"/>
      <c r="B23" s="163" t="s">
        <v>21</v>
      </c>
      <c r="C23" s="5" t="s">
        <v>5</v>
      </c>
      <c r="D23" s="5" t="s">
        <v>308</v>
      </c>
      <c r="E23" s="5" t="s">
        <v>395</v>
      </c>
      <c r="F23" s="5">
        <v>1089561</v>
      </c>
      <c r="G23" s="7" t="s">
        <v>813</v>
      </c>
      <c r="H23" s="164">
        <v>600</v>
      </c>
      <c r="I23" s="164">
        <v>81</v>
      </c>
      <c r="J23" s="114">
        <v>0</v>
      </c>
      <c r="K23" s="114">
        <v>0</v>
      </c>
      <c r="L23" s="165">
        <v>0</v>
      </c>
      <c r="M23" s="115">
        <v>0</v>
      </c>
      <c r="N23" s="165">
        <v>81</v>
      </c>
      <c r="O23" s="165">
        <v>0</v>
      </c>
      <c r="P23" s="11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14">
        <v>600</v>
      </c>
      <c r="Y23" s="114">
        <v>0</v>
      </c>
      <c r="Z23" s="114">
        <v>600</v>
      </c>
      <c r="AA23" s="166">
        <v>2040</v>
      </c>
      <c r="AB23" s="166">
        <v>0</v>
      </c>
      <c r="AC23" s="167">
        <v>0</v>
      </c>
      <c r="AD23" s="168"/>
      <c r="AE23" s="168">
        <v>9.1331444759206786</v>
      </c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86" t="s">
        <v>1</v>
      </c>
      <c r="BJ23" s="187" t="s">
        <v>814</v>
      </c>
    </row>
    <row r="24" spans="1:62" ht="12.75" customHeight="1" x14ac:dyDescent="0.35">
      <c r="A24" s="105"/>
      <c r="B24" s="163" t="s">
        <v>31</v>
      </c>
      <c r="C24" s="5" t="s">
        <v>5</v>
      </c>
      <c r="D24" s="5" t="s">
        <v>306</v>
      </c>
      <c r="E24" s="5" t="s">
        <v>307</v>
      </c>
      <c r="F24" s="5">
        <v>1091734</v>
      </c>
      <c r="G24" s="7" t="s">
        <v>815</v>
      </c>
      <c r="H24" s="164">
        <v>64260</v>
      </c>
      <c r="I24" s="164">
        <v>2570.4</v>
      </c>
      <c r="J24" s="114">
        <v>0</v>
      </c>
      <c r="K24" s="114">
        <v>0</v>
      </c>
      <c r="L24" s="165">
        <v>0</v>
      </c>
      <c r="M24" s="115">
        <v>0</v>
      </c>
      <c r="N24" s="165">
        <v>2570.4</v>
      </c>
      <c r="O24" s="165">
        <v>0</v>
      </c>
      <c r="P24" s="115">
        <v>0</v>
      </c>
      <c r="Q24" s="5">
        <v>0</v>
      </c>
      <c r="R24" s="5">
        <v>0</v>
      </c>
      <c r="S24" s="5">
        <v>0</v>
      </c>
      <c r="T24" s="5">
        <v>55440</v>
      </c>
      <c r="U24" s="5">
        <v>0</v>
      </c>
      <c r="V24" s="5">
        <v>0</v>
      </c>
      <c r="W24" s="5">
        <v>0</v>
      </c>
      <c r="X24" s="114">
        <v>64260</v>
      </c>
      <c r="Y24" s="114">
        <v>0</v>
      </c>
      <c r="Z24" s="114">
        <v>8820</v>
      </c>
      <c r="AA24" s="166">
        <v>75184.2</v>
      </c>
      <c r="AB24" s="166">
        <v>64864.800000000003</v>
      </c>
      <c r="AC24" s="167">
        <v>0.86274509803921573</v>
      </c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86" t="s">
        <v>1</v>
      </c>
      <c r="BJ24" s="185" t="s">
        <v>816</v>
      </c>
    </row>
    <row r="25" spans="1:62" ht="12.75" customHeight="1" x14ac:dyDescent="0.35">
      <c r="A25" s="105"/>
      <c r="B25" s="163" t="s">
        <v>1</v>
      </c>
      <c r="C25" s="5" t="s">
        <v>24</v>
      </c>
      <c r="D25" s="170" t="s">
        <v>316</v>
      </c>
      <c r="E25" s="5" t="s">
        <v>317</v>
      </c>
      <c r="F25" s="5">
        <v>1070721</v>
      </c>
      <c r="G25" s="7" t="s">
        <v>683</v>
      </c>
      <c r="H25" s="164">
        <v>10097.067073261038</v>
      </c>
      <c r="I25" s="164">
        <v>1090.4832439121922</v>
      </c>
      <c r="J25" s="114">
        <v>0</v>
      </c>
      <c r="K25" s="114">
        <v>333</v>
      </c>
      <c r="L25" s="165">
        <v>35.963999999999999</v>
      </c>
      <c r="M25" s="115">
        <v>3.2979874015281886E-2</v>
      </c>
      <c r="N25" s="165">
        <v>1054.5192439121922</v>
      </c>
      <c r="O25" s="165">
        <v>0</v>
      </c>
      <c r="P25" s="115">
        <v>1.29</v>
      </c>
      <c r="Q25" s="5">
        <v>48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60</v>
      </c>
      <c r="X25" s="114">
        <v>10097.067073261038</v>
      </c>
      <c r="Y25" s="114">
        <v>0</v>
      </c>
      <c r="Z25" s="114">
        <v>9716.0670732610379</v>
      </c>
      <c r="AA25" s="166">
        <v>53413.48</v>
      </c>
      <c r="AB25" s="166">
        <v>317.39999999999998</v>
      </c>
      <c r="AC25" s="167">
        <v>3.7733729729196419E-2</v>
      </c>
      <c r="AD25" s="171"/>
      <c r="AE25" s="168">
        <v>163.25564506978327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86" t="s">
        <v>1</v>
      </c>
      <c r="BJ25" s="187" t="s">
        <v>817</v>
      </c>
    </row>
    <row r="26" spans="1:62" ht="12.75" customHeight="1" x14ac:dyDescent="0.35">
      <c r="A26" s="105"/>
      <c r="B26" s="163" t="s">
        <v>9</v>
      </c>
      <c r="C26" s="5" t="s">
        <v>5</v>
      </c>
      <c r="D26" s="5" t="s">
        <v>308</v>
      </c>
      <c r="E26" s="5" t="s">
        <v>315</v>
      </c>
      <c r="F26" s="112">
        <v>1082308</v>
      </c>
      <c r="G26" s="113" t="s">
        <v>757</v>
      </c>
      <c r="H26" s="164">
        <v>6697.1562536263318</v>
      </c>
      <c r="I26" s="164">
        <v>1781.4435634646043</v>
      </c>
      <c r="J26" s="114">
        <v>0</v>
      </c>
      <c r="K26" s="114">
        <v>0</v>
      </c>
      <c r="L26" s="165">
        <v>0</v>
      </c>
      <c r="M26" s="115">
        <v>0</v>
      </c>
      <c r="N26" s="165">
        <v>1781.4435634646043</v>
      </c>
      <c r="O26" s="165">
        <v>64.392302651995337</v>
      </c>
      <c r="P26" s="115">
        <v>1.0545253147334142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14">
        <v>6697.1562536263318</v>
      </c>
      <c r="Y26" s="114">
        <v>0</v>
      </c>
      <c r="Z26" s="114">
        <v>6697.1562536263318</v>
      </c>
      <c r="AA26" s="166">
        <v>38106.82</v>
      </c>
      <c r="AB26" s="166">
        <v>0</v>
      </c>
      <c r="AC26" s="167">
        <v>0</v>
      </c>
      <c r="AD26" s="168"/>
      <c r="AE26" s="168">
        <v>8.3670715249662617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86" t="s">
        <v>1</v>
      </c>
      <c r="BJ26" s="185" t="s">
        <v>818</v>
      </c>
    </row>
    <row r="27" spans="1:62" ht="12.75" customHeight="1" x14ac:dyDescent="0.35">
      <c r="A27" s="105"/>
      <c r="B27" s="163" t="s">
        <v>1</v>
      </c>
      <c r="C27" s="5" t="s">
        <v>50</v>
      </c>
      <c r="D27" s="5" t="s">
        <v>320</v>
      </c>
      <c r="E27" s="5" t="s">
        <v>402</v>
      </c>
      <c r="F27" s="5">
        <v>1060792</v>
      </c>
      <c r="G27" s="7" t="s">
        <v>429</v>
      </c>
      <c r="H27" s="164">
        <v>9021.503149760536</v>
      </c>
      <c r="I27" s="164">
        <v>1623.8705669568965</v>
      </c>
      <c r="J27" s="114">
        <v>0</v>
      </c>
      <c r="K27" s="114">
        <v>40</v>
      </c>
      <c r="L27" s="165">
        <v>7.1999999999999993</v>
      </c>
      <c r="M27" s="115">
        <v>8.8677018310550047E-3</v>
      </c>
      <c r="N27" s="165">
        <v>1616.6705669568964</v>
      </c>
      <c r="O27" s="165">
        <v>10.975433235847413</v>
      </c>
      <c r="P27" s="115">
        <v>1.5165241163483654</v>
      </c>
      <c r="Q27" s="5">
        <v>40</v>
      </c>
      <c r="R27" s="5">
        <v>40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14">
        <v>9021.503149760536</v>
      </c>
      <c r="Y27" s="114">
        <v>0</v>
      </c>
      <c r="Z27" s="114">
        <v>8941.503149760536</v>
      </c>
      <c r="AA27" s="166">
        <v>62970.09</v>
      </c>
      <c r="AB27" s="166">
        <v>0</v>
      </c>
      <c r="AC27" s="167">
        <v>8.8677018310550082E-3</v>
      </c>
      <c r="AD27" s="168"/>
      <c r="AE27" s="168" t="s">
        <v>574</v>
      </c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84" t="s">
        <v>1</v>
      </c>
      <c r="BJ27" s="187" t="s">
        <v>819</v>
      </c>
    </row>
    <row r="28" spans="1:62" ht="12.75" customHeight="1" x14ac:dyDescent="0.35">
      <c r="A28" s="105"/>
      <c r="B28" s="163" t="s">
        <v>21</v>
      </c>
      <c r="C28" s="5" t="s">
        <v>5</v>
      </c>
      <c r="D28" s="5" t="s">
        <v>308</v>
      </c>
      <c r="E28" s="5" t="s">
        <v>395</v>
      </c>
      <c r="F28" s="5">
        <v>1069125</v>
      </c>
      <c r="G28" s="7" t="s">
        <v>557</v>
      </c>
      <c r="H28" s="164">
        <v>74.459450266297608</v>
      </c>
      <c r="I28" s="164">
        <v>59.567560213038092</v>
      </c>
      <c r="J28" s="114">
        <v>0</v>
      </c>
      <c r="K28" s="114">
        <v>-3</v>
      </c>
      <c r="L28" s="165">
        <v>-2.4000000000000004</v>
      </c>
      <c r="M28" s="115">
        <v>4.0290386099692738E-2</v>
      </c>
      <c r="N28" s="165">
        <v>61.967560213038091</v>
      </c>
      <c r="O28" s="165">
        <v>26.003636678572907</v>
      </c>
      <c r="P28" s="115">
        <v>1.7836456004284729</v>
      </c>
      <c r="Q28" s="5">
        <v>0</v>
      </c>
      <c r="R28" s="5">
        <v>6</v>
      </c>
      <c r="S28" s="5">
        <v>0</v>
      </c>
      <c r="T28" s="5">
        <v>0</v>
      </c>
      <c r="U28" s="5">
        <v>6</v>
      </c>
      <c r="V28" s="5">
        <v>0</v>
      </c>
      <c r="W28" s="5">
        <v>107</v>
      </c>
      <c r="X28" s="114">
        <v>74.459450266297608</v>
      </c>
      <c r="Y28" s="114">
        <v>0</v>
      </c>
      <c r="Z28" s="114">
        <v>77.459450266297608</v>
      </c>
      <c r="AA28" s="166">
        <v>2698.41</v>
      </c>
      <c r="AB28" s="166">
        <v>4095.12</v>
      </c>
      <c r="AC28" s="167">
        <v>-4.0290386099692821E-2</v>
      </c>
      <c r="AD28" s="168"/>
      <c r="AE28" s="168" t="s">
        <v>574</v>
      </c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86" t="s">
        <v>1</v>
      </c>
      <c r="BJ28" s="187" t="s">
        <v>820</v>
      </c>
    </row>
    <row r="29" spans="1:62" ht="12.75" customHeight="1" x14ac:dyDescent="0.35">
      <c r="A29" s="105"/>
      <c r="B29" s="163" t="s">
        <v>4</v>
      </c>
      <c r="C29" s="5" t="s">
        <v>5</v>
      </c>
      <c r="D29" s="5" t="s">
        <v>308</v>
      </c>
      <c r="E29" s="5" t="s">
        <v>314</v>
      </c>
      <c r="F29" s="5">
        <v>1075138</v>
      </c>
      <c r="G29" s="7" t="s">
        <v>664</v>
      </c>
      <c r="H29" s="164">
        <v>3000.0003999999999</v>
      </c>
      <c r="I29" s="164">
        <v>72.000009599999998</v>
      </c>
      <c r="J29" s="114">
        <v>0</v>
      </c>
      <c r="K29" s="114">
        <v>0</v>
      </c>
      <c r="L29" s="165">
        <v>0</v>
      </c>
      <c r="M29" s="115">
        <v>0</v>
      </c>
      <c r="N29" s="165">
        <v>72.000009599999998</v>
      </c>
      <c r="O29" s="165">
        <v>0</v>
      </c>
      <c r="P29" s="115">
        <v>1.4416670528519053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1364</v>
      </c>
      <c r="X29" s="114">
        <v>3000.0003999999999</v>
      </c>
      <c r="Y29" s="114">
        <v>0</v>
      </c>
      <c r="Z29" s="114">
        <v>3000.0003999999999</v>
      </c>
      <c r="AA29" s="166">
        <v>1140</v>
      </c>
      <c r="AB29" s="166">
        <v>518.32000000000005</v>
      </c>
      <c r="AC29" s="167">
        <v>0</v>
      </c>
      <c r="AD29" s="168"/>
      <c r="AE29" s="168"/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84" t="s">
        <v>1</v>
      </c>
      <c r="BJ29" s="185" t="s">
        <v>821</v>
      </c>
    </row>
    <row r="30" spans="1:62" ht="12.75" customHeight="1" x14ac:dyDescent="0.35">
      <c r="A30" s="105"/>
      <c r="B30" s="163" t="s">
        <v>1</v>
      </c>
      <c r="C30" s="5" t="s">
        <v>2</v>
      </c>
      <c r="D30" s="5" t="s">
        <v>396</v>
      </c>
      <c r="E30" s="5" t="s">
        <v>397</v>
      </c>
      <c r="F30" s="5">
        <v>1067719</v>
      </c>
      <c r="G30" s="7" t="s">
        <v>699</v>
      </c>
      <c r="H30" s="164">
        <v>105.14658881147871</v>
      </c>
      <c r="I30" s="164">
        <v>105.14658881147871</v>
      </c>
      <c r="J30" s="114">
        <v>0</v>
      </c>
      <c r="K30" s="114">
        <v>0</v>
      </c>
      <c r="L30" s="165">
        <v>0</v>
      </c>
      <c r="M30" s="115">
        <v>0</v>
      </c>
      <c r="N30" s="165">
        <v>105.14658881147871</v>
      </c>
      <c r="O30" s="165">
        <v>0</v>
      </c>
      <c r="P30" s="115">
        <v>0.10315138770266469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1878</v>
      </c>
      <c r="X30" s="114">
        <v>105.14658881147871</v>
      </c>
      <c r="Y30" s="114">
        <v>0</v>
      </c>
      <c r="Z30" s="114">
        <v>105.14658881147871</v>
      </c>
      <c r="AA30" s="166">
        <v>3768.45</v>
      </c>
      <c r="AB30" s="166">
        <v>67307.520000000004</v>
      </c>
      <c r="AC30" s="167">
        <v>0</v>
      </c>
      <c r="AD30" s="168"/>
      <c r="AE30" s="168">
        <v>12.431794871794875</v>
      </c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86" t="s">
        <v>1</v>
      </c>
      <c r="BJ30" s="185"/>
    </row>
    <row r="31" spans="1:62" ht="12.75" customHeight="1" x14ac:dyDescent="0.35">
      <c r="A31" s="105"/>
      <c r="B31" s="163" t="s">
        <v>148</v>
      </c>
      <c r="C31" s="5" t="s">
        <v>5</v>
      </c>
      <c r="D31" s="5" t="s">
        <v>318</v>
      </c>
      <c r="E31" s="5" t="s">
        <v>307</v>
      </c>
      <c r="F31" s="112">
        <v>1079366</v>
      </c>
      <c r="G31" s="113" t="s">
        <v>719</v>
      </c>
      <c r="H31" s="164">
        <v>49073</v>
      </c>
      <c r="I31" s="164">
        <v>41712.049999999996</v>
      </c>
      <c r="J31" s="114">
        <v>0</v>
      </c>
      <c r="K31" s="114">
        <v>1308</v>
      </c>
      <c r="L31" s="165">
        <v>1111.8</v>
      </c>
      <c r="M31" s="115">
        <v>3.9410673893994663E-2</v>
      </c>
      <c r="N31" s="165">
        <v>40600.249999999993</v>
      </c>
      <c r="O31" s="165">
        <v>0</v>
      </c>
      <c r="P31" s="115">
        <v>0.22202700203439985</v>
      </c>
      <c r="Q31" s="5">
        <v>626</v>
      </c>
      <c r="R31" s="5">
        <v>626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14">
        <v>49073</v>
      </c>
      <c r="Y31" s="114">
        <v>0</v>
      </c>
      <c r="Z31" s="114">
        <v>47139</v>
      </c>
      <c r="AA31" s="166">
        <v>435277.51</v>
      </c>
      <c r="AB31" s="166">
        <v>0</v>
      </c>
      <c r="AC31" s="167">
        <v>3.9410673893994663E-2</v>
      </c>
      <c r="AD31" s="168"/>
      <c r="AE31" s="168"/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86" t="s">
        <v>1</v>
      </c>
      <c r="BJ31" s="185" t="s">
        <v>822</v>
      </c>
    </row>
    <row r="32" spans="1:62" ht="12.75" customHeight="1" x14ac:dyDescent="0.35">
      <c r="A32" s="105"/>
      <c r="B32" s="163">
        <v>0</v>
      </c>
      <c r="C32" s="5" t="s">
        <v>2</v>
      </c>
      <c r="D32" s="5" t="s">
        <v>310</v>
      </c>
      <c r="E32" s="5" t="s">
        <v>311</v>
      </c>
      <c r="F32" s="116">
        <v>1080745</v>
      </c>
      <c r="G32" s="117" t="s">
        <v>788</v>
      </c>
      <c r="H32" s="164">
        <v>1575.9174267125502</v>
      </c>
      <c r="I32" s="164">
        <v>756.44036482202409</v>
      </c>
      <c r="J32" s="114">
        <v>0</v>
      </c>
      <c r="K32" s="114">
        <v>216</v>
      </c>
      <c r="L32" s="165">
        <v>103.67999999999999</v>
      </c>
      <c r="M32" s="115">
        <v>0.271587833693058</v>
      </c>
      <c r="N32" s="165">
        <v>652.76036482202414</v>
      </c>
      <c r="O32" s="165">
        <v>13.25099706663279</v>
      </c>
      <c r="P32" s="115">
        <v>1.6501606031614453</v>
      </c>
      <c r="Q32" s="5">
        <v>212</v>
      </c>
      <c r="R32" s="5">
        <v>212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14">
        <v>3424</v>
      </c>
      <c r="Y32" s="114">
        <v>0</v>
      </c>
      <c r="Z32" s="114">
        <v>1147.9174267125502</v>
      </c>
      <c r="AA32" s="166">
        <v>36072.75</v>
      </c>
      <c r="AB32" s="166">
        <v>0</v>
      </c>
      <c r="AC32" s="167">
        <v>0.27158783369305795</v>
      </c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84"/>
      <c r="BJ32" s="188" t="s">
        <v>823</v>
      </c>
    </row>
    <row r="33" spans="1:62" ht="12.75" customHeight="1" x14ac:dyDescent="0.35">
      <c r="A33" s="105"/>
      <c r="B33" s="163" t="s">
        <v>1</v>
      </c>
      <c r="C33" s="5" t="s">
        <v>24</v>
      </c>
      <c r="D33" s="5" t="s">
        <v>316</v>
      </c>
      <c r="E33" s="5" t="s">
        <v>400</v>
      </c>
      <c r="F33" s="5">
        <v>1024997</v>
      </c>
      <c r="G33" s="7" t="s">
        <v>62</v>
      </c>
      <c r="H33" s="164">
        <v>71799.510314605752</v>
      </c>
      <c r="I33" s="164">
        <v>15221.496186696419</v>
      </c>
      <c r="J33" s="114">
        <v>0</v>
      </c>
      <c r="K33" s="114">
        <v>16202</v>
      </c>
      <c r="L33" s="165">
        <v>3434.8240000000001</v>
      </c>
      <c r="M33" s="115">
        <v>0.22582326716372719</v>
      </c>
      <c r="N33" s="165">
        <v>11786.672186696418</v>
      </c>
      <c r="O33" s="165">
        <v>1.8825294207380083</v>
      </c>
      <c r="P33" s="115">
        <v>1.4195631867366072</v>
      </c>
      <c r="Q33" s="5">
        <v>25</v>
      </c>
      <c r="R33" s="5">
        <v>12</v>
      </c>
      <c r="S33" s="5">
        <v>13</v>
      </c>
      <c r="T33" s="5">
        <v>0</v>
      </c>
      <c r="U33" s="5">
        <v>0</v>
      </c>
      <c r="V33" s="5">
        <v>0</v>
      </c>
      <c r="W33" s="5">
        <v>0</v>
      </c>
      <c r="X33" s="114">
        <v>129712</v>
      </c>
      <c r="Y33" s="114">
        <v>3.0066609103244113E-3</v>
      </c>
      <c r="Z33" s="114">
        <v>55572.510314605752</v>
      </c>
      <c r="AA33" s="166">
        <v>364023.52</v>
      </c>
      <c r="AB33" s="166">
        <v>65.91</v>
      </c>
      <c r="AC33" s="167">
        <v>0.22600432689439998</v>
      </c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84" t="s">
        <v>1</v>
      </c>
      <c r="BJ33" s="169" t="s">
        <v>824</v>
      </c>
    </row>
    <row r="34" spans="1:62" ht="12.75" customHeight="1" x14ac:dyDescent="0.35">
      <c r="A34" s="105"/>
      <c r="B34" s="163" t="s">
        <v>1</v>
      </c>
      <c r="C34" s="5" t="s">
        <v>17</v>
      </c>
      <c r="D34" s="5" t="s">
        <v>312</v>
      </c>
      <c r="E34" s="5" t="s">
        <v>398</v>
      </c>
      <c r="F34" s="5">
        <v>1043974</v>
      </c>
      <c r="G34" s="7" t="s">
        <v>18</v>
      </c>
      <c r="H34" s="164">
        <v>5674.1386437098245</v>
      </c>
      <c r="I34" s="164">
        <v>3336.3935225013765</v>
      </c>
      <c r="J34" s="114">
        <v>0</v>
      </c>
      <c r="K34" s="114">
        <v>0</v>
      </c>
      <c r="L34" s="165">
        <v>0</v>
      </c>
      <c r="M34" s="115">
        <v>0</v>
      </c>
      <c r="N34" s="165">
        <v>3336.3935225013765</v>
      </c>
      <c r="O34" s="165">
        <v>0</v>
      </c>
      <c r="P34" s="115">
        <v>1.7599146984309544</v>
      </c>
      <c r="Q34" s="5">
        <v>10</v>
      </c>
      <c r="R34" s="5">
        <v>0</v>
      </c>
      <c r="S34" s="5">
        <v>10</v>
      </c>
      <c r="T34" s="5">
        <v>0</v>
      </c>
      <c r="U34" s="5">
        <v>0</v>
      </c>
      <c r="V34" s="5">
        <v>0</v>
      </c>
      <c r="W34" s="5">
        <v>0</v>
      </c>
      <c r="X34" s="114">
        <v>5674.1386437098236</v>
      </c>
      <c r="Y34" s="114">
        <v>5.2871460998326292E-2</v>
      </c>
      <c r="Z34" s="114">
        <v>5664.1386437098245</v>
      </c>
      <c r="AA34" s="166">
        <v>24285.31</v>
      </c>
      <c r="AB34" s="166">
        <v>42.8</v>
      </c>
      <c r="AC34" s="167">
        <v>1.7623820332774986E-3</v>
      </c>
      <c r="AD34" s="168"/>
      <c r="AE34" s="168" t="s">
        <v>574</v>
      </c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84" t="s">
        <v>1</v>
      </c>
      <c r="BJ34" s="185" t="s">
        <v>825</v>
      </c>
    </row>
    <row r="35" spans="1:62" ht="12.75" customHeight="1" x14ac:dyDescent="0.35">
      <c r="A35" s="105"/>
      <c r="B35" s="163" t="s">
        <v>8</v>
      </c>
      <c r="C35" s="5" t="s">
        <v>5</v>
      </c>
      <c r="D35" s="5" t="s">
        <v>308</v>
      </c>
      <c r="E35" s="5" t="s">
        <v>309</v>
      </c>
      <c r="F35" s="5">
        <v>1079778</v>
      </c>
      <c r="G35" s="7" t="s">
        <v>749</v>
      </c>
      <c r="H35" s="164">
        <v>4367.8530833860186</v>
      </c>
      <c r="I35" s="164">
        <v>1257.9416880151732</v>
      </c>
      <c r="J35" s="114">
        <v>0</v>
      </c>
      <c r="K35" s="114">
        <v>1</v>
      </c>
      <c r="L35" s="165">
        <v>0.28799999999999998</v>
      </c>
      <c r="M35" s="115">
        <v>2.289454294613743E-4</v>
      </c>
      <c r="N35" s="165">
        <v>1257.6536880151732</v>
      </c>
      <c r="O35" s="165">
        <v>0</v>
      </c>
      <c r="P35" s="115">
        <v>0.88079320895182611</v>
      </c>
      <c r="Q35" s="5">
        <v>13</v>
      </c>
      <c r="R35" s="5">
        <v>0</v>
      </c>
      <c r="S35" s="5">
        <v>13</v>
      </c>
      <c r="T35" s="5">
        <v>0</v>
      </c>
      <c r="U35" s="5">
        <v>0</v>
      </c>
      <c r="V35" s="5">
        <v>0</v>
      </c>
      <c r="W35" s="5">
        <v>270</v>
      </c>
      <c r="X35" s="114">
        <v>4367.8530833860186</v>
      </c>
      <c r="Y35" s="114">
        <v>8.9288717489935984E-2</v>
      </c>
      <c r="Z35" s="114">
        <v>4353.8530833860186</v>
      </c>
      <c r="AA35" s="166">
        <v>47129.13</v>
      </c>
      <c r="AB35" s="166">
        <v>3053.57</v>
      </c>
      <c r="AC35" s="167">
        <v>3.205236012459256E-3</v>
      </c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84" t="s">
        <v>1</v>
      </c>
      <c r="BJ35" s="185" t="s">
        <v>826</v>
      </c>
    </row>
    <row r="36" spans="1:62" ht="12.75" customHeight="1" x14ac:dyDescent="0.35">
      <c r="A36" s="105"/>
      <c r="B36" s="163" t="s">
        <v>148</v>
      </c>
      <c r="C36" s="5" t="s">
        <v>5</v>
      </c>
      <c r="D36" s="5" t="s">
        <v>318</v>
      </c>
      <c r="E36" s="5" t="s">
        <v>307</v>
      </c>
      <c r="F36" s="112">
        <v>1079365</v>
      </c>
      <c r="G36" s="113" t="s">
        <v>718</v>
      </c>
      <c r="H36" s="164">
        <v>176967</v>
      </c>
      <c r="I36" s="164">
        <v>150421.94999999998</v>
      </c>
      <c r="J36" s="114">
        <v>0</v>
      </c>
      <c r="K36" s="114">
        <v>3340</v>
      </c>
      <c r="L36" s="165">
        <v>2839</v>
      </c>
      <c r="M36" s="115">
        <v>2.1992800917685219E-2</v>
      </c>
      <c r="N36" s="165">
        <v>147582.94999999998</v>
      </c>
      <c r="O36" s="165">
        <v>0</v>
      </c>
      <c r="P36" s="115">
        <v>0.19056917097027318</v>
      </c>
      <c r="Q36" s="5">
        <v>1218</v>
      </c>
      <c r="R36" s="5">
        <v>552</v>
      </c>
      <c r="S36" s="5">
        <v>666</v>
      </c>
      <c r="T36" s="5">
        <v>0</v>
      </c>
      <c r="U36" s="5">
        <v>0</v>
      </c>
      <c r="V36" s="5">
        <v>0</v>
      </c>
      <c r="W36" s="5">
        <v>0</v>
      </c>
      <c r="X36" s="114">
        <v>176967</v>
      </c>
      <c r="Y36" s="114">
        <v>0.11290240553323502</v>
      </c>
      <c r="Z36" s="114">
        <v>172409</v>
      </c>
      <c r="AA36" s="166">
        <v>1339640.19</v>
      </c>
      <c r="AB36" s="166">
        <v>5041.62</v>
      </c>
      <c r="AC36" s="167">
        <v>2.5756214435459723E-2</v>
      </c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84"/>
      <c r="BJ36" s="185" t="s">
        <v>827</v>
      </c>
    </row>
    <row r="37" spans="1:62" ht="12.75" customHeight="1" x14ac:dyDescent="0.35">
      <c r="A37" s="105"/>
      <c r="B37" s="163" t="s">
        <v>15</v>
      </c>
      <c r="C37" s="5" t="s">
        <v>5</v>
      </c>
      <c r="D37" s="5" t="s">
        <v>308</v>
      </c>
      <c r="E37" s="5" t="s">
        <v>315</v>
      </c>
      <c r="F37" s="5">
        <v>1073436</v>
      </c>
      <c r="G37" s="7" t="s">
        <v>635</v>
      </c>
      <c r="H37" s="164">
        <v>64217.7601127831</v>
      </c>
      <c r="I37" s="164">
        <v>14384.778265263414</v>
      </c>
      <c r="J37" s="114">
        <v>0</v>
      </c>
      <c r="K37" s="114">
        <v>1663</v>
      </c>
      <c r="L37" s="165">
        <v>372.512</v>
      </c>
      <c r="M37" s="115">
        <v>2.5896262919780123E-2</v>
      </c>
      <c r="N37" s="165">
        <v>14012.266265263414</v>
      </c>
      <c r="O37" s="165">
        <v>0</v>
      </c>
      <c r="P37" s="115">
        <v>1.3259930417093857</v>
      </c>
      <c r="Q37" s="5">
        <v>2248</v>
      </c>
      <c r="R37" s="5">
        <v>0</v>
      </c>
      <c r="S37" s="5">
        <v>2248</v>
      </c>
      <c r="T37" s="5">
        <v>6192</v>
      </c>
      <c r="U37" s="5">
        <v>480</v>
      </c>
      <c r="V37" s="5">
        <v>0</v>
      </c>
      <c r="W37" s="5">
        <v>0</v>
      </c>
      <c r="X37" s="114">
        <v>64217.7601127831</v>
      </c>
      <c r="Y37" s="114">
        <v>1.0501767716836869</v>
      </c>
      <c r="Z37" s="114">
        <v>54114.7601127831</v>
      </c>
      <c r="AA37" s="166">
        <v>285126.84999999998</v>
      </c>
      <c r="AB37" s="166">
        <v>39604.800000000003</v>
      </c>
      <c r="AC37" s="167">
        <v>0.1573240795421158</v>
      </c>
      <c r="AD37" s="168"/>
      <c r="AE37" s="168"/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86"/>
      <c r="BJ37" s="169" t="s">
        <v>828</v>
      </c>
    </row>
    <row r="38" spans="1:62" ht="12.75" customHeight="1" x14ac:dyDescent="0.35">
      <c r="A38" s="105"/>
      <c r="B38" s="163" t="s">
        <v>1</v>
      </c>
      <c r="C38" s="5" t="s">
        <v>24</v>
      </c>
      <c r="D38" s="5" t="s">
        <v>316</v>
      </c>
      <c r="E38" s="5" t="s">
        <v>400</v>
      </c>
      <c r="F38" s="5">
        <v>1057538</v>
      </c>
      <c r="G38" s="7" t="s">
        <v>450</v>
      </c>
      <c r="H38" s="164">
        <v>10484.314580520584</v>
      </c>
      <c r="I38" s="164">
        <v>8911.6673934424962</v>
      </c>
      <c r="J38" s="114">
        <v>0</v>
      </c>
      <c r="K38" s="114">
        <v>6162</v>
      </c>
      <c r="L38" s="165">
        <v>5237.7</v>
      </c>
      <c r="M38" s="115">
        <v>0.59307644312321406</v>
      </c>
      <c r="N38" s="165">
        <v>3673.9673934424964</v>
      </c>
      <c r="O38" s="165">
        <v>3.3555424452587945</v>
      </c>
      <c r="P38" s="115">
        <v>1.4127327090816184</v>
      </c>
      <c r="Q38" s="5">
        <v>1856</v>
      </c>
      <c r="R38" s="5">
        <v>56</v>
      </c>
      <c r="S38" s="5">
        <v>1800</v>
      </c>
      <c r="T38" s="5">
        <v>0</v>
      </c>
      <c r="U38" s="5">
        <v>0</v>
      </c>
      <c r="V38" s="5">
        <v>0</v>
      </c>
      <c r="W38" s="5">
        <v>0</v>
      </c>
      <c r="X38" s="114">
        <v>49744</v>
      </c>
      <c r="Y38" s="114">
        <v>1.085558057253136</v>
      </c>
      <c r="Z38" s="114">
        <v>2466.3145805205841</v>
      </c>
      <c r="AA38" s="166">
        <v>194064.66</v>
      </c>
      <c r="AB38" s="166">
        <v>33318</v>
      </c>
      <c r="AC38" s="167">
        <v>0.76476148616306372</v>
      </c>
      <c r="AD38" s="171"/>
      <c r="AE38" s="168" t="s">
        <v>574</v>
      </c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86" t="s">
        <v>1</v>
      </c>
      <c r="BJ38" s="185"/>
    </row>
    <row r="39" spans="1:62" ht="12.75" customHeight="1" x14ac:dyDescent="0.35">
      <c r="A39" s="105"/>
      <c r="B39" s="163" t="s">
        <v>1</v>
      </c>
      <c r="C39" s="5" t="s">
        <v>2</v>
      </c>
      <c r="D39" s="5" t="s">
        <v>306</v>
      </c>
      <c r="E39" s="5" t="s">
        <v>401</v>
      </c>
      <c r="F39" s="55">
        <v>1064893</v>
      </c>
      <c r="G39" s="64" t="s">
        <v>535</v>
      </c>
      <c r="H39" s="164">
        <v>350</v>
      </c>
      <c r="I39" s="164">
        <v>630</v>
      </c>
      <c r="J39" s="114">
        <v>0</v>
      </c>
      <c r="K39" s="114">
        <v>0</v>
      </c>
      <c r="L39" s="165">
        <v>0</v>
      </c>
      <c r="M39" s="115">
        <v>0</v>
      </c>
      <c r="N39" s="165">
        <v>630</v>
      </c>
      <c r="O39" s="165">
        <v>31.971428571428575</v>
      </c>
      <c r="P39" s="115">
        <v>1.2740384615384615</v>
      </c>
      <c r="Q39" s="5">
        <v>20</v>
      </c>
      <c r="R39" s="5">
        <v>0</v>
      </c>
      <c r="S39" s="5">
        <v>20</v>
      </c>
      <c r="T39" s="5">
        <v>0</v>
      </c>
      <c r="U39" s="5">
        <v>0</v>
      </c>
      <c r="V39" s="5">
        <v>0</v>
      </c>
      <c r="W39" s="5">
        <v>0</v>
      </c>
      <c r="X39" s="114">
        <v>350</v>
      </c>
      <c r="Y39" s="114">
        <v>1.7142857142857142</v>
      </c>
      <c r="Z39" s="114">
        <v>330</v>
      </c>
      <c r="AA39" s="166">
        <v>1053.5</v>
      </c>
      <c r="AB39" s="166">
        <v>60.2</v>
      </c>
      <c r="AC39" s="167">
        <v>5.7142857142857162E-2</v>
      </c>
      <c r="AD39" s="171"/>
      <c r="AE39" s="168"/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86"/>
      <c r="BJ39" s="185" t="s">
        <v>829</v>
      </c>
    </row>
    <row r="40" spans="1:62" ht="12.75" customHeight="1" x14ac:dyDescent="0.35">
      <c r="A40" s="105"/>
      <c r="B40" s="163" t="s">
        <v>38</v>
      </c>
      <c r="C40" s="5" t="s">
        <v>5</v>
      </c>
      <c r="D40" s="5" t="s">
        <v>308</v>
      </c>
      <c r="E40" s="5" t="s">
        <v>405</v>
      </c>
      <c r="F40" s="5">
        <v>1059307</v>
      </c>
      <c r="G40" s="7" t="s">
        <v>269</v>
      </c>
      <c r="H40" s="164">
        <v>8364.4169360268806</v>
      </c>
      <c r="I40" s="164">
        <v>4182.2084680134403</v>
      </c>
      <c r="J40" s="114">
        <v>0</v>
      </c>
      <c r="K40" s="114">
        <v>242</v>
      </c>
      <c r="L40" s="165">
        <v>121</v>
      </c>
      <c r="M40" s="115">
        <v>2.8932082397479172E-2</v>
      </c>
      <c r="N40" s="165">
        <v>4061.2084680134403</v>
      </c>
      <c r="O40" s="165">
        <v>1.3506610210370384</v>
      </c>
      <c r="P40" s="115">
        <v>1.7198830024650413</v>
      </c>
      <c r="Q40" s="5">
        <v>490</v>
      </c>
      <c r="R40" s="5">
        <v>0</v>
      </c>
      <c r="S40" s="5">
        <v>490</v>
      </c>
      <c r="T40" s="5">
        <v>0</v>
      </c>
      <c r="U40" s="5">
        <v>0</v>
      </c>
      <c r="V40" s="5">
        <v>0</v>
      </c>
      <c r="W40" s="5">
        <v>200</v>
      </c>
      <c r="X40" s="114">
        <v>8364.4169360268806</v>
      </c>
      <c r="Y40" s="114">
        <v>1.7574446745576193</v>
      </c>
      <c r="Z40" s="114">
        <v>7632.4169360268806</v>
      </c>
      <c r="AA40" s="166">
        <v>49015.48</v>
      </c>
      <c r="AB40" s="166">
        <v>4043.4</v>
      </c>
      <c r="AC40" s="167">
        <v>8.751357154939976E-2</v>
      </c>
      <c r="AD40" s="171"/>
      <c r="AE40" s="168"/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86"/>
      <c r="BJ40" s="185" t="s">
        <v>830</v>
      </c>
    </row>
    <row r="41" spans="1:62" ht="12.75" customHeight="1" x14ac:dyDescent="0.35">
      <c r="A41" s="105"/>
      <c r="B41" s="163" t="s">
        <v>1</v>
      </c>
      <c r="C41" s="5" t="s">
        <v>50</v>
      </c>
      <c r="D41" s="5" t="s">
        <v>316</v>
      </c>
      <c r="E41" s="5" t="s">
        <v>408</v>
      </c>
      <c r="F41" s="161">
        <v>1060670</v>
      </c>
      <c r="G41" s="3" t="s">
        <v>518</v>
      </c>
      <c r="H41" s="164">
        <v>8500</v>
      </c>
      <c r="I41" s="164">
        <v>2125</v>
      </c>
      <c r="J41" s="114">
        <v>0</v>
      </c>
      <c r="K41" s="114">
        <v>0</v>
      </c>
      <c r="L41" s="165">
        <v>0</v>
      </c>
      <c r="M41" s="115">
        <v>0</v>
      </c>
      <c r="N41" s="165">
        <v>2125</v>
      </c>
      <c r="O41" s="165">
        <v>0</v>
      </c>
      <c r="P41" s="115">
        <v>1.1526666666666667</v>
      </c>
      <c r="Q41" s="5">
        <v>644</v>
      </c>
      <c r="R41" s="5">
        <v>0</v>
      </c>
      <c r="S41" s="5">
        <v>644</v>
      </c>
      <c r="T41" s="5">
        <v>0</v>
      </c>
      <c r="U41" s="5">
        <v>16</v>
      </c>
      <c r="V41" s="5">
        <v>0</v>
      </c>
      <c r="W41" s="5">
        <v>4</v>
      </c>
      <c r="X41" s="114">
        <v>8500</v>
      </c>
      <c r="Y41" s="114">
        <v>2.2729411764705882</v>
      </c>
      <c r="Z41" s="114">
        <v>7856</v>
      </c>
      <c r="AA41" s="166">
        <v>167620</v>
      </c>
      <c r="AB41" s="166">
        <v>13094.08</v>
      </c>
      <c r="AC41" s="167">
        <v>7.5764705882352956E-2</v>
      </c>
      <c r="AD41" s="171"/>
      <c r="AE41" s="168">
        <v>14.586349534643228</v>
      </c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86" t="s">
        <v>1</v>
      </c>
      <c r="BJ41" s="169" t="s">
        <v>831</v>
      </c>
    </row>
    <row r="42" spans="1:62" ht="12.75" customHeight="1" x14ac:dyDescent="0.35">
      <c r="A42" s="105"/>
      <c r="B42" s="163" t="s">
        <v>21</v>
      </c>
      <c r="C42" s="5" t="s">
        <v>5</v>
      </c>
      <c r="D42" s="5" t="s">
        <v>396</v>
      </c>
      <c r="E42" s="5" t="s">
        <v>307</v>
      </c>
      <c r="F42" s="161">
        <v>1058296</v>
      </c>
      <c r="G42" s="3" t="s">
        <v>249</v>
      </c>
      <c r="H42" s="164">
        <v>5953.2536023431476</v>
      </c>
      <c r="I42" s="164">
        <v>2976.6268011715738</v>
      </c>
      <c r="J42" s="114">
        <v>0</v>
      </c>
      <c r="K42" s="114">
        <v>1</v>
      </c>
      <c r="L42" s="165">
        <v>0.5</v>
      </c>
      <c r="M42" s="115">
        <v>1.6797537393777563E-4</v>
      </c>
      <c r="N42" s="165">
        <v>2976.1268011715738</v>
      </c>
      <c r="O42" s="165">
        <v>3.0373965460817098</v>
      </c>
      <c r="P42" s="115">
        <v>1.6199875336103122</v>
      </c>
      <c r="Q42" s="5">
        <v>602</v>
      </c>
      <c r="R42" s="5">
        <v>0</v>
      </c>
      <c r="S42" s="5">
        <v>602</v>
      </c>
      <c r="T42" s="5">
        <v>0</v>
      </c>
      <c r="U42" s="5">
        <v>0</v>
      </c>
      <c r="V42" s="5">
        <v>0</v>
      </c>
      <c r="W42" s="5">
        <v>0</v>
      </c>
      <c r="X42" s="114">
        <v>5953.2536023431485</v>
      </c>
      <c r="Y42" s="114">
        <v>3.033635253316227</v>
      </c>
      <c r="Z42" s="114">
        <v>5350.2536023431476</v>
      </c>
      <c r="AA42" s="166">
        <v>33040.559999999998</v>
      </c>
      <c r="AB42" s="166">
        <v>3341.1</v>
      </c>
      <c r="AC42" s="167">
        <v>0.10128915048447873</v>
      </c>
      <c r="AD42" s="171"/>
      <c r="AE42" s="168"/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86"/>
      <c r="BJ42" s="185" t="s">
        <v>832</v>
      </c>
    </row>
    <row r="43" spans="1:62" ht="12.5" customHeight="1" x14ac:dyDescent="0.35">
      <c r="A43" s="105"/>
      <c r="B43" s="163" t="s">
        <v>31</v>
      </c>
      <c r="C43" s="5" t="s">
        <v>5</v>
      </c>
      <c r="D43" s="5" t="s">
        <v>306</v>
      </c>
      <c r="E43" s="5" t="s">
        <v>307</v>
      </c>
      <c r="F43" s="5">
        <v>1077101</v>
      </c>
      <c r="G43" s="7" t="s">
        <v>677</v>
      </c>
      <c r="H43" s="164">
        <v>10920</v>
      </c>
      <c r="I43" s="164">
        <v>436.8</v>
      </c>
      <c r="J43" s="114">
        <v>0</v>
      </c>
      <c r="K43" s="114">
        <v>29040</v>
      </c>
      <c r="L43" s="165">
        <v>1161.6000000000001</v>
      </c>
      <c r="M43" s="115">
        <v>2.6593406593406592</v>
      </c>
      <c r="N43" s="165">
        <v>724.80000000000018</v>
      </c>
      <c r="O43" s="165">
        <v>69.72527472527473</v>
      </c>
      <c r="P43" s="115">
        <v>0.81287138920204804</v>
      </c>
      <c r="Q43" s="5">
        <v>24690</v>
      </c>
      <c r="R43" s="5">
        <v>0</v>
      </c>
      <c r="S43" s="5">
        <v>24690</v>
      </c>
      <c r="T43" s="5">
        <v>0</v>
      </c>
      <c r="U43" s="5">
        <v>0</v>
      </c>
      <c r="V43" s="5">
        <v>0</v>
      </c>
      <c r="W43" s="5">
        <v>0</v>
      </c>
      <c r="X43" s="114">
        <v>232320</v>
      </c>
      <c r="Y43" s="114">
        <v>3.1882747933884295</v>
      </c>
      <c r="Z43" s="114">
        <v>-42810</v>
      </c>
      <c r="AA43" s="166">
        <v>9718.7999999999993</v>
      </c>
      <c r="AB43" s="166">
        <v>21974.1</v>
      </c>
      <c r="AC43" s="167">
        <v>4.9203296703296697</v>
      </c>
      <c r="AD43" s="171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86"/>
      <c r="BJ43" s="187"/>
    </row>
    <row r="44" spans="1:62" ht="12.5" customHeight="1" x14ac:dyDescent="0.35">
      <c r="A44" s="105"/>
      <c r="B44" s="163" t="s">
        <v>1</v>
      </c>
      <c r="C44" s="5" t="s">
        <v>2</v>
      </c>
      <c r="D44" s="5" t="s">
        <v>308</v>
      </c>
      <c r="E44" s="5" t="s">
        <v>395</v>
      </c>
      <c r="F44" s="5">
        <v>1078355</v>
      </c>
      <c r="G44" s="3" t="s">
        <v>706</v>
      </c>
      <c r="H44" s="164">
        <v>889</v>
      </c>
      <c r="I44" s="164">
        <v>224.02799999999999</v>
      </c>
      <c r="J44" s="114">
        <v>0</v>
      </c>
      <c r="K44" s="114">
        <v>0</v>
      </c>
      <c r="L44" s="165">
        <v>0</v>
      </c>
      <c r="M44" s="115">
        <v>4.0494938132733409E-2</v>
      </c>
      <c r="N44" s="165">
        <v>224.02799999999999</v>
      </c>
      <c r="O44" s="165">
        <v>0</v>
      </c>
      <c r="P44" s="115">
        <v>0.1687289088863892</v>
      </c>
      <c r="Q44" s="5">
        <v>146</v>
      </c>
      <c r="R44" s="5">
        <v>36</v>
      </c>
      <c r="S44" s="5">
        <v>110</v>
      </c>
      <c r="T44" s="5">
        <v>0</v>
      </c>
      <c r="U44" s="5">
        <v>0</v>
      </c>
      <c r="V44" s="5">
        <v>0</v>
      </c>
      <c r="W44" s="5">
        <v>1425</v>
      </c>
      <c r="X44" s="114">
        <v>889</v>
      </c>
      <c r="Y44" s="114">
        <v>3.7120359955005622</v>
      </c>
      <c r="Z44" s="114">
        <v>743</v>
      </c>
      <c r="AA44" s="166">
        <v>8045.45</v>
      </c>
      <c r="AB44" s="166">
        <v>13891.75</v>
      </c>
      <c r="AC44" s="167">
        <v>0.16422947131608545</v>
      </c>
      <c r="AD44" s="171"/>
      <c r="AE44" s="168">
        <v>67.599515738498795</v>
      </c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86" t="s">
        <v>1</v>
      </c>
      <c r="BJ44" s="185"/>
    </row>
    <row r="45" spans="1:62" ht="12.75" customHeight="1" x14ac:dyDescent="0.35">
      <c r="A45" s="105"/>
      <c r="B45" s="163" t="s">
        <v>27</v>
      </c>
      <c r="C45" s="5" t="s">
        <v>5</v>
      </c>
      <c r="D45" s="5" t="s">
        <v>308</v>
      </c>
      <c r="E45" s="5" t="s">
        <v>315</v>
      </c>
      <c r="F45" s="5">
        <v>1078707</v>
      </c>
      <c r="G45" s="7" t="s">
        <v>695</v>
      </c>
      <c r="H45" s="164">
        <v>9991.5962308497637</v>
      </c>
      <c r="I45" s="164">
        <v>6534.5039349757453</v>
      </c>
      <c r="J45" s="114">
        <v>0</v>
      </c>
      <c r="K45" s="114">
        <v>-30</v>
      </c>
      <c r="L45" s="165">
        <v>-19.62</v>
      </c>
      <c r="M45" s="115">
        <v>-3.0025232512271528E-3</v>
      </c>
      <c r="N45" s="165">
        <v>6554.1239349757452</v>
      </c>
      <c r="O45" s="165">
        <v>0</v>
      </c>
      <c r="P45" s="115">
        <v>1.0416796362208247</v>
      </c>
      <c r="Q45" s="5">
        <v>1334</v>
      </c>
      <c r="R45" s="5">
        <v>0</v>
      </c>
      <c r="S45" s="5">
        <v>1333</v>
      </c>
      <c r="T45" s="5">
        <v>720</v>
      </c>
      <c r="U45" s="5">
        <v>64</v>
      </c>
      <c r="V45" s="5">
        <v>0</v>
      </c>
      <c r="W45" s="5">
        <v>0</v>
      </c>
      <c r="X45" s="114">
        <v>9991.5962308497637</v>
      </c>
      <c r="Y45" s="114">
        <v>4.0023634938857953</v>
      </c>
      <c r="Z45" s="114">
        <v>7967.5962308497637</v>
      </c>
      <c r="AA45" s="166">
        <v>119399.58</v>
      </c>
      <c r="AB45" s="166">
        <v>25298.15</v>
      </c>
      <c r="AC45" s="167">
        <v>0.20257023534945862</v>
      </c>
      <c r="AD45" s="168"/>
      <c r="AE45" s="168"/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86"/>
      <c r="BJ45" s="187" t="s">
        <v>833</v>
      </c>
    </row>
    <row r="46" spans="1:62" ht="12.75" customHeight="1" x14ac:dyDescent="0.35">
      <c r="A46" s="105"/>
      <c r="B46" s="163">
        <v>0</v>
      </c>
      <c r="C46" s="5" t="s">
        <v>2</v>
      </c>
      <c r="D46" s="5" t="s">
        <v>310</v>
      </c>
      <c r="E46" s="5" t="s">
        <v>311</v>
      </c>
      <c r="F46" s="116">
        <v>1080747</v>
      </c>
      <c r="G46" s="117" t="s">
        <v>782</v>
      </c>
      <c r="H46" s="164">
        <v>23479.396426383712</v>
      </c>
      <c r="I46" s="164">
        <v>3756.703428221394</v>
      </c>
      <c r="J46" s="114">
        <v>0</v>
      </c>
      <c r="K46" s="114">
        <v>7605</v>
      </c>
      <c r="L46" s="165">
        <v>1216.8</v>
      </c>
      <c r="M46" s="115">
        <v>0.34613325881187135</v>
      </c>
      <c r="N46" s="165">
        <v>2539.9034282213943</v>
      </c>
      <c r="O46" s="165">
        <v>12.049632881132101</v>
      </c>
      <c r="P46" s="115">
        <v>1.569379784408284</v>
      </c>
      <c r="Q46" s="5">
        <v>9345</v>
      </c>
      <c r="R46" s="5">
        <v>522</v>
      </c>
      <c r="S46" s="5">
        <v>8823</v>
      </c>
      <c r="T46" s="5">
        <v>0</v>
      </c>
      <c r="U46" s="5">
        <v>0</v>
      </c>
      <c r="V46" s="5">
        <v>22446</v>
      </c>
      <c r="W46" s="5">
        <v>0</v>
      </c>
      <c r="X46" s="114">
        <v>65016.000000000007</v>
      </c>
      <c r="Y46" s="114">
        <v>4.0711517165005535</v>
      </c>
      <c r="Z46" s="114">
        <v>6529.3964263837115</v>
      </c>
      <c r="AA46" s="166">
        <v>150972.51999999999</v>
      </c>
      <c r="AB46" s="166">
        <v>201059.67</v>
      </c>
      <c r="AC46" s="167">
        <v>0.72190952834517275</v>
      </c>
      <c r="AD46" s="168"/>
      <c r="AE46" s="168">
        <v>45.406639004149376</v>
      </c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86" t="s">
        <v>1</v>
      </c>
      <c r="BJ46" s="185" t="s">
        <v>834</v>
      </c>
    </row>
    <row r="47" spans="1:62" ht="12.5" customHeight="1" x14ac:dyDescent="0.35">
      <c r="A47" s="105"/>
      <c r="B47" s="163" t="s">
        <v>1</v>
      </c>
      <c r="C47" s="5" t="s">
        <v>2</v>
      </c>
      <c r="D47" s="5" t="s">
        <v>306</v>
      </c>
      <c r="E47" s="5" t="s">
        <v>401</v>
      </c>
      <c r="F47" s="5">
        <v>1075854</v>
      </c>
      <c r="G47" s="7" t="s">
        <v>689</v>
      </c>
      <c r="H47" s="164">
        <v>36523.69741020193</v>
      </c>
      <c r="I47" s="164">
        <v>13148.531067672695</v>
      </c>
      <c r="J47" s="114">
        <v>0</v>
      </c>
      <c r="K47" s="114">
        <v>5439</v>
      </c>
      <c r="L47" s="165">
        <v>1958.04</v>
      </c>
      <c r="M47" s="115">
        <v>0.16205916760077757</v>
      </c>
      <c r="N47" s="165">
        <v>11190.491067672694</v>
      </c>
      <c r="O47" s="165">
        <v>0</v>
      </c>
      <c r="P47" s="115">
        <v>1.3226647771786719</v>
      </c>
      <c r="Q47" s="5">
        <v>7678</v>
      </c>
      <c r="R47" s="5">
        <v>480</v>
      </c>
      <c r="S47" s="5">
        <v>7198</v>
      </c>
      <c r="T47" s="5">
        <v>0</v>
      </c>
      <c r="U47" s="5">
        <v>0</v>
      </c>
      <c r="V47" s="5">
        <v>0</v>
      </c>
      <c r="W47" s="5">
        <v>0</v>
      </c>
      <c r="X47" s="114">
        <v>47352</v>
      </c>
      <c r="Y47" s="114">
        <v>4.5603142422706542</v>
      </c>
      <c r="Z47" s="114">
        <v>23406.69741020193</v>
      </c>
      <c r="AA47" s="166">
        <v>165087.10999999999</v>
      </c>
      <c r="AB47" s="166">
        <v>32534.959999999999</v>
      </c>
      <c r="AC47" s="167">
        <v>0.35913669562753836</v>
      </c>
      <c r="AD47" s="168"/>
      <c r="AE47" s="168">
        <v>31.309116809116805</v>
      </c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86" t="s">
        <v>1</v>
      </c>
      <c r="BJ47" s="185" t="s">
        <v>835</v>
      </c>
    </row>
    <row r="48" spans="1:62" ht="12.5" customHeight="1" x14ac:dyDescent="0.35">
      <c r="A48" s="105"/>
      <c r="B48" s="163" t="s">
        <v>15</v>
      </c>
      <c r="C48" s="5" t="s">
        <v>5</v>
      </c>
      <c r="D48" s="5" t="s">
        <v>308</v>
      </c>
      <c r="E48" s="5" t="s">
        <v>315</v>
      </c>
      <c r="F48" s="5">
        <v>1074226</v>
      </c>
      <c r="G48" s="124" t="s">
        <v>633</v>
      </c>
      <c r="H48" s="164">
        <v>2594.5982666827103</v>
      </c>
      <c r="I48" s="164">
        <v>518.91965333654207</v>
      </c>
      <c r="J48" s="114">
        <v>0</v>
      </c>
      <c r="K48" s="114">
        <v>0</v>
      </c>
      <c r="L48" s="165">
        <v>0</v>
      </c>
      <c r="M48" s="115">
        <v>2.3124967271604714E-3</v>
      </c>
      <c r="N48" s="165">
        <v>518.91965333654207</v>
      </c>
      <c r="O48" s="165">
        <v>0</v>
      </c>
      <c r="P48" s="115">
        <v>1.040087915564897</v>
      </c>
      <c r="Q48" s="5">
        <v>441</v>
      </c>
      <c r="R48" s="5">
        <v>6</v>
      </c>
      <c r="S48" s="5">
        <v>435</v>
      </c>
      <c r="T48" s="5">
        <v>0</v>
      </c>
      <c r="U48" s="5">
        <v>0</v>
      </c>
      <c r="V48" s="5">
        <v>0</v>
      </c>
      <c r="W48" s="5">
        <v>0</v>
      </c>
      <c r="X48" s="114">
        <v>2594.5982666827103</v>
      </c>
      <c r="Y48" s="114">
        <v>5.0296803815740256</v>
      </c>
      <c r="Z48" s="114">
        <v>2153.5982666827103</v>
      </c>
      <c r="AA48" s="166">
        <v>6745.96</v>
      </c>
      <c r="AB48" s="166">
        <v>1131</v>
      </c>
      <c r="AC48" s="167">
        <v>0.16996850944629471</v>
      </c>
      <c r="AD48" s="168"/>
      <c r="AE48" s="168"/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84"/>
      <c r="BJ48" s="187" t="s">
        <v>836</v>
      </c>
    </row>
    <row r="49" spans="1:62" ht="12.75" customHeight="1" x14ac:dyDescent="0.35">
      <c r="A49" s="105"/>
      <c r="B49" s="163" t="s">
        <v>1</v>
      </c>
      <c r="C49" s="5" t="s">
        <v>2</v>
      </c>
      <c r="D49" s="5" t="s">
        <v>310</v>
      </c>
      <c r="E49" s="5" t="s">
        <v>311</v>
      </c>
      <c r="F49" s="5">
        <v>1078888</v>
      </c>
      <c r="G49" s="7" t="s">
        <v>717</v>
      </c>
      <c r="H49" s="164">
        <v>16656</v>
      </c>
      <c r="I49" s="164">
        <v>1665.6000000000001</v>
      </c>
      <c r="J49" s="114">
        <v>0</v>
      </c>
      <c r="K49" s="114">
        <v>5385</v>
      </c>
      <c r="L49" s="165">
        <v>538.5</v>
      </c>
      <c r="M49" s="115">
        <v>0.40255763688760809</v>
      </c>
      <c r="N49" s="165">
        <v>1127.1000000000001</v>
      </c>
      <c r="O49" s="165">
        <v>37.890850144092212</v>
      </c>
      <c r="P49" s="115">
        <v>2.6228168622307195</v>
      </c>
      <c r="Q49" s="5">
        <v>10360</v>
      </c>
      <c r="R49" s="5">
        <v>1320</v>
      </c>
      <c r="S49" s="5">
        <v>9040</v>
      </c>
      <c r="T49" s="5">
        <v>0</v>
      </c>
      <c r="U49" s="5">
        <v>0</v>
      </c>
      <c r="V49" s="5">
        <v>0</v>
      </c>
      <c r="W49" s="5">
        <v>0</v>
      </c>
      <c r="X49" s="114">
        <v>53640</v>
      </c>
      <c r="Y49" s="114">
        <v>5.0559284116331096</v>
      </c>
      <c r="Z49" s="114">
        <v>911</v>
      </c>
      <c r="AA49" s="166">
        <v>23484.959999999999</v>
      </c>
      <c r="AB49" s="166">
        <v>12746.4</v>
      </c>
      <c r="AC49" s="167">
        <v>0.94530499519692601</v>
      </c>
      <c r="AD49" s="168"/>
      <c r="AE49" s="168"/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84"/>
      <c r="BJ49" s="185"/>
    </row>
    <row r="50" spans="1:62" ht="12.75" customHeight="1" x14ac:dyDescent="0.35">
      <c r="A50" s="105"/>
      <c r="B50" s="163" t="s">
        <v>27</v>
      </c>
      <c r="C50" s="5" t="s">
        <v>5</v>
      </c>
      <c r="D50" s="5" t="s">
        <v>312</v>
      </c>
      <c r="E50" s="5" t="s">
        <v>313</v>
      </c>
      <c r="F50" s="5">
        <v>1073737</v>
      </c>
      <c r="G50" s="7" t="s">
        <v>619</v>
      </c>
      <c r="H50" s="164">
        <v>12574.641036818401</v>
      </c>
      <c r="I50" s="164">
        <v>4778.3635939909927</v>
      </c>
      <c r="J50" s="114">
        <v>0</v>
      </c>
      <c r="K50" s="114">
        <v>100</v>
      </c>
      <c r="L50" s="165">
        <v>38</v>
      </c>
      <c r="M50" s="115">
        <v>2.8947148386519527E-2</v>
      </c>
      <c r="N50" s="165">
        <v>4740.3635939909927</v>
      </c>
      <c r="O50" s="165">
        <v>7.8285152321417817</v>
      </c>
      <c r="P50" s="115">
        <v>1.9637741403400377</v>
      </c>
      <c r="Q50" s="5">
        <v>2698</v>
      </c>
      <c r="R50" s="5">
        <v>264</v>
      </c>
      <c r="S50" s="5">
        <v>2434</v>
      </c>
      <c r="T50" s="5">
        <v>0</v>
      </c>
      <c r="U50" s="5">
        <v>0</v>
      </c>
      <c r="V50" s="5">
        <v>0</v>
      </c>
      <c r="W50" s="5">
        <v>0</v>
      </c>
      <c r="X50" s="114">
        <v>12574.641036818401</v>
      </c>
      <c r="Y50" s="114">
        <v>5.8069252065485051</v>
      </c>
      <c r="Z50" s="114">
        <v>9776.6410368184006</v>
      </c>
      <c r="AA50" s="166">
        <v>49418.34</v>
      </c>
      <c r="AB50" s="166">
        <v>9565.6200000000008</v>
      </c>
      <c r="AC50" s="167">
        <v>0.22251132193813639</v>
      </c>
      <c r="AD50" s="168"/>
      <c r="AE50" s="168"/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86" t="s">
        <v>1</v>
      </c>
      <c r="BJ50" s="185" t="s">
        <v>837</v>
      </c>
    </row>
    <row r="51" spans="1:62" ht="12.5" customHeight="1" x14ac:dyDescent="0.35">
      <c r="A51" s="105"/>
      <c r="B51" s="163" t="s">
        <v>27</v>
      </c>
      <c r="C51" s="5" t="s">
        <v>5</v>
      </c>
      <c r="D51" s="5" t="s">
        <v>312</v>
      </c>
      <c r="E51" s="5" t="s">
        <v>313</v>
      </c>
      <c r="F51" s="130">
        <v>1072813</v>
      </c>
      <c r="G51" s="131" t="s">
        <v>612</v>
      </c>
      <c r="H51" s="164">
        <v>50576.906622668379</v>
      </c>
      <c r="I51" s="164">
        <v>11531.534709968391</v>
      </c>
      <c r="J51" s="114">
        <v>0</v>
      </c>
      <c r="K51" s="114">
        <v>482</v>
      </c>
      <c r="L51" s="165">
        <v>109.896</v>
      </c>
      <c r="M51" s="115">
        <v>1.2495821555775813E-2</v>
      </c>
      <c r="N51" s="165">
        <v>11421.638709968391</v>
      </c>
      <c r="O51" s="165">
        <v>0</v>
      </c>
      <c r="P51" s="115">
        <v>1.151020444453376</v>
      </c>
      <c r="Q51" s="5">
        <v>10633</v>
      </c>
      <c r="R51" s="5">
        <v>150</v>
      </c>
      <c r="S51" s="5">
        <v>10481</v>
      </c>
      <c r="T51" s="5">
        <v>0</v>
      </c>
      <c r="U51" s="5">
        <v>150</v>
      </c>
      <c r="V51" s="5">
        <v>0</v>
      </c>
      <c r="W51" s="5">
        <v>0</v>
      </c>
      <c r="X51" s="114">
        <v>50576.906622668372</v>
      </c>
      <c r="Y51" s="114">
        <v>6.2168689426939707</v>
      </c>
      <c r="Z51" s="114">
        <v>39461.906622668379</v>
      </c>
      <c r="AA51" s="166">
        <v>108234.58</v>
      </c>
      <c r="AB51" s="166">
        <v>22750.34</v>
      </c>
      <c r="AC51" s="167">
        <v>0.21976433005134199</v>
      </c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86" t="s">
        <v>1</v>
      </c>
      <c r="BJ51" s="188" t="s">
        <v>838</v>
      </c>
    </row>
    <row r="52" spans="1:62" ht="12.5" customHeight="1" x14ac:dyDescent="0.35">
      <c r="A52" s="105"/>
      <c r="B52" s="163" t="s">
        <v>27</v>
      </c>
      <c r="C52" s="5" t="s">
        <v>5</v>
      </c>
      <c r="D52" s="5" t="s">
        <v>312</v>
      </c>
      <c r="E52" s="5" t="s">
        <v>313</v>
      </c>
      <c r="F52" s="118">
        <v>1072351</v>
      </c>
      <c r="G52" s="119" t="s">
        <v>595</v>
      </c>
      <c r="H52" s="164">
        <v>268221.98205871019</v>
      </c>
      <c r="I52" s="164">
        <v>61154.611909385923</v>
      </c>
      <c r="J52" s="114">
        <v>0</v>
      </c>
      <c r="K52" s="114">
        <v>8580</v>
      </c>
      <c r="L52" s="165">
        <v>1956.24</v>
      </c>
      <c r="M52" s="115">
        <v>3.7636736267910885E-2</v>
      </c>
      <c r="N52" s="165">
        <v>59198.371909385925</v>
      </c>
      <c r="O52" s="165">
        <v>0</v>
      </c>
      <c r="P52" s="115">
        <v>1.3512940828871753</v>
      </c>
      <c r="Q52" s="5">
        <v>67019</v>
      </c>
      <c r="R52" s="5">
        <v>1515</v>
      </c>
      <c r="S52" s="5">
        <v>65504</v>
      </c>
      <c r="T52" s="5">
        <v>1350</v>
      </c>
      <c r="U52" s="5">
        <v>25</v>
      </c>
      <c r="V52" s="5">
        <v>0</v>
      </c>
      <c r="W52" s="5">
        <v>7500</v>
      </c>
      <c r="X52" s="114">
        <v>268221.98205871019</v>
      </c>
      <c r="Y52" s="114">
        <v>7.3264688632785573</v>
      </c>
      <c r="Z52" s="114">
        <v>191272.98205871019</v>
      </c>
      <c r="AA52" s="166">
        <v>514986.21</v>
      </c>
      <c r="AB52" s="166">
        <v>142807.67999999999</v>
      </c>
      <c r="AC52" s="167">
        <v>0.28688550956706038</v>
      </c>
      <c r="AD52" s="168"/>
      <c r="AE52" s="168"/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86" t="s">
        <v>1</v>
      </c>
      <c r="BJ52" s="185" t="s">
        <v>839</v>
      </c>
    </row>
    <row r="53" spans="1:62" ht="12.75" customHeight="1" x14ac:dyDescent="0.35">
      <c r="A53" s="105"/>
      <c r="B53" s="163" t="s">
        <v>31</v>
      </c>
      <c r="C53" s="5" t="s">
        <v>5</v>
      </c>
      <c r="D53" s="5" t="s">
        <v>306</v>
      </c>
      <c r="E53" s="5" t="s">
        <v>307</v>
      </c>
      <c r="F53" s="5">
        <v>1074077</v>
      </c>
      <c r="G53" s="7" t="s">
        <v>696</v>
      </c>
      <c r="H53" s="164">
        <v>32045.20277449823</v>
      </c>
      <c r="I53" s="164">
        <v>5960.4077160566703</v>
      </c>
      <c r="J53" s="114">
        <v>0</v>
      </c>
      <c r="K53" s="114">
        <v>2572</v>
      </c>
      <c r="L53" s="165">
        <v>478.392</v>
      </c>
      <c r="M53" s="115">
        <v>9.6145436235213308E-2</v>
      </c>
      <c r="N53" s="165">
        <v>5482.0157160566705</v>
      </c>
      <c r="O53" s="165">
        <v>0</v>
      </c>
      <c r="P53" s="115">
        <v>0.97081035429919083</v>
      </c>
      <c r="Q53" s="5">
        <v>9445</v>
      </c>
      <c r="R53" s="5">
        <v>509</v>
      </c>
      <c r="S53" s="5">
        <v>8936</v>
      </c>
      <c r="T53" s="5">
        <v>2880</v>
      </c>
      <c r="U53" s="5">
        <v>0</v>
      </c>
      <c r="V53" s="5">
        <v>0</v>
      </c>
      <c r="W53" s="5">
        <v>240</v>
      </c>
      <c r="X53" s="114">
        <v>32045.20277449823</v>
      </c>
      <c r="Y53" s="114">
        <v>8.3656827477883748</v>
      </c>
      <c r="Z53" s="114">
        <v>17148.20277449823</v>
      </c>
      <c r="AA53" s="166">
        <v>101903.74</v>
      </c>
      <c r="AB53" s="166">
        <v>38338.080000000002</v>
      </c>
      <c r="AC53" s="167">
        <v>0.46487457435766721</v>
      </c>
      <c r="AD53" s="168"/>
      <c r="AE53" s="168" t="s">
        <v>574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84" t="s">
        <v>1</v>
      </c>
      <c r="BJ53" s="185" t="s">
        <v>840</v>
      </c>
    </row>
    <row r="54" spans="1:62" ht="12.75" customHeight="1" x14ac:dyDescent="0.35">
      <c r="A54" s="105"/>
      <c r="B54" s="163" t="s">
        <v>21</v>
      </c>
      <c r="C54" s="5" t="s">
        <v>5</v>
      </c>
      <c r="D54" s="5" t="s">
        <v>306</v>
      </c>
      <c r="E54" s="5" t="s">
        <v>307</v>
      </c>
      <c r="F54" s="55">
        <v>1016065</v>
      </c>
      <c r="G54" s="64" t="s">
        <v>288</v>
      </c>
      <c r="H54" s="164">
        <v>6836</v>
      </c>
      <c r="I54" s="164">
        <v>6562.5599999999995</v>
      </c>
      <c r="J54" s="114">
        <v>0</v>
      </c>
      <c r="K54" s="114">
        <v>45</v>
      </c>
      <c r="L54" s="165">
        <v>43.199999999999996</v>
      </c>
      <c r="M54" s="115">
        <v>6.5827969572849624E-3</v>
      </c>
      <c r="N54" s="165">
        <v>6519.36</v>
      </c>
      <c r="O54" s="165">
        <v>0</v>
      </c>
      <c r="P54" s="115">
        <v>1.0801689919499318</v>
      </c>
      <c r="Q54" s="5">
        <v>1977</v>
      </c>
      <c r="R54" s="5">
        <v>0</v>
      </c>
      <c r="S54" s="5">
        <v>1977</v>
      </c>
      <c r="T54" s="5">
        <v>0</v>
      </c>
      <c r="U54" s="5">
        <v>0</v>
      </c>
      <c r="V54" s="5">
        <v>0</v>
      </c>
      <c r="W54" s="5">
        <v>0</v>
      </c>
      <c r="X54" s="114">
        <v>6836</v>
      </c>
      <c r="Y54" s="114">
        <v>8.6761263897015795</v>
      </c>
      <c r="Z54" s="114">
        <v>4814</v>
      </c>
      <c r="AA54" s="166">
        <v>74854.2</v>
      </c>
      <c r="AB54" s="166">
        <v>21648.15</v>
      </c>
      <c r="AC54" s="167">
        <v>0.29578700994733764</v>
      </c>
      <c r="AD54" s="168"/>
      <c r="AE54" s="168">
        <v>38.569490221929236</v>
      </c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86" t="s">
        <v>1</v>
      </c>
      <c r="BJ54" s="185"/>
    </row>
    <row r="55" spans="1:62" ht="12.75" customHeight="1" x14ac:dyDescent="0.35">
      <c r="A55" s="105"/>
      <c r="B55" s="163" t="s">
        <v>15</v>
      </c>
      <c r="C55" s="5" t="s">
        <v>5</v>
      </c>
      <c r="D55" s="5" t="s">
        <v>308</v>
      </c>
      <c r="E55" s="5" t="s">
        <v>315</v>
      </c>
      <c r="F55" s="55">
        <v>1074235</v>
      </c>
      <c r="G55" s="64" t="s">
        <v>636</v>
      </c>
      <c r="H55" s="164">
        <v>1297.7416631167148</v>
      </c>
      <c r="I55" s="164">
        <v>973.30624733753609</v>
      </c>
      <c r="J55" s="114">
        <v>0</v>
      </c>
      <c r="K55" s="114">
        <v>-10</v>
      </c>
      <c r="L55" s="165">
        <v>-7.5</v>
      </c>
      <c r="M55" s="115">
        <v>0.22346512271442603</v>
      </c>
      <c r="N55" s="165">
        <v>980.80624733753609</v>
      </c>
      <c r="O55" s="165">
        <v>0</v>
      </c>
      <c r="P55" s="115">
        <v>0.80983145963938763</v>
      </c>
      <c r="Q55" s="5">
        <v>1009</v>
      </c>
      <c r="R55" s="5">
        <v>300</v>
      </c>
      <c r="S55" s="5">
        <v>709</v>
      </c>
      <c r="T55" s="5">
        <v>0</v>
      </c>
      <c r="U55" s="5">
        <v>0</v>
      </c>
      <c r="V55" s="5">
        <v>0</v>
      </c>
      <c r="W55" s="5">
        <v>0</v>
      </c>
      <c r="X55" s="114">
        <v>2320</v>
      </c>
      <c r="Y55" s="114">
        <v>9.1681034482758612</v>
      </c>
      <c r="Z55" s="114">
        <v>298.74166311671479</v>
      </c>
      <c r="AA55" s="166">
        <v>11744.56</v>
      </c>
      <c r="AB55" s="166">
        <v>6416.45</v>
      </c>
      <c r="AC55" s="167">
        <v>0.76979881928176419</v>
      </c>
      <c r="AD55" s="168"/>
      <c r="AE55" s="168" t="s">
        <v>574</v>
      </c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86" t="s">
        <v>1</v>
      </c>
      <c r="BJ55" s="185" t="s">
        <v>841</v>
      </c>
    </row>
    <row r="56" spans="1:62" ht="12.5" customHeight="1" x14ac:dyDescent="0.35">
      <c r="A56" s="105"/>
      <c r="B56" s="163" t="s">
        <v>31</v>
      </c>
      <c r="C56" s="5" t="s">
        <v>5</v>
      </c>
      <c r="D56" s="5" t="s">
        <v>306</v>
      </c>
      <c r="E56" s="5" t="s">
        <v>404</v>
      </c>
      <c r="F56" s="5">
        <v>1072598</v>
      </c>
      <c r="G56" s="7" t="s">
        <v>608</v>
      </c>
      <c r="H56" s="164">
        <v>19796.575242424195</v>
      </c>
      <c r="I56" s="164">
        <v>2969.486286363629</v>
      </c>
      <c r="J56" s="114">
        <v>0</v>
      </c>
      <c r="K56" s="114">
        <v>2225</v>
      </c>
      <c r="L56" s="165">
        <v>333.75</v>
      </c>
      <c r="M56" s="115">
        <v>0.11239317774681602</v>
      </c>
      <c r="N56" s="165">
        <v>2635.736286363629</v>
      </c>
      <c r="O56" s="165">
        <v>0</v>
      </c>
      <c r="P56" s="115">
        <v>1.2492273818096709</v>
      </c>
      <c r="Q56" s="5">
        <v>6185</v>
      </c>
      <c r="R56" s="5">
        <v>0</v>
      </c>
      <c r="S56" s="5">
        <v>6185</v>
      </c>
      <c r="T56" s="5">
        <v>0</v>
      </c>
      <c r="U56" s="5">
        <v>0</v>
      </c>
      <c r="V56" s="5">
        <v>0</v>
      </c>
      <c r="W56" s="5">
        <v>300</v>
      </c>
      <c r="X56" s="114">
        <v>19796.575242424195</v>
      </c>
      <c r="Y56" s="114">
        <v>9.372833317268185</v>
      </c>
      <c r="Z56" s="114">
        <v>11386.575242424195</v>
      </c>
      <c r="AA56" s="166">
        <v>28507.07</v>
      </c>
      <c r="AB56" s="166">
        <v>9338.4</v>
      </c>
      <c r="AC56" s="167">
        <v>0.42482095498908889</v>
      </c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84" t="s">
        <v>1</v>
      </c>
      <c r="BJ56" s="185" t="s">
        <v>842</v>
      </c>
    </row>
    <row r="57" spans="1:62" ht="14" customHeight="1" x14ac:dyDescent="0.35">
      <c r="A57" s="105"/>
      <c r="B57" s="163" t="s">
        <v>15</v>
      </c>
      <c r="C57" s="5" t="s">
        <v>5</v>
      </c>
      <c r="D57" s="5" t="s">
        <v>308</v>
      </c>
      <c r="E57" s="5" t="s">
        <v>315</v>
      </c>
      <c r="F57" s="5">
        <v>1078372</v>
      </c>
      <c r="G57" s="7" t="s">
        <v>708</v>
      </c>
      <c r="H57" s="164">
        <v>15096.900101728039</v>
      </c>
      <c r="I57" s="164">
        <v>5434.8840366220938</v>
      </c>
      <c r="J57" s="114">
        <v>0</v>
      </c>
      <c r="K57" s="114">
        <v>251</v>
      </c>
      <c r="L57" s="165">
        <v>90.36</v>
      </c>
      <c r="M57" s="115">
        <v>1.6890884769835093E-2</v>
      </c>
      <c r="N57" s="165">
        <v>5344.5240366220942</v>
      </c>
      <c r="O57" s="165">
        <v>0</v>
      </c>
      <c r="P57" s="115">
        <v>0.63403046580299471</v>
      </c>
      <c r="Q57" s="5">
        <v>4751</v>
      </c>
      <c r="R57" s="5">
        <v>4</v>
      </c>
      <c r="S57" s="5">
        <v>4747</v>
      </c>
      <c r="T57" s="5">
        <v>1910</v>
      </c>
      <c r="U57" s="5">
        <v>50</v>
      </c>
      <c r="V57" s="5">
        <v>0</v>
      </c>
      <c r="W57" s="5">
        <v>400</v>
      </c>
      <c r="X57" s="114">
        <v>15096.900101728039</v>
      </c>
      <c r="Y57" s="114">
        <v>9.4330623532243756</v>
      </c>
      <c r="Z57" s="114">
        <v>8184.9001017280389</v>
      </c>
      <c r="AA57" s="166">
        <v>95261.440000000002</v>
      </c>
      <c r="AB57" s="166">
        <v>44845.17</v>
      </c>
      <c r="AC57" s="167">
        <v>0.45784233540823593</v>
      </c>
      <c r="AD57" s="168"/>
      <c r="AE57" s="168">
        <v>0</v>
      </c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84" t="s">
        <v>1</v>
      </c>
      <c r="BJ57" s="185" t="s">
        <v>843</v>
      </c>
    </row>
    <row r="58" spans="1:62" ht="12.75" customHeight="1" x14ac:dyDescent="0.35">
      <c r="A58" s="105"/>
      <c r="B58" s="163" t="s">
        <v>4</v>
      </c>
      <c r="C58" s="5" t="s">
        <v>5</v>
      </c>
      <c r="D58" s="5" t="s">
        <v>308</v>
      </c>
      <c r="E58" s="5" t="s">
        <v>315</v>
      </c>
      <c r="F58" s="5">
        <v>1071156</v>
      </c>
      <c r="G58" s="7" t="s">
        <v>616</v>
      </c>
      <c r="H58" s="164">
        <v>23618.789150673896</v>
      </c>
      <c r="I58" s="164">
        <v>4251.3820471213012</v>
      </c>
      <c r="J58" s="114">
        <v>0</v>
      </c>
      <c r="K58" s="114">
        <v>287</v>
      </c>
      <c r="L58" s="165">
        <v>51.66</v>
      </c>
      <c r="M58" s="115">
        <v>1.2278360171216722E-2</v>
      </c>
      <c r="N58" s="165">
        <v>4199.7220471213013</v>
      </c>
      <c r="O58" s="165">
        <v>0</v>
      </c>
      <c r="P58" s="115">
        <v>1.1712228110698926</v>
      </c>
      <c r="Q58" s="5">
        <v>7499</v>
      </c>
      <c r="R58" s="5">
        <v>3</v>
      </c>
      <c r="S58" s="5">
        <v>7496</v>
      </c>
      <c r="T58" s="5">
        <v>4860</v>
      </c>
      <c r="U58" s="5">
        <v>54</v>
      </c>
      <c r="V58" s="5">
        <v>0</v>
      </c>
      <c r="W58" s="5">
        <v>1440</v>
      </c>
      <c r="X58" s="114">
        <v>23618.789150673896</v>
      </c>
      <c r="Y58" s="114">
        <v>9.5212332251835043</v>
      </c>
      <c r="Z58" s="114">
        <v>10972.789150673896</v>
      </c>
      <c r="AA58" s="166">
        <v>90932.34</v>
      </c>
      <c r="AB58" s="166">
        <v>53322.5</v>
      </c>
      <c r="AC58" s="167">
        <v>0.53542118181105747</v>
      </c>
      <c r="AD58" s="168"/>
      <c r="AE58" s="168">
        <v>14.604715532689871</v>
      </c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86" t="s">
        <v>1</v>
      </c>
      <c r="BJ58" s="185" t="s">
        <v>844</v>
      </c>
    </row>
    <row r="59" spans="1:62" ht="12.5" customHeight="1" x14ac:dyDescent="0.35">
      <c r="A59" s="105"/>
      <c r="B59" s="163" t="s">
        <v>21</v>
      </c>
      <c r="C59" s="5" t="s">
        <v>5</v>
      </c>
      <c r="D59" s="5" t="s">
        <v>396</v>
      </c>
      <c r="E59" s="5" t="s">
        <v>307</v>
      </c>
      <c r="F59" s="5">
        <v>1063072</v>
      </c>
      <c r="G59" s="7" t="s">
        <v>448</v>
      </c>
      <c r="H59" s="164">
        <v>34609.822786917728</v>
      </c>
      <c r="I59" s="164">
        <v>17304.911393458864</v>
      </c>
      <c r="J59" s="114">
        <v>0</v>
      </c>
      <c r="K59" s="114">
        <v>16</v>
      </c>
      <c r="L59" s="165">
        <v>8</v>
      </c>
      <c r="M59" s="115">
        <v>4.1606685155993056E-3</v>
      </c>
      <c r="N59" s="165">
        <v>17296.911393458864</v>
      </c>
      <c r="O59" s="165">
        <v>0</v>
      </c>
      <c r="P59" s="115">
        <v>1.1196520525369504</v>
      </c>
      <c r="Q59" s="5">
        <v>11122</v>
      </c>
      <c r="R59" s="5">
        <v>128</v>
      </c>
      <c r="S59" s="5">
        <v>10992</v>
      </c>
      <c r="T59" s="5">
        <v>0</v>
      </c>
      <c r="U59" s="5">
        <v>0</v>
      </c>
      <c r="V59" s="5">
        <v>0</v>
      </c>
      <c r="W59" s="5">
        <v>800</v>
      </c>
      <c r="X59" s="114">
        <v>34609.822786917728</v>
      </c>
      <c r="Y59" s="114">
        <v>9.52793090072241</v>
      </c>
      <c r="Z59" s="114">
        <v>23471.822786917728</v>
      </c>
      <c r="AA59" s="166">
        <v>197968.19</v>
      </c>
      <c r="AB59" s="166">
        <v>67450.240000000005</v>
      </c>
      <c r="AC59" s="167">
        <v>0.32181615226906291</v>
      </c>
      <c r="AD59" s="168"/>
      <c r="AE59" s="168">
        <v>10.101209577882004</v>
      </c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86" t="s">
        <v>1</v>
      </c>
      <c r="BJ59" s="185" t="s">
        <v>845</v>
      </c>
    </row>
    <row r="60" spans="1:62" ht="12.75" customHeight="1" x14ac:dyDescent="0.35">
      <c r="A60" s="105"/>
      <c r="B60" s="163" t="s">
        <v>1</v>
      </c>
      <c r="C60" s="5" t="s">
        <v>17</v>
      </c>
      <c r="D60" s="5" t="s">
        <v>312</v>
      </c>
      <c r="E60" s="5" t="s">
        <v>398</v>
      </c>
      <c r="F60" s="5">
        <v>1058451</v>
      </c>
      <c r="G60" s="3" t="s">
        <v>268</v>
      </c>
      <c r="H60" s="164">
        <v>727818.68209145404</v>
      </c>
      <c r="I60" s="164">
        <v>175404.30238404041</v>
      </c>
      <c r="J60" s="114">
        <v>0</v>
      </c>
      <c r="K60" s="114">
        <v>52139</v>
      </c>
      <c r="L60" s="165">
        <v>12565.499</v>
      </c>
      <c r="M60" s="115">
        <v>7.9963597297007832E-2</v>
      </c>
      <c r="N60" s="165">
        <v>162838.8033840404</v>
      </c>
      <c r="O60" s="165">
        <v>0</v>
      </c>
      <c r="P60" s="115">
        <v>1.1640084209584296</v>
      </c>
      <c r="Q60" s="5">
        <v>241682</v>
      </c>
      <c r="R60" s="5">
        <v>6060</v>
      </c>
      <c r="S60" s="5">
        <v>235622</v>
      </c>
      <c r="T60" s="5">
        <v>0</v>
      </c>
      <c r="U60" s="5">
        <v>0</v>
      </c>
      <c r="V60" s="5">
        <v>0</v>
      </c>
      <c r="W60" s="5">
        <v>2352</v>
      </c>
      <c r="X60" s="114">
        <v>727818.68209145393</v>
      </c>
      <c r="Y60" s="114">
        <v>9.7121167317216361</v>
      </c>
      <c r="Z60" s="114">
        <v>433997.68209145404</v>
      </c>
      <c r="AA60" s="166">
        <v>1885050.39</v>
      </c>
      <c r="AB60" s="166">
        <v>616352.66</v>
      </c>
      <c r="AC60" s="167">
        <v>0.40370082168772903</v>
      </c>
      <c r="AD60" s="168"/>
      <c r="AE60" s="168">
        <v>24.623909411546315</v>
      </c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86" t="s">
        <v>1</v>
      </c>
      <c r="BJ60" s="185" t="s">
        <v>846</v>
      </c>
    </row>
    <row r="61" spans="1:62" ht="12.75" customHeight="1" x14ac:dyDescent="0.35">
      <c r="A61" s="105"/>
      <c r="B61" s="163" t="s">
        <v>21</v>
      </c>
      <c r="C61" s="5" t="s">
        <v>5</v>
      </c>
      <c r="D61" s="5" t="s">
        <v>308</v>
      </c>
      <c r="E61" s="5" t="s">
        <v>395</v>
      </c>
      <c r="F61" s="5">
        <v>1069726</v>
      </c>
      <c r="G61" s="7" t="s">
        <v>569</v>
      </c>
      <c r="H61" s="164">
        <v>2533.0901547101876</v>
      </c>
      <c r="I61" s="164">
        <v>1266.5450773550938</v>
      </c>
      <c r="J61" s="114">
        <v>0</v>
      </c>
      <c r="K61" s="114">
        <v>71</v>
      </c>
      <c r="L61" s="165">
        <v>35.5</v>
      </c>
      <c r="M61" s="115">
        <v>4.7767743195008268E-2</v>
      </c>
      <c r="N61" s="165">
        <v>1231.0450773550938</v>
      </c>
      <c r="O61" s="165">
        <v>0</v>
      </c>
      <c r="P61" s="115">
        <v>1.0086084615713407</v>
      </c>
      <c r="Q61" s="5">
        <v>895</v>
      </c>
      <c r="R61" s="5">
        <v>50</v>
      </c>
      <c r="S61" s="5">
        <v>845</v>
      </c>
      <c r="T61" s="5">
        <v>0</v>
      </c>
      <c r="U61" s="5">
        <v>0</v>
      </c>
      <c r="V61" s="5">
        <v>0</v>
      </c>
      <c r="W61" s="5">
        <v>0</v>
      </c>
      <c r="X61" s="114">
        <v>2533.0901547101876</v>
      </c>
      <c r="Y61" s="114">
        <v>10.007539586722807</v>
      </c>
      <c r="Z61" s="114">
        <v>1567.0901547101876</v>
      </c>
      <c r="AA61" s="166">
        <v>45342.31</v>
      </c>
      <c r="AB61" s="166">
        <v>15125.5</v>
      </c>
      <c r="AC61" s="167">
        <v>0.38135239608576843</v>
      </c>
      <c r="AD61" s="168"/>
      <c r="AE61" s="168">
        <v>4.154447115384615</v>
      </c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86" t="s">
        <v>1</v>
      </c>
      <c r="BJ61" s="185" t="s">
        <v>847</v>
      </c>
    </row>
    <row r="62" spans="1:62" ht="12.75" customHeight="1" x14ac:dyDescent="0.35">
      <c r="A62" s="105"/>
      <c r="B62" s="163" t="s">
        <v>1</v>
      </c>
      <c r="C62" s="5" t="s">
        <v>2</v>
      </c>
      <c r="D62" s="5" t="s">
        <v>306</v>
      </c>
      <c r="E62" s="5" t="s">
        <v>401</v>
      </c>
      <c r="F62" s="5">
        <v>1075853</v>
      </c>
      <c r="G62" s="7" t="s">
        <v>688</v>
      </c>
      <c r="H62" s="164">
        <v>18786.967929120699</v>
      </c>
      <c r="I62" s="164">
        <v>3494.3760348164501</v>
      </c>
      <c r="J62" s="114">
        <v>0</v>
      </c>
      <c r="K62" s="114">
        <v>1351</v>
      </c>
      <c r="L62" s="165">
        <v>251.286</v>
      </c>
      <c r="M62" s="115">
        <v>7.5743994739794165E-2</v>
      </c>
      <c r="N62" s="165">
        <v>3243.09003481645</v>
      </c>
      <c r="O62" s="165">
        <v>0</v>
      </c>
      <c r="P62" s="115">
        <v>1.2387468149368839</v>
      </c>
      <c r="Q62" s="5">
        <v>6356</v>
      </c>
      <c r="R62" s="5">
        <v>72</v>
      </c>
      <c r="S62" s="5">
        <v>6284</v>
      </c>
      <c r="T62" s="5">
        <v>0</v>
      </c>
      <c r="U62" s="5">
        <v>0</v>
      </c>
      <c r="V62" s="5">
        <v>0</v>
      </c>
      <c r="W62" s="5">
        <v>360</v>
      </c>
      <c r="X62" s="114">
        <v>18786.967929120699</v>
      </c>
      <c r="Y62" s="114">
        <v>10.034615522379479</v>
      </c>
      <c r="Z62" s="114">
        <v>11079.967929120699</v>
      </c>
      <c r="AA62" s="166">
        <v>34192.28</v>
      </c>
      <c r="AB62" s="166">
        <v>12092.08</v>
      </c>
      <c r="AC62" s="167">
        <v>0.41023117881911009</v>
      </c>
      <c r="AD62" s="168"/>
      <c r="AE62" s="168">
        <v>27.489419348425013</v>
      </c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86" t="s">
        <v>1</v>
      </c>
      <c r="BJ62" s="185"/>
    </row>
    <row r="63" spans="1:62" ht="12.75" customHeight="1" x14ac:dyDescent="0.35">
      <c r="A63" s="105"/>
      <c r="B63" s="163" t="s">
        <v>1</v>
      </c>
      <c r="C63" s="5" t="s">
        <v>2</v>
      </c>
      <c r="D63" s="5" t="s">
        <v>310</v>
      </c>
      <c r="E63" s="5" t="s">
        <v>311</v>
      </c>
      <c r="F63" s="5">
        <v>1068805</v>
      </c>
      <c r="G63" s="3" t="s">
        <v>564</v>
      </c>
      <c r="H63" s="164">
        <v>102134.60356176979</v>
      </c>
      <c r="I63" s="164">
        <v>18384.228641118563</v>
      </c>
      <c r="J63" s="114">
        <v>0</v>
      </c>
      <c r="K63" s="114">
        <v>21840</v>
      </c>
      <c r="L63" s="165">
        <v>3931.2</v>
      </c>
      <c r="M63" s="115">
        <v>0.22141369537233599</v>
      </c>
      <c r="N63" s="165">
        <v>14453.028641118563</v>
      </c>
      <c r="O63" s="165">
        <v>0</v>
      </c>
      <c r="P63" s="115">
        <v>0.54378614421675364</v>
      </c>
      <c r="Q63" s="5">
        <v>61808</v>
      </c>
      <c r="R63" s="5">
        <v>774</v>
      </c>
      <c r="S63" s="5">
        <v>61034</v>
      </c>
      <c r="T63" s="5">
        <v>0</v>
      </c>
      <c r="U63" s="5">
        <v>0</v>
      </c>
      <c r="V63" s="5">
        <v>0</v>
      </c>
      <c r="W63" s="5">
        <v>0</v>
      </c>
      <c r="X63" s="114">
        <v>180911.99999999997</v>
      </c>
      <c r="Y63" s="114">
        <v>10.121053329795703</v>
      </c>
      <c r="Z63" s="114">
        <v>18486.603561769793</v>
      </c>
      <c r="AA63" s="166">
        <v>193034.4</v>
      </c>
      <c r="AB63" s="166">
        <v>115354.26</v>
      </c>
      <c r="AC63" s="167">
        <v>0.81899764705514999</v>
      </c>
      <c r="AD63" s="168"/>
      <c r="AE63" s="168"/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84"/>
      <c r="BJ63" s="169" t="s">
        <v>848</v>
      </c>
    </row>
    <row r="64" spans="1:62" ht="12" customHeight="1" x14ac:dyDescent="0.35">
      <c r="A64" s="105"/>
      <c r="B64" s="163" t="s">
        <v>15</v>
      </c>
      <c r="C64" s="5" t="s">
        <v>5</v>
      </c>
      <c r="D64" s="5" t="s">
        <v>308</v>
      </c>
      <c r="E64" s="5" t="s">
        <v>315</v>
      </c>
      <c r="F64" s="5">
        <v>1073438</v>
      </c>
      <c r="G64" s="3" t="s">
        <v>634</v>
      </c>
      <c r="H64" s="164">
        <v>59100.691802685658</v>
      </c>
      <c r="I64" s="164">
        <v>22694.665652231291</v>
      </c>
      <c r="J64" s="114">
        <v>0</v>
      </c>
      <c r="K64" s="114">
        <v>7356</v>
      </c>
      <c r="L64" s="165">
        <v>2824.7040000000002</v>
      </c>
      <c r="M64" s="115">
        <v>0.12649598121388275</v>
      </c>
      <c r="N64" s="165">
        <v>19869.96165223129</v>
      </c>
      <c r="O64" s="165">
        <v>0</v>
      </c>
      <c r="P64" s="115">
        <v>0.96285703677687362</v>
      </c>
      <c r="Q64" s="5">
        <v>20790</v>
      </c>
      <c r="R64" s="5">
        <v>120</v>
      </c>
      <c r="S64" s="5">
        <v>20670</v>
      </c>
      <c r="T64" s="5">
        <v>5400</v>
      </c>
      <c r="U64" s="5">
        <v>24</v>
      </c>
      <c r="V64" s="5">
        <v>0</v>
      </c>
      <c r="W64" s="5">
        <v>2160</v>
      </c>
      <c r="X64" s="114">
        <v>59807.999999999993</v>
      </c>
      <c r="Y64" s="114">
        <v>10.368178170144464</v>
      </c>
      <c r="Z64" s="114">
        <v>25554.691802685658</v>
      </c>
      <c r="AA64" s="166">
        <v>368788.32</v>
      </c>
      <c r="AB64" s="166">
        <v>176304.96</v>
      </c>
      <c r="AC64" s="167">
        <v>0.56760756899423637</v>
      </c>
      <c r="AD64" s="168"/>
      <c r="AE64" s="168" t="s">
        <v>574</v>
      </c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86" t="s">
        <v>1</v>
      </c>
      <c r="BJ64" s="185"/>
    </row>
    <row r="65" spans="1:62" ht="12.75" customHeight="1" x14ac:dyDescent="0.35">
      <c r="A65" s="105"/>
      <c r="B65" s="163" t="s">
        <v>31</v>
      </c>
      <c r="C65" s="5" t="s">
        <v>5</v>
      </c>
      <c r="D65" s="5" t="s">
        <v>306</v>
      </c>
      <c r="E65" s="5" t="s">
        <v>307</v>
      </c>
      <c r="F65" s="5">
        <v>1076592</v>
      </c>
      <c r="G65" s="7" t="s">
        <v>676</v>
      </c>
      <c r="H65" s="164">
        <v>8737.8385101565291</v>
      </c>
      <c r="I65" s="164">
        <v>2621.3515530469585</v>
      </c>
      <c r="J65" s="114">
        <v>0</v>
      </c>
      <c r="K65" s="114">
        <v>492</v>
      </c>
      <c r="L65" s="165">
        <v>147.6</v>
      </c>
      <c r="M65" s="115">
        <v>5.8939061348110715E-2</v>
      </c>
      <c r="N65" s="165">
        <v>2473.7515530469586</v>
      </c>
      <c r="O65" s="165">
        <v>0</v>
      </c>
      <c r="P65" s="115">
        <v>0.13703217699985706</v>
      </c>
      <c r="Q65" s="5">
        <v>3340</v>
      </c>
      <c r="R65" s="5">
        <v>23</v>
      </c>
      <c r="S65" s="5">
        <v>3217</v>
      </c>
      <c r="T65" s="5">
        <v>0</v>
      </c>
      <c r="U65" s="5">
        <v>0</v>
      </c>
      <c r="V65" s="5">
        <v>0</v>
      </c>
      <c r="W65" s="5">
        <v>2</v>
      </c>
      <c r="X65" s="114">
        <v>8737.8385101565291</v>
      </c>
      <c r="Y65" s="114">
        <v>11.045065651856632</v>
      </c>
      <c r="Z65" s="114">
        <v>4905.8385101565291</v>
      </c>
      <c r="AA65" s="166">
        <v>51553.25</v>
      </c>
      <c r="AB65" s="166">
        <v>18992.099999999999</v>
      </c>
      <c r="AC65" s="167">
        <v>0.43855239434167037</v>
      </c>
      <c r="AD65" s="168"/>
      <c r="AE65" s="168">
        <v>10.813953488372093</v>
      </c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86" t="s">
        <v>1</v>
      </c>
      <c r="BJ65" s="185" t="s">
        <v>807</v>
      </c>
    </row>
    <row r="66" spans="1:62" ht="12.75" customHeight="1" x14ac:dyDescent="0.35">
      <c r="A66" s="105"/>
      <c r="B66" s="163" t="s">
        <v>1</v>
      </c>
      <c r="C66" s="5" t="s">
        <v>2</v>
      </c>
      <c r="D66" s="5" t="s">
        <v>310</v>
      </c>
      <c r="E66" s="5" t="s">
        <v>311</v>
      </c>
      <c r="F66" s="5">
        <v>1080401</v>
      </c>
      <c r="G66" s="7" t="s">
        <v>754</v>
      </c>
      <c r="H66" s="164">
        <v>20113.2</v>
      </c>
      <c r="I66" s="164">
        <v>0</v>
      </c>
      <c r="J66" s="114">
        <v>0</v>
      </c>
      <c r="K66" s="114">
        <v>2651</v>
      </c>
      <c r="L66" s="165">
        <v>0</v>
      </c>
      <c r="M66" s="115">
        <v>0.19385279319054152</v>
      </c>
      <c r="N66" s="165">
        <v>0</v>
      </c>
      <c r="O66" s="165">
        <v>0</v>
      </c>
      <c r="P66" s="115">
        <v>1.070844920206403</v>
      </c>
      <c r="Q66" s="5">
        <v>13006</v>
      </c>
      <c r="R66" s="5">
        <v>1248</v>
      </c>
      <c r="S66" s="5">
        <v>11758</v>
      </c>
      <c r="T66" s="5">
        <v>0</v>
      </c>
      <c r="U66" s="5">
        <v>0</v>
      </c>
      <c r="V66" s="5">
        <v>0</v>
      </c>
      <c r="W66" s="5">
        <v>3215</v>
      </c>
      <c r="X66" s="114">
        <v>31192</v>
      </c>
      <c r="Y66" s="114">
        <v>11.308668889458835</v>
      </c>
      <c r="Z66" s="114">
        <v>4456.2000000000007</v>
      </c>
      <c r="AA66" s="166">
        <v>27555.08</v>
      </c>
      <c r="AB66" s="166">
        <v>20513.009999999998</v>
      </c>
      <c r="AC66" s="167">
        <v>0.77844400692082805</v>
      </c>
      <c r="AD66" s="168"/>
      <c r="AE66" s="168"/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86" t="s">
        <v>1</v>
      </c>
      <c r="BJ66" s="185"/>
    </row>
    <row r="67" spans="1:62" ht="12.5" customHeight="1" x14ac:dyDescent="0.35">
      <c r="A67" s="105"/>
      <c r="B67" s="163" t="s">
        <v>148</v>
      </c>
      <c r="C67" s="5" t="s">
        <v>5</v>
      </c>
      <c r="D67" s="5" t="s">
        <v>318</v>
      </c>
      <c r="E67" s="5" t="s">
        <v>319</v>
      </c>
      <c r="F67" s="120">
        <v>1091732</v>
      </c>
      <c r="G67" s="121" t="s">
        <v>803</v>
      </c>
      <c r="H67" s="164">
        <v>20216</v>
      </c>
      <c r="I67" s="164">
        <v>15162</v>
      </c>
      <c r="J67" s="114">
        <v>0</v>
      </c>
      <c r="K67" s="114">
        <v>0</v>
      </c>
      <c r="L67" s="165">
        <v>0</v>
      </c>
      <c r="M67" s="115">
        <v>0</v>
      </c>
      <c r="N67" s="165">
        <v>15162</v>
      </c>
      <c r="O67" s="165">
        <v>0</v>
      </c>
      <c r="P67" s="115">
        <v>0.59634584664536738</v>
      </c>
      <c r="Q67" s="5">
        <v>7758</v>
      </c>
      <c r="R67" s="5">
        <v>0</v>
      </c>
      <c r="S67" s="5">
        <v>7758</v>
      </c>
      <c r="T67" s="5">
        <v>0</v>
      </c>
      <c r="U67" s="5">
        <v>0</v>
      </c>
      <c r="V67" s="5">
        <v>0</v>
      </c>
      <c r="W67" s="5">
        <v>0</v>
      </c>
      <c r="X67" s="114">
        <v>20216</v>
      </c>
      <c r="Y67" s="114">
        <v>11.512663237039968</v>
      </c>
      <c r="Z67" s="114">
        <v>12458</v>
      </c>
      <c r="AA67" s="166">
        <v>118667.92</v>
      </c>
      <c r="AB67" s="166">
        <v>45539.46</v>
      </c>
      <c r="AC67" s="167">
        <v>0.38375544123466565</v>
      </c>
      <c r="AD67" s="168"/>
      <c r="AE67" s="168">
        <v>56.781838316722038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86" t="s">
        <v>1</v>
      </c>
      <c r="BJ67" s="185"/>
    </row>
    <row r="68" spans="1:62" ht="12.75" customHeight="1" x14ac:dyDescent="0.35">
      <c r="A68" s="105"/>
      <c r="B68" s="163" t="s">
        <v>4</v>
      </c>
      <c r="C68" s="5" t="s">
        <v>5</v>
      </c>
      <c r="D68" s="5" t="s">
        <v>308</v>
      </c>
      <c r="E68" s="5" t="s">
        <v>314</v>
      </c>
      <c r="F68" s="5">
        <v>1075503</v>
      </c>
      <c r="G68" s="7" t="s">
        <v>643</v>
      </c>
      <c r="H68" s="164">
        <v>352631.38953647052</v>
      </c>
      <c r="I68" s="164">
        <v>70526.277907294105</v>
      </c>
      <c r="J68" s="114">
        <v>0</v>
      </c>
      <c r="K68" s="114">
        <v>19411</v>
      </c>
      <c r="L68" s="165">
        <v>3882.2000000000003</v>
      </c>
      <c r="M68" s="115">
        <v>6.7934961863406029E-2</v>
      </c>
      <c r="N68" s="165">
        <v>66644.077907294108</v>
      </c>
      <c r="O68" s="165">
        <v>0</v>
      </c>
      <c r="P68" s="115">
        <v>2.4212176221740624</v>
      </c>
      <c r="Q68" s="5">
        <v>144632</v>
      </c>
      <c r="R68" s="5">
        <v>4545</v>
      </c>
      <c r="S68" s="5">
        <v>140087</v>
      </c>
      <c r="T68" s="5">
        <v>0</v>
      </c>
      <c r="U68" s="5">
        <v>2025</v>
      </c>
      <c r="V68" s="5">
        <v>0</v>
      </c>
      <c r="W68" s="5">
        <v>1</v>
      </c>
      <c r="X68" s="114">
        <v>352631.38953647052</v>
      </c>
      <c r="Y68" s="114">
        <v>11.917855655233293</v>
      </c>
      <c r="Z68" s="114">
        <v>188588.38953647052</v>
      </c>
      <c r="AA68" s="166">
        <v>818104.82</v>
      </c>
      <c r="AB68" s="166">
        <v>329702.15999999997</v>
      </c>
      <c r="AC68" s="167">
        <v>0.46519681703784921</v>
      </c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84" t="s">
        <v>1</v>
      </c>
      <c r="BJ68" s="185"/>
    </row>
    <row r="69" spans="1:62" ht="12.75" customHeight="1" x14ac:dyDescent="0.35">
      <c r="A69" s="105"/>
      <c r="B69" s="163" t="s">
        <v>31</v>
      </c>
      <c r="C69" s="5" t="s">
        <v>5</v>
      </c>
      <c r="D69" s="5" t="s">
        <v>306</v>
      </c>
      <c r="E69" s="5" t="s">
        <v>307</v>
      </c>
      <c r="F69" s="128">
        <v>1076008</v>
      </c>
      <c r="G69" s="129" t="s">
        <v>654</v>
      </c>
      <c r="H69" s="164">
        <v>49589.481382334132</v>
      </c>
      <c r="I69" s="164">
        <v>24794.740691167066</v>
      </c>
      <c r="J69" s="114">
        <v>0</v>
      </c>
      <c r="K69" s="114">
        <v>60</v>
      </c>
      <c r="L69" s="165">
        <v>30</v>
      </c>
      <c r="M69" s="115">
        <v>2.9764376614872474E-2</v>
      </c>
      <c r="N69" s="165">
        <v>24764.740691167066</v>
      </c>
      <c r="O69" s="165">
        <v>0</v>
      </c>
      <c r="P69" s="115">
        <v>0.92531334841106061</v>
      </c>
      <c r="Q69" s="5">
        <v>21430</v>
      </c>
      <c r="R69" s="5">
        <v>1416</v>
      </c>
      <c r="S69" s="5">
        <v>20014</v>
      </c>
      <c r="T69" s="5">
        <v>1440</v>
      </c>
      <c r="U69" s="5">
        <v>0</v>
      </c>
      <c r="V69" s="5">
        <v>0</v>
      </c>
      <c r="W69" s="5">
        <v>840</v>
      </c>
      <c r="X69" s="114">
        <v>49589.481382334132</v>
      </c>
      <c r="Y69" s="114">
        <v>12.107809625407677</v>
      </c>
      <c r="Z69" s="114">
        <v>26659.481382334132</v>
      </c>
      <c r="AA69" s="166">
        <v>581684.62</v>
      </c>
      <c r="AB69" s="166">
        <v>261508.62</v>
      </c>
      <c r="AC69" s="167">
        <v>0.46239644700476001</v>
      </c>
      <c r="AD69" s="168"/>
      <c r="AE69" s="168">
        <v>20.181318524705016</v>
      </c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86" t="s">
        <v>1</v>
      </c>
      <c r="BJ69" s="185" t="s">
        <v>849</v>
      </c>
    </row>
    <row r="70" spans="1:62" ht="12.75" customHeight="1" x14ac:dyDescent="0.35">
      <c r="A70" s="105"/>
      <c r="B70" s="163" t="s">
        <v>15</v>
      </c>
      <c r="C70" s="5" t="s">
        <v>5</v>
      </c>
      <c r="D70" s="5" t="s">
        <v>312</v>
      </c>
      <c r="E70" s="5" t="s">
        <v>315</v>
      </c>
      <c r="F70" s="5">
        <v>1078687</v>
      </c>
      <c r="G70" s="7" t="s">
        <v>709</v>
      </c>
      <c r="H70" s="164">
        <v>2063.0487804878048</v>
      </c>
      <c r="I70" s="164">
        <v>717.94097560975604</v>
      </c>
      <c r="J70" s="114">
        <v>0</v>
      </c>
      <c r="K70" s="114">
        <v>-20</v>
      </c>
      <c r="L70" s="165">
        <v>-6.9599999999999991</v>
      </c>
      <c r="M70" s="115">
        <v>-9.6943902583200327E-3</v>
      </c>
      <c r="N70" s="165">
        <v>724.90097560975607</v>
      </c>
      <c r="O70" s="165">
        <v>0</v>
      </c>
      <c r="P70" s="115">
        <v>1.3974201553593817</v>
      </c>
      <c r="Q70" s="5">
        <v>833</v>
      </c>
      <c r="R70" s="5">
        <v>0</v>
      </c>
      <c r="S70" s="5">
        <v>833</v>
      </c>
      <c r="T70" s="5">
        <v>0</v>
      </c>
      <c r="U70" s="5">
        <v>0</v>
      </c>
      <c r="V70" s="5">
        <v>0</v>
      </c>
      <c r="W70" s="5">
        <v>0</v>
      </c>
      <c r="X70" s="114">
        <v>2063.0487804878048</v>
      </c>
      <c r="Y70" s="114">
        <v>12.113140627770882</v>
      </c>
      <c r="Z70" s="114">
        <v>1250.0487804878048</v>
      </c>
      <c r="AA70" s="166">
        <v>9634.44</v>
      </c>
      <c r="AB70" s="166">
        <v>3890.11</v>
      </c>
      <c r="AC70" s="167">
        <v>0.39407696400070935</v>
      </c>
      <c r="AD70" s="168"/>
      <c r="AE70" s="168">
        <v>7.7885819816926292</v>
      </c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86" t="s">
        <v>1</v>
      </c>
      <c r="BJ70" s="185" t="s">
        <v>850</v>
      </c>
    </row>
    <row r="71" spans="1:62" ht="12.75" customHeight="1" x14ac:dyDescent="0.35">
      <c r="A71" s="105"/>
      <c r="B71" s="163" t="s">
        <v>1</v>
      </c>
      <c r="C71" s="5" t="s">
        <v>24</v>
      </c>
      <c r="D71" s="5" t="s">
        <v>316</v>
      </c>
      <c r="E71" s="5" t="s">
        <v>317</v>
      </c>
      <c r="F71" s="5">
        <v>1071324</v>
      </c>
      <c r="G71" s="7" t="s">
        <v>686</v>
      </c>
      <c r="H71" s="164">
        <v>12557.182450425242</v>
      </c>
      <c r="I71" s="164">
        <v>1356.1757046459261</v>
      </c>
      <c r="J71" s="114">
        <v>0</v>
      </c>
      <c r="K71" s="114">
        <v>3819</v>
      </c>
      <c r="L71" s="165">
        <v>412.452</v>
      </c>
      <c r="M71" s="115">
        <v>0.3081105188424636</v>
      </c>
      <c r="N71" s="165">
        <v>943.72370464592609</v>
      </c>
      <c r="O71" s="165">
        <v>0</v>
      </c>
      <c r="P71" s="115">
        <v>1.4156645633250002</v>
      </c>
      <c r="Q71" s="5">
        <v>13103</v>
      </c>
      <c r="R71" s="5">
        <v>50</v>
      </c>
      <c r="S71" s="5">
        <v>13053</v>
      </c>
      <c r="T71" s="5">
        <v>0</v>
      </c>
      <c r="U71" s="5">
        <v>0</v>
      </c>
      <c r="V71" s="5">
        <v>0</v>
      </c>
      <c r="W71" s="5">
        <v>1860</v>
      </c>
      <c r="X71" s="114">
        <v>30952</v>
      </c>
      <c r="Y71" s="114">
        <v>12.651524941845437</v>
      </c>
      <c r="Z71" s="114">
        <v>-4364.8175495747582</v>
      </c>
      <c r="AA71" s="166">
        <v>66176.350000000006</v>
      </c>
      <c r="AB71" s="166">
        <v>78591.509999999995</v>
      </c>
      <c r="AC71" s="167">
        <v>1.3475952959038948</v>
      </c>
      <c r="AD71" s="168"/>
      <c r="AE71" s="168">
        <v>69.94509598864569</v>
      </c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86" t="s">
        <v>1</v>
      </c>
      <c r="BJ71" s="185"/>
    </row>
    <row r="72" spans="1:62" ht="12.75" customHeight="1" x14ac:dyDescent="0.35">
      <c r="A72" s="105"/>
      <c r="B72" s="163" t="s">
        <v>8</v>
      </c>
      <c r="C72" s="5" t="s">
        <v>5</v>
      </c>
      <c r="D72" s="5" t="s">
        <v>308</v>
      </c>
      <c r="E72" s="5" t="s">
        <v>309</v>
      </c>
      <c r="F72" s="5">
        <v>1028943</v>
      </c>
      <c r="G72" s="7" t="s">
        <v>102</v>
      </c>
      <c r="H72" s="164">
        <v>4239.1770177134595</v>
      </c>
      <c r="I72" s="164">
        <v>296.74239123994221</v>
      </c>
      <c r="J72" s="114">
        <v>0</v>
      </c>
      <c r="K72" s="114">
        <v>795</v>
      </c>
      <c r="L72" s="165">
        <v>55.650000000000006</v>
      </c>
      <c r="M72" s="115">
        <v>0.22150525823205203</v>
      </c>
      <c r="N72" s="165">
        <v>241.0923912399422</v>
      </c>
      <c r="O72" s="165">
        <v>14.76812343693166</v>
      </c>
      <c r="P72" s="115">
        <v>1.9443155407324466</v>
      </c>
      <c r="Q72" s="5">
        <v>3519</v>
      </c>
      <c r="R72" s="5">
        <v>144</v>
      </c>
      <c r="S72" s="5">
        <v>3375</v>
      </c>
      <c r="T72" s="5">
        <v>0</v>
      </c>
      <c r="U72" s="5">
        <v>0</v>
      </c>
      <c r="V72" s="5">
        <v>0</v>
      </c>
      <c r="W72" s="5">
        <v>0</v>
      </c>
      <c r="X72" s="114">
        <v>7512</v>
      </c>
      <c r="Y72" s="114">
        <v>13.478434504792332</v>
      </c>
      <c r="Z72" s="114">
        <v>-74.822982286540537</v>
      </c>
      <c r="AA72" s="166">
        <v>9919.67</v>
      </c>
      <c r="AB72" s="166">
        <v>7897.5</v>
      </c>
      <c r="AC72" s="167">
        <v>1.0176503557114722</v>
      </c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86"/>
      <c r="BJ72" s="185"/>
    </row>
    <row r="73" spans="1:62" ht="12.75" customHeight="1" x14ac:dyDescent="0.35">
      <c r="A73" s="105"/>
      <c r="B73" s="163" t="s">
        <v>21</v>
      </c>
      <c r="C73" s="5" t="s">
        <v>5</v>
      </c>
      <c r="D73" s="5" t="s">
        <v>306</v>
      </c>
      <c r="E73" s="5" t="s">
        <v>307</v>
      </c>
      <c r="F73" s="5">
        <v>1016066</v>
      </c>
      <c r="G73" s="7" t="s">
        <v>289</v>
      </c>
      <c r="H73" s="164">
        <v>5880.0001000000002</v>
      </c>
      <c r="I73" s="164">
        <v>5644.8000959999999</v>
      </c>
      <c r="J73" s="114">
        <v>0</v>
      </c>
      <c r="K73" s="114">
        <v>0</v>
      </c>
      <c r="L73" s="165">
        <v>0</v>
      </c>
      <c r="M73" s="115">
        <v>0</v>
      </c>
      <c r="N73" s="165">
        <v>5644.8000959999999</v>
      </c>
      <c r="O73" s="165">
        <v>0</v>
      </c>
      <c r="P73" s="115">
        <v>2.146112530718312</v>
      </c>
      <c r="Q73" s="5">
        <v>2664</v>
      </c>
      <c r="R73" s="5">
        <v>0</v>
      </c>
      <c r="S73" s="5">
        <v>2664</v>
      </c>
      <c r="T73" s="5">
        <v>3888</v>
      </c>
      <c r="U73" s="5">
        <v>0</v>
      </c>
      <c r="V73" s="5">
        <v>0</v>
      </c>
      <c r="W73" s="5">
        <v>0</v>
      </c>
      <c r="X73" s="114">
        <v>5880.0001000000002</v>
      </c>
      <c r="Y73" s="114">
        <v>13.591836503540195</v>
      </c>
      <c r="Z73" s="114">
        <v>-671.9998999999998</v>
      </c>
      <c r="AA73" s="166">
        <v>64444.800000000003</v>
      </c>
      <c r="AB73" s="166">
        <v>71809.919999999998</v>
      </c>
      <c r="AC73" s="167">
        <v>1.1142856953352773</v>
      </c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86" t="s">
        <v>1</v>
      </c>
      <c r="BJ73" s="185" t="s">
        <v>851</v>
      </c>
    </row>
    <row r="74" spans="1:62" ht="12.75" customHeight="1" x14ac:dyDescent="0.35">
      <c r="A74" s="105"/>
      <c r="B74" s="163" t="s">
        <v>31</v>
      </c>
      <c r="C74" s="5" t="s">
        <v>5</v>
      </c>
      <c r="D74" s="5" t="s">
        <v>306</v>
      </c>
      <c r="E74" s="5" t="s">
        <v>307</v>
      </c>
      <c r="F74" s="128">
        <v>1076009</v>
      </c>
      <c r="G74" s="129" t="s">
        <v>655</v>
      </c>
      <c r="H74" s="164">
        <v>52893.715478379956</v>
      </c>
      <c r="I74" s="164">
        <v>21157.486191351985</v>
      </c>
      <c r="J74" s="114">
        <v>0</v>
      </c>
      <c r="K74" s="114">
        <v>345</v>
      </c>
      <c r="L74" s="165">
        <v>138</v>
      </c>
      <c r="M74" s="115">
        <v>2.966325934583516E-2</v>
      </c>
      <c r="N74" s="165">
        <v>21019.486191351985</v>
      </c>
      <c r="O74" s="165">
        <v>0</v>
      </c>
      <c r="P74" s="115">
        <v>0.89685076291698862</v>
      </c>
      <c r="Q74" s="5">
        <v>25196</v>
      </c>
      <c r="R74" s="5">
        <v>1224</v>
      </c>
      <c r="S74" s="5">
        <v>23972</v>
      </c>
      <c r="T74" s="5">
        <v>0</v>
      </c>
      <c r="U74" s="5">
        <v>0</v>
      </c>
      <c r="V74" s="5">
        <v>0</v>
      </c>
      <c r="W74" s="5">
        <v>2000</v>
      </c>
      <c r="X74" s="114">
        <v>52893.715478379956</v>
      </c>
      <c r="Y74" s="114">
        <v>13.59632223782716</v>
      </c>
      <c r="Z74" s="114">
        <v>27352.715478379956</v>
      </c>
      <c r="AA74" s="166">
        <v>473398.75</v>
      </c>
      <c r="AB74" s="166">
        <v>232449.4</v>
      </c>
      <c r="AC74" s="167">
        <v>0.48287400060674046</v>
      </c>
      <c r="AD74" s="168"/>
      <c r="AE74" s="168">
        <v>21.67148988350705</v>
      </c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86" t="s">
        <v>1</v>
      </c>
      <c r="BJ74" s="185" t="s">
        <v>852</v>
      </c>
    </row>
    <row r="75" spans="1:62" ht="12.75" customHeight="1" x14ac:dyDescent="0.35">
      <c r="B75" s="163" t="s">
        <v>31</v>
      </c>
      <c r="C75" s="5" t="s">
        <v>5</v>
      </c>
      <c r="D75" s="5" t="s">
        <v>306</v>
      </c>
      <c r="E75" s="5" t="s">
        <v>307</v>
      </c>
      <c r="F75" s="5">
        <v>1071183</v>
      </c>
      <c r="G75" s="7" t="s">
        <v>591</v>
      </c>
      <c r="H75" s="164">
        <v>223865.18722675345</v>
      </c>
      <c r="I75" s="164">
        <v>31341.126211745486</v>
      </c>
      <c r="J75" s="114">
        <v>0</v>
      </c>
      <c r="K75" s="114">
        <v>2400</v>
      </c>
      <c r="L75" s="165">
        <v>336.00000000000006</v>
      </c>
      <c r="M75" s="115">
        <v>1.273087627114273E-2</v>
      </c>
      <c r="N75" s="165">
        <v>31005.126211745486</v>
      </c>
      <c r="O75" s="165">
        <v>0</v>
      </c>
      <c r="P75" s="115">
        <v>1.2382808284978963</v>
      </c>
      <c r="Q75" s="5">
        <v>103007</v>
      </c>
      <c r="R75" s="5">
        <v>450</v>
      </c>
      <c r="S75" s="5">
        <v>102557</v>
      </c>
      <c r="T75" s="5">
        <v>0</v>
      </c>
      <c r="U75" s="5">
        <v>0</v>
      </c>
      <c r="V75" s="5">
        <v>0</v>
      </c>
      <c r="W75" s="5">
        <v>5100</v>
      </c>
      <c r="X75" s="114">
        <v>223865.18722675345</v>
      </c>
      <c r="Y75" s="114">
        <v>13.743583976206157</v>
      </c>
      <c r="Z75" s="114">
        <v>118458.18722675345</v>
      </c>
      <c r="AA75" s="166">
        <v>602197.35</v>
      </c>
      <c r="AB75" s="166">
        <v>289597.33</v>
      </c>
      <c r="AC75" s="167">
        <v>0.47085034214468136</v>
      </c>
      <c r="AD75" s="168"/>
      <c r="AE75" s="168">
        <v>21.299374464661145</v>
      </c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86" t="s">
        <v>1</v>
      </c>
      <c r="BJ75" s="185"/>
    </row>
    <row r="76" spans="1:62" ht="12.75" customHeight="1" x14ac:dyDescent="0.35">
      <c r="A76" s="105"/>
      <c r="B76" s="163" t="s">
        <v>21</v>
      </c>
      <c r="C76" s="5" t="s">
        <v>5</v>
      </c>
      <c r="D76" s="5" t="s">
        <v>308</v>
      </c>
      <c r="E76" s="5" t="s">
        <v>395</v>
      </c>
      <c r="F76" s="5">
        <v>1069142</v>
      </c>
      <c r="G76" s="7" t="s">
        <v>559</v>
      </c>
      <c r="H76" s="164">
        <v>1196.6911097105628</v>
      </c>
      <c r="I76" s="164">
        <v>598.34555485528142</v>
      </c>
      <c r="J76" s="114">
        <v>0</v>
      </c>
      <c r="K76" s="114">
        <v>216</v>
      </c>
      <c r="L76" s="165">
        <v>108</v>
      </c>
      <c r="M76" s="115">
        <v>0.23564978273149018</v>
      </c>
      <c r="N76" s="165">
        <v>490.34555485528142</v>
      </c>
      <c r="O76" s="165">
        <v>7.628757859570932</v>
      </c>
      <c r="P76" s="115">
        <v>1.401831742028389</v>
      </c>
      <c r="Q76" s="5">
        <v>1136</v>
      </c>
      <c r="R76" s="5">
        <v>66</v>
      </c>
      <c r="S76" s="5">
        <v>1070</v>
      </c>
      <c r="T76" s="5">
        <v>0</v>
      </c>
      <c r="U76" s="5">
        <v>0</v>
      </c>
      <c r="V76" s="5">
        <v>2178</v>
      </c>
      <c r="W76" s="5">
        <v>0</v>
      </c>
      <c r="X76" s="114">
        <v>2256</v>
      </c>
      <c r="Y76" s="114">
        <v>14.228723404255318</v>
      </c>
      <c r="Z76" s="114">
        <v>-155.30889028943716</v>
      </c>
      <c r="AA76" s="166">
        <v>20726.689999999999</v>
      </c>
      <c r="AB76" s="166">
        <v>56255.360000000001</v>
      </c>
      <c r="AC76" s="167">
        <v>1.1297819370672861</v>
      </c>
      <c r="AD76" s="168"/>
      <c r="AE76" s="168"/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86" t="s">
        <v>1</v>
      </c>
      <c r="BJ76" s="185"/>
    </row>
    <row r="77" spans="1:62" ht="12.75" customHeight="1" x14ac:dyDescent="0.35">
      <c r="A77" s="105"/>
      <c r="B77" s="163" t="s">
        <v>15</v>
      </c>
      <c r="C77" s="5" t="s">
        <v>5</v>
      </c>
      <c r="D77" s="5" t="s">
        <v>308</v>
      </c>
      <c r="E77" s="5" t="s">
        <v>315</v>
      </c>
      <c r="F77" s="5">
        <v>1074340</v>
      </c>
      <c r="G77" s="7" t="s">
        <v>650</v>
      </c>
      <c r="H77" s="164">
        <v>24274.595096142501</v>
      </c>
      <c r="I77" s="164">
        <v>5825.9028230741997</v>
      </c>
      <c r="J77" s="114">
        <v>0</v>
      </c>
      <c r="K77" s="114">
        <v>1441</v>
      </c>
      <c r="L77" s="165">
        <v>345.84</v>
      </c>
      <c r="M77" s="115">
        <v>5.9362473165576746E-2</v>
      </c>
      <c r="N77" s="165">
        <v>5480.0628230741995</v>
      </c>
      <c r="O77" s="165">
        <v>0</v>
      </c>
      <c r="P77" s="115">
        <v>0.44195035786338555</v>
      </c>
      <c r="Q77" s="5">
        <v>12528</v>
      </c>
      <c r="R77" s="5">
        <v>0</v>
      </c>
      <c r="S77" s="5">
        <v>12528</v>
      </c>
      <c r="T77" s="5">
        <v>0</v>
      </c>
      <c r="U77" s="5">
        <v>0</v>
      </c>
      <c r="V77" s="5">
        <v>0</v>
      </c>
      <c r="W77" s="5">
        <v>120</v>
      </c>
      <c r="X77" s="114">
        <v>24274.595096142501</v>
      </c>
      <c r="Y77" s="114">
        <v>15.482853514608163</v>
      </c>
      <c r="Z77" s="114">
        <v>10305.595096142501</v>
      </c>
      <c r="AA77" s="166">
        <v>118217.28</v>
      </c>
      <c r="AB77" s="166">
        <v>61595.76</v>
      </c>
      <c r="AC77" s="167">
        <v>0.5754575903191822</v>
      </c>
      <c r="AD77" s="168"/>
      <c r="AE77" s="168">
        <v>14.083862448727313</v>
      </c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86" t="s">
        <v>1</v>
      </c>
      <c r="BJ77" s="185" t="s">
        <v>853</v>
      </c>
    </row>
    <row r="78" spans="1:62" ht="12.5" customHeight="1" x14ac:dyDescent="0.35">
      <c r="A78" s="105"/>
      <c r="B78" s="163" t="s">
        <v>31</v>
      </c>
      <c r="C78" s="5" t="s">
        <v>5</v>
      </c>
      <c r="D78" s="5" t="s">
        <v>306</v>
      </c>
      <c r="E78" s="5" t="s">
        <v>307</v>
      </c>
      <c r="F78" s="5">
        <v>1071168</v>
      </c>
      <c r="G78" s="124" t="s">
        <v>594</v>
      </c>
      <c r="H78" s="164">
        <v>302538.53394920955</v>
      </c>
      <c r="I78" s="164">
        <v>12101.541357968383</v>
      </c>
      <c r="J78" s="114">
        <v>0</v>
      </c>
      <c r="K78" s="114">
        <v>3600</v>
      </c>
      <c r="L78" s="165">
        <v>144</v>
      </c>
      <c r="M78" s="115">
        <v>3.1863709637789055E-2</v>
      </c>
      <c r="N78" s="165">
        <v>11957.541357968383</v>
      </c>
      <c r="O78" s="165">
        <v>0</v>
      </c>
      <c r="P78" s="115">
        <v>0.95754976207796361</v>
      </c>
      <c r="Q78" s="5">
        <v>164611</v>
      </c>
      <c r="R78" s="5">
        <v>6040</v>
      </c>
      <c r="S78" s="5">
        <v>158571</v>
      </c>
      <c r="T78" s="5">
        <v>0</v>
      </c>
      <c r="U78" s="5">
        <v>2022</v>
      </c>
      <c r="V78" s="5">
        <v>0</v>
      </c>
      <c r="W78" s="5">
        <v>13200</v>
      </c>
      <c r="X78" s="114">
        <v>302538.53394920955</v>
      </c>
      <c r="Y78" s="114">
        <v>15.724046579794136</v>
      </c>
      <c r="Z78" s="114">
        <v>134327.53394920955</v>
      </c>
      <c r="AA78" s="166">
        <v>260183.14</v>
      </c>
      <c r="AB78" s="166">
        <v>149461.98000000001</v>
      </c>
      <c r="AC78" s="167">
        <v>0.5559985956309268</v>
      </c>
      <c r="AD78" s="168"/>
      <c r="AE78" s="168"/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84" t="s">
        <v>1</v>
      </c>
      <c r="BJ78" s="185" t="s">
        <v>854</v>
      </c>
    </row>
    <row r="79" spans="1:62" ht="12.75" customHeight="1" x14ac:dyDescent="0.35">
      <c r="A79" s="105"/>
      <c r="B79" s="163" t="s">
        <v>1</v>
      </c>
      <c r="C79" s="5" t="s">
        <v>50</v>
      </c>
      <c r="D79" s="5" t="s">
        <v>320</v>
      </c>
      <c r="E79" s="5" t="s">
        <v>402</v>
      </c>
      <c r="F79" s="118">
        <v>1060791</v>
      </c>
      <c r="G79" s="119" t="s">
        <v>428</v>
      </c>
      <c r="H79" s="164">
        <v>4496.3200650376175</v>
      </c>
      <c r="I79" s="164">
        <v>809.3376117067711</v>
      </c>
      <c r="J79" s="114">
        <v>0</v>
      </c>
      <c r="K79" s="114">
        <v>120</v>
      </c>
      <c r="L79" s="165">
        <v>21.599999999999998</v>
      </c>
      <c r="M79" s="115">
        <v>2.7800512016920711E-2</v>
      </c>
      <c r="N79" s="165">
        <v>787.73761170677108</v>
      </c>
      <c r="O79" s="165">
        <v>7.5440354686110833</v>
      </c>
      <c r="P79" s="115">
        <v>1.5751241308765047</v>
      </c>
      <c r="Q79" s="5">
        <v>2404</v>
      </c>
      <c r="R79" s="5">
        <v>5</v>
      </c>
      <c r="S79" s="5">
        <v>2399</v>
      </c>
      <c r="T79" s="5">
        <v>0</v>
      </c>
      <c r="U79" s="5">
        <v>0</v>
      </c>
      <c r="V79" s="5">
        <v>0</v>
      </c>
      <c r="W79" s="5">
        <v>400</v>
      </c>
      <c r="X79" s="114">
        <v>4496.3200650376175</v>
      </c>
      <c r="Y79" s="114">
        <v>16.006422798862271</v>
      </c>
      <c r="Z79" s="114">
        <v>1972.3200650376175</v>
      </c>
      <c r="AA79" s="166">
        <v>30844.76</v>
      </c>
      <c r="AB79" s="166">
        <v>19201.14</v>
      </c>
      <c r="AC79" s="167">
        <v>0.56134793864566301</v>
      </c>
      <c r="AD79" s="168"/>
      <c r="AE79" s="168">
        <v>5.2400270453008789E-2</v>
      </c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86" t="s">
        <v>1</v>
      </c>
      <c r="BJ79" s="185" t="s">
        <v>855</v>
      </c>
    </row>
    <row r="80" spans="1:62" ht="12.75" customHeight="1" x14ac:dyDescent="0.35">
      <c r="A80" s="105"/>
      <c r="B80" s="163" t="s">
        <v>31</v>
      </c>
      <c r="C80" s="5" t="s">
        <v>5</v>
      </c>
      <c r="D80" s="5" t="s">
        <v>306</v>
      </c>
      <c r="E80" s="5" t="s">
        <v>307</v>
      </c>
      <c r="F80" s="55">
        <v>1075354</v>
      </c>
      <c r="G80" s="64" t="s">
        <v>670</v>
      </c>
      <c r="H80" s="164">
        <v>8970.2174190883052</v>
      </c>
      <c r="I80" s="164">
        <v>807.31956771794739</v>
      </c>
      <c r="J80" s="114">
        <v>0</v>
      </c>
      <c r="K80" s="114">
        <v>0</v>
      </c>
      <c r="L80" s="165">
        <v>0</v>
      </c>
      <c r="M80" s="115">
        <v>0</v>
      </c>
      <c r="N80" s="165">
        <v>807.31956771794739</v>
      </c>
      <c r="O80" s="165">
        <v>0</v>
      </c>
      <c r="P80" s="115">
        <v>1.0108400770228381</v>
      </c>
      <c r="Q80" s="5">
        <v>4848</v>
      </c>
      <c r="R80" s="5">
        <v>0</v>
      </c>
      <c r="S80" s="5">
        <v>4848</v>
      </c>
      <c r="T80" s="5">
        <v>0</v>
      </c>
      <c r="U80" s="5">
        <v>0</v>
      </c>
      <c r="V80" s="5">
        <v>0</v>
      </c>
      <c r="W80" s="5">
        <v>0</v>
      </c>
      <c r="X80" s="114">
        <v>8970.2174190883052</v>
      </c>
      <c r="Y80" s="114">
        <v>16.213653828558137</v>
      </c>
      <c r="Z80" s="114">
        <v>4122.2174190883052</v>
      </c>
      <c r="AA80" s="166">
        <v>15966.99</v>
      </c>
      <c r="AB80" s="166">
        <v>8629.44</v>
      </c>
      <c r="AC80" s="167">
        <v>0.54045512761860459</v>
      </c>
      <c r="AD80" s="171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86" t="s">
        <v>1</v>
      </c>
      <c r="BJ80" s="185" t="s">
        <v>856</v>
      </c>
    </row>
    <row r="81" spans="1:62" ht="12.75" customHeight="1" x14ac:dyDescent="0.35">
      <c r="A81" s="105"/>
      <c r="B81" s="163" t="s">
        <v>1</v>
      </c>
      <c r="C81" s="5" t="s">
        <v>2</v>
      </c>
      <c r="D81" s="5" t="s">
        <v>310</v>
      </c>
      <c r="E81" s="5" t="s">
        <v>311</v>
      </c>
      <c r="F81" s="5">
        <v>1078887</v>
      </c>
      <c r="G81" s="7" t="s">
        <v>721</v>
      </c>
      <c r="H81" s="164">
        <v>12324</v>
      </c>
      <c r="I81" s="164">
        <v>1232.4000000000001</v>
      </c>
      <c r="J81" s="114">
        <v>0</v>
      </c>
      <c r="K81" s="114">
        <v>1084</v>
      </c>
      <c r="L81" s="165">
        <v>108.4</v>
      </c>
      <c r="M81" s="115">
        <v>0.20480363518338202</v>
      </c>
      <c r="N81" s="165">
        <v>1124</v>
      </c>
      <c r="O81" s="165">
        <v>2.4610516066212251</v>
      </c>
      <c r="P81" s="115">
        <v>1.3228407450565216</v>
      </c>
      <c r="Q81" s="5">
        <v>13016</v>
      </c>
      <c r="R81" s="5">
        <v>1440</v>
      </c>
      <c r="S81" s="5">
        <v>11576</v>
      </c>
      <c r="T81" s="5">
        <v>0</v>
      </c>
      <c r="U81" s="5">
        <v>0</v>
      </c>
      <c r="V81" s="5">
        <v>0</v>
      </c>
      <c r="W81" s="5">
        <v>0</v>
      </c>
      <c r="X81" s="114">
        <v>20192</v>
      </c>
      <c r="Y81" s="114">
        <v>17.198890649762284</v>
      </c>
      <c r="Z81" s="114">
        <v>-1776</v>
      </c>
      <c r="AA81" s="166">
        <v>26866.32</v>
      </c>
      <c r="AB81" s="166">
        <v>25235.68</v>
      </c>
      <c r="AC81" s="167">
        <v>1.1441090555014606</v>
      </c>
      <c r="AD81" s="168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86" t="s">
        <v>1</v>
      </c>
      <c r="BJ81" s="169"/>
    </row>
    <row r="82" spans="1:62" ht="12.75" customHeight="1" x14ac:dyDescent="0.35">
      <c r="A82" s="105"/>
      <c r="B82" s="163" t="s">
        <v>1</v>
      </c>
      <c r="C82" s="5" t="s">
        <v>50</v>
      </c>
      <c r="D82" s="5" t="s">
        <v>310</v>
      </c>
      <c r="E82" s="5" t="s">
        <v>403</v>
      </c>
      <c r="F82" s="55">
        <v>1076300</v>
      </c>
      <c r="G82" s="64" t="s">
        <v>690</v>
      </c>
      <c r="H82" s="164">
        <v>43251.966474551089</v>
      </c>
      <c r="I82" s="164">
        <v>5622.7556416916414</v>
      </c>
      <c r="J82" s="114">
        <v>0</v>
      </c>
      <c r="K82" s="114">
        <v>3417</v>
      </c>
      <c r="L82" s="165">
        <v>444.21000000000004</v>
      </c>
      <c r="M82" s="115">
        <v>0.14438649867340667</v>
      </c>
      <c r="N82" s="165">
        <v>5178.5456416916413</v>
      </c>
      <c r="O82" s="165">
        <v>0</v>
      </c>
      <c r="P82" s="115">
        <v>1.118108848565885</v>
      </c>
      <c r="Q82" s="5">
        <v>32408</v>
      </c>
      <c r="R82" s="5">
        <v>2828</v>
      </c>
      <c r="S82" s="5">
        <v>29580</v>
      </c>
      <c r="T82" s="5">
        <v>0</v>
      </c>
      <c r="U82" s="5">
        <v>280</v>
      </c>
      <c r="V82" s="5">
        <v>0</v>
      </c>
      <c r="W82" s="5">
        <v>2534</v>
      </c>
      <c r="X82" s="114">
        <v>49960</v>
      </c>
      <c r="Y82" s="114">
        <v>17.762209767814252</v>
      </c>
      <c r="Z82" s="114">
        <v>7426.966474551089</v>
      </c>
      <c r="AA82" s="166">
        <v>195498.89</v>
      </c>
      <c r="AB82" s="166">
        <v>146420.88</v>
      </c>
      <c r="AC82" s="167">
        <v>0.82828603922734878</v>
      </c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84"/>
      <c r="BJ82" s="185" t="s">
        <v>857</v>
      </c>
    </row>
    <row r="83" spans="1:62" ht="12.75" customHeight="1" x14ac:dyDescent="0.35">
      <c r="A83" s="105"/>
      <c r="B83" s="163" t="s">
        <v>1</v>
      </c>
      <c r="C83" s="5" t="s">
        <v>5</v>
      </c>
      <c r="D83" s="5" t="s">
        <v>308</v>
      </c>
      <c r="E83" s="5" t="s">
        <v>307</v>
      </c>
      <c r="F83" s="120">
        <v>1082266</v>
      </c>
      <c r="G83" s="121" t="s">
        <v>756</v>
      </c>
      <c r="H83" s="164">
        <v>63189.000200000002</v>
      </c>
      <c r="I83" s="164">
        <v>0</v>
      </c>
      <c r="J83" s="114">
        <v>0</v>
      </c>
      <c r="K83" s="114">
        <v>1010</v>
      </c>
      <c r="L83" s="165">
        <v>0</v>
      </c>
      <c r="M83" s="115">
        <v>5.9820538195507006E-2</v>
      </c>
      <c r="N83" s="165">
        <v>0</v>
      </c>
      <c r="O83" s="165">
        <v>0</v>
      </c>
      <c r="P83" s="115">
        <v>0.82808485245039842</v>
      </c>
      <c r="Q83" s="5">
        <v>40675</v>
      </c>
      <c r="R83" s="5">
        <v>2770</v>
      </c>
      <c r="S83" s="5">
        <v>37905</v>
      </c>
      <c r="T83" s="5">
        <v>0</v>
      </c>
      <c r="U83" s="5">
        <v>0</v>
      </c>
      <c r="V83" s="5">
        <v>0</v>
      </c>
      <c r="W83" s="5">
        <v>560</v>
      </c>
      <c r="X83" s="114">
        <v>63189.000200000002</v>
      </c>
      <c r="Y83" s="114">
        <v>17.996011907148358</v>
      </c>
      <c r="Z83" s="114">
        <v>21504.000200000002</v>
      </c>
      <c r="AA83" s="166">
        <v>474549.39</v>
      </c>
      <c r="AB83" s="166">
        <v>288872.15000000002</v>
      </c>
      <c r="AC83" s="167">
        <v>0.65968760176711894</v>
      </c>
      <c r="AD83" s="168"/>
      <c r="AE83" s="168">
        <v>3.8736178813458575</v>
      </c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86" t="s">
        <v>1</v>
      </c>
      <c r="BJ83" s="185" t="s">
        <v>858</v>
      </c>
    </row>
    <row r="84" spans="1:62" ht="12.75" customHeight="1" x14ac:dyDescent="0.35">
      <c r="A84" s="105"/>
      <c r="B84" s="163" t="s">
        <v>1</v>
      </c>
      <c r="C84" s="5" t="s">
        <v>17</v>
      </c>
      <c r="D84" s="5" t="s">
        <v>312</v>
      </c>
      <c r="E84" s="5" t="s">
        <v>398</v>
      </c>
      <c r="F84" s="55">
        <v>1082287</v>
      </c>
      <c r="G84" s="64" t="s">
        <v>774</v>
      </c>
      <c r="H84" s="164">
        <v>8014.7382645574053</v>
      </c>
      <c r="I84" s="164">
        <v>1947.5813982874495</v>
      </c>
      <c r="J84" s="114">
        <v>0</v>
      </c>
      <c r="K84" s="114">
        <v>6</v>
      </c>
      <c r="L84" s="165">
        <v>1.458</v>
      </c>
      <c r="M84" s="115">
        <v>3.7431041426100368E-3</v>
      </c>
      <c r="N84" s="165">
        <v>1946.1233982874494</v>
      </c>
      <c r="O84" s="165">
        <v>1.79018348318704</v>
      </c>
      <c r="P84" s="115">
        <v>1.2316983959829104</v>
      </c>
      <c r="Q84" s="5">
        <v>4851</v>
      </c>
      <c r="R84" s="5">
        <v>24</v>
      </c>
      <c r="S84" s="5">
        <v>4827</v>
      </c>
      <c r="T84" s="5">
        <v>0</v>
      </c>
      <c r="U84" s="5">
        <v>0</v>
      </c>
      <c r="V84" s="5">
        <v>0</v>
      </c>
      <c r="W84" s="5">
        <v>120</v>
      </c>
      <c r="X84" s="114">
        <v>8014.7382645574053</v>
      </c>
      <c r="Y84" s="114">
        <v>18.067963696378648</v>
      </c>
      <c r="Z84" s="114">
        <v>3157.7382645574053</v>
      </c>
      <c r="AA84" s="166">
        <v>20517.73</v>
      </c>
      <c r="AB84" s="166">
        <v>12664.32</v>
      </c>
      <c r="AC84" s="167">
        <v>0.60600856068856501</v>
      </c>
      <c r="AD84" s="168"/>
      <c r="AE84" s="168">
        <v>37.655840694486706</v>
      </c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86" t="s">
        <v>1</v>
      </c>
      <c r="BJ84" s="185"/>
    </row>
    <row r="85" spans="1:62" ht="12.75" customHeight="1" x14ac:dyDescent="0.35">
      <c r="A85" s="105"/>
      <c r="B85" s="163" t="s">
        <v>4</v>
      </c>
      <c r="C85" s="5" t="s">
        <v>5</v>
      </c>
      <c r="D85" s="5" t="s">
        <v>308</v>
      </c>
      <c r="E85" s="5" t="s">
        <v>314</v>
      </c>
      <c r="F85" s="5">
        <v>1075243</v>
      </c>
      <c r="G85" s="7" t="s">
        <v>662</v>
      </c>
      <c r="H85" s="164">
        <v>17160.490990911258</v>
      </c>
      <c r="I85" s="164">
        <v>4118.517837818702</v>
      </c>
      <c r="J85" s="114">
        <v>0</v>
      </c>
      <c r="K85" s="114">
        <v>2426</v>
      </c>
      <c r="L85" s="165">
        <v>582.24</v>
      </c>
      <c r="M85" s="115">
        <v>0.15535686020941933</v>
      </c>
      <c r="N85" s="165">
        <v>3536.2778378187022</v>
      </c>
      <c r="O85" s="165">
        <v>0</v>
      </c>
      <c r="P85" s="115">
        <v>1.7302041827438894</v>
      </c>
      <c r="Q85" s="5">
        <v>13086</v>
      </c>
      <c r="R85" s="5">
        <v>240</v>
      </c>
      <c r="S85" s="5">
        <v>12846</v>
      </c>
      <c r="T85" s="5">
        <v>0</v>
      </c>
      <c r="U85" s="5">
        <v>0</v>
      </c>
      <c r="V85" s="5">
        <v>0</v>
      </c>
      <c r="W85" s="5">
        <v>0</v>
      </c>
      <c r="X85" s="114">
        <v>21328</v>
      </c>
      <c r="Y85" s="114">
        <v>18.0692048012003</v>
      </c>
      <c r="Z85" s="114">
        <v>1648.4909909112575</v>
      </c>
      <c r="AA85" s="166">
        <v>59546.9</v>
      </c>
      <c r="AB85" s="166">
        <v>44575.62</v>
      </c>
      <c r="AC85" s="167">
        <v>0.90393684004820429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86"/>
      <c r="BJ85" s="185"/>
    </row>
    <row r="86" spans="1:62" ht="12.5" customHeight="1" x14ac:dyDescent="0.35">
      <c r="A86" s="105"/>
      <c r="B86" s="163" t="s">
        <v>31</v>
      </c>
      <c r="C86" s="5" t="s">
        <v>5</v>
      </c>
      <c r="D86" s="5" t="s">
        <v>306</v>
      </c>
      <c r="E86" s="5" t="s">
        <v>404</v>
      </c>
      <c r="F86" s="5">
        <v>1072597</v>
      </c>
      <c r="G86" s="7" t="s">
        <v>611</v>
      </c>
      <c r="H86" s="164">
        <v>1586.8377610651905</v>
      </c>
      <c r="I86" s="164">
        <v>793.41888053259527</v>
      </c>
      <c r="J86" s="114">
        <v>0</v>
      </c>
      <c r="K86" s="114">
        <v>0</v>
      </c>
      <c r="L86" s="165">
        <v>0</v>
      </c>
      <c r="M86" s="115">
        <v>0</v>
      </c>
      <c r="N86" s="165">
        <v>793.41888053259527</v>
      </c>
      <c r="O86" s="165">
        <v>0</v>
      </c>
      <c r="P86" s="115">
        <v>0.54315610777738565</v>
      </c>
      <c r="Q86" s="5">
        <v>968</v>
      </c>
      <c r="R86" s="5">
        <v>0</v>
      </c>
      <c r="S86" s="5">
        <v>968</v>
      </c>
      <c r="T86" s="5">
        <v>0</v>
      </c>
      <c r="U86" s="5">
        <v>0</v>
      </c>
      <c r="V86" s="5">
        <v>0</v>
      </c>
      <c r="W86" s="5">
        <v>0</v>
      </c>
      <c r="X86" s="114">
        <v>1586.8377610651905</v>
      </c>
      <c r="Y86" s="114">
        <v>18.300547612697613</v>
      </c>
      <c r="Z86" s="114">
        <v>618.83776106519053</v>
      </c>
      <c r="AA86" s="166">
        <v>12250.39</v>
      </c>
      <c r="AB86" s="166">
        <v>7472.96</v>
      </c>
      <c r="AC86" s="167">
        <v>0.61001825375658714</v>
      </c>
      <c r="AD86" s="168"/>
      <c r="AE86" s="168">
        <v>35.095263157894735</v>
      </c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86" t="s">
        <v>1</v>
      </c>
      <c r="BJ86" s="185"/>
    </row>
    <row r="87" spans="1:62" ht="12.75" customHeight="1" x14ac:dyDescent="0.35">
      <c r="A87" s="105"/>
      <c r="B87" s="163" t="s">
        <v>1</v>
      </c>
      <c r="C87" s="5" t="s">
        <v>2</v>
      </c>
      <c r="D87" s="5" t="s">
        <v>310</v>
      </c>
      <c r="E87" s="5" t="s">
        <v>311</v>
      </c>
      <c r="F87" s="122">
        <v>1068296</v>
      </c>
      <c r="G87" s="123" t="s">
        <v>571</v>
      </c>
      <c r="H87" s="164">
        <v>6164.6380467214813</v>
      </c>
      <c r="I87" s="164">
        <v>1109.6348484098667</v>
      </c>
      <c r="J87" s="114">
        <v>0</v>
      </c>
      <c r="K87" s="114">
        <v>1332</v>
      </c>
      <c r="L87" s="165">
        <v>239.76</v>
      </c>
      <c r="M87" s="115">
        <v>0.23359035665781389</v>
      </c>
      <c r="N87" s="165">
        <v>869.87484840986667</v>
      </c>
      <c r="O87" s="165">
        <v>23.608986852968286</v>
      </c>
      <c r="P87" s="115">
        <v>1.8439601483131627</v>
      </c>
      <c r="Q87" s="5">
        <v>7235</v>
      </c>
      <c r="R87" s="5">
        <v>108</v>
      </c>
      <c r="S87" s="5">
        <v>7127</v>
      </c>
      <c r="T87" s="5">
        <v>0</v>
      </c>
      <c r="U87" s="5">
        <v>0</v>
      </c>
      <c r="V87" s="5">
        <v>0</v>
      </c>
      <c r="W87" s="5">
        <v>0</v>
      </c>
      <c r="X87" s="114">
        <v>11520</v>
      </c>
      <c r="Y87" s="114">
        <v>18.559895833333332</v>
      </c>
      <c r="Z87" s="114">
        <v>-2402.3619532785187</v>
      </c>
      <c r="AA87" s="166">
        <v>13377.26</v>
      </c>
      <c r="AB87" s="166">
        <v>15465.59</v>
      </c>
      <c r="AC87" s="167">
        <v>1.3897004065885359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84"/>
      <c r="BJ87" s="185"/>
    </row>
    <row r="88" spans="1:62" ht="12.75" customHeight="1" x14ac:dyDescent="0.35">
      <c r="A88" s="105"/>
      <c r="B88" s="163" t="s">
        <v>15</v>
      </c>
      <c r="C88" s="5" t="s">
        <v>5</v>
      </c>
      <c r="D88" s="5" t="s">
        <v>308</v>
      </c>
      <c r="E88" s="5" t="s">
        <v>315</v>
      </c>
      <c r="F88" s="55">
        <v>1074227</v>
      </c>
      <c r="G88" s="64" t="s">
        <v>701</v>
      </c>
      <c r="H88" s="164">
        <v>1986.0144582591263</v>
      </c>
      <c r="I88" s="164">
        <v>635.52462664292045</v>
      </c>
      <c r="J88" s="114">
        <v>0</v>
      </c>
      <c r="K88" s="114">
        <v>36</v>
      </c>
      <c r="L88" s="165">
        <v>11.52</v>
      </c>
      <c r="M88" s="115">
        <v>1.8126756253102203E-2</v>
      </c>
      <c r="N88" s="165">
        <v>624.00462664292047</v>
      </c>
      <c r="O88" s="165">
        <v>0</v>
      </c>
      <c r="P88" s="115">
        <v>0.50687499999999996</v>
      </c>
      <c r="Q88" s="5">
        <v>1238</v>
      </c>
      <c r="R88" s="5">
        <v>0</v>
      </c>
      <c r="S88" s="5">
        <v>1238</v>
      </c>
      <c r="T88" s="5">
        <v>702</v>
      </c>
      <c r="U88" s="5">
        <v>0</v>
      </c>
      <c r="V88" s="5">
        <v>0</v>
      </c>
      <c r="W88" s="5">
        <v>0</v>
      </c>
      <c r="X88" s="114">
        <v>1986.0144582591265</v>
      </c>
      <c r="Y88" s="114">
        <v>18.700770201117102</v>
      </c>
      <c r="Z88" s="114">
        <v>10.014458259126286</v>
      </c>
      <c r="AA88" s="166">
        <v>11081.96</v>
      </c>
      <c r="AB88" s="166">
        <v>10825.2</v>
      </c>
      <c r="AC88" s="167">
        <v>0.99495750989249865</v>
      </c>
      <c r="AD88" s="168"/>
      <c r="AE88" s="168">
        <v>159.2206572769953</v>
      </c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86" t="s">
        <v>1</v>
      </c>
      <c r="BJ88" s="185"/>
    </row>
    <row r="89" spans="1:62" ht="12.75" customHeight="1" x14ac:dyDescent="0.35">
      <c r="A89" s="105"/>
      <c r="B89" s="163" t="s">
        <v>1</v>
      </c>
      <c r="C89" s="5" t="s">
        <v>5</v>
      </c>
      <c r="D89" s="5" t="s">
        <v>396</v>
      </c>
      <c r="E89" s="5" t="s">
        <v>307</v>
      </c>
      <c r="F89" s="5">
        <v>1067889</v>
      </c>
      <c r="G89" s="7" t="s">
        <v>542</v>
      </c>
      <c r="H89" s="164">
        <v>1231.9679293834424</v>
      </c>
      <c r="I89" s="164">
        <v>468.1478131657081</v>
      </c>
      <c r="J89" s="114">
        <v>0</v>
      </c>
      <c r="K89" s="114">
        <v>109</v>
      </c>
      <c r="L89" s="165">
        <v>41.42</v>
      </c>
      <c r="M89" s="115">
        <v>8.8476329131839296E-2</v>
      </c>
      <c r="N89" s="165">
        <v>426.72781316570808</v>
      </c>
      <c r="O89" s="165">
        <v>0</v>
      </c>
      <c r="P89" s="115">
        <v>1.0115972319257724</v>
      </c>
      <c r="Q89" s="5">
        <v>768</v>
      </c>
      <c r="R89" s="5">
        <v>0</v>
      </c>
      <c r="S89" s="5">
        <v>768</v>
      </c>
      <c r="T89" s="5">
        <v>0</v>
      </c>
      <c r="U89" s="5">
        <v>0</v>
      </c>
      <c r="V89" s="5">
        <v>0</v>
      </c>
      <c r="W89" s="5">
        <v>0</v>
      </c>
      <c r="X89" s="114">
        <v>1231.9679293834424</v>
      </c>
      <c r="Y89" s="114">
        <v>18.701785533922727</v>
      </c>
      <c r="Z89" s="114">
        <v>354.96792938344242</v>
      </c>
      <c r="AA89" s="166">
        <v>3313.99</v>
      </c>
      <c r="AB89" s="166">
        <v>2065.92</v>
      </c>
      <c r="AC89" s="167">
        <v>0.71186918026259693</v>
      </c>
      <c r="AD89" s="168"/>
      <c r="AE89" s="168">
        <v>23.572447992259317</v>
      </c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86" t="s">
        <v>1</v>
      </c>
      <c r="BJ89" s="185"/>
    </row>
    <row r="90" spans="1:62" ht="12.75" customHeight="1" x14ac:dyDescent="0.35">
      <c r="A90" s="105"/>
      <c r="B90" s="163" t="s">
        <v>1</v>
      </c>
      <c r="C90" s="5" t="s">
        <v>17</v>
      </c>
      <c r="D90" s="5" t="s">
        <v>312</v>
      </c>
      <c r="E90" s="5" t="s">
        <v>398</v>
      </c>
      <c r="F90" s="5">
        <v>1067656</v>
      </c>
      <c r="G90" s="7" t="s">
        <v>536</v>
      </c>
      <c r="H90" s="164">
        <v>3426.6341979356425</v>
      </c>
      <c r="I90" s="164">
        <v>411.19610375227711</v>
      </c>
      <c r="J90" s="114">
        <v>0</v>
      </c>
      <c r="K90" s="114">
        <v>240</v>
      </c>
      <c r="L90" s="165">
        <v>28.799999999999997</v>
      </c>
      <c r="M90" s="115">
        <v>0.37821370042380603</v>
      </c>
      <c r="N90" s="165">
        <v>382.3961037522771</v>
      </c>
      <c r="O90" s="165">
        <v>94.302734227249957</v>
      </c>
      <c r="P90" s="115">
        <v>1.4168828948727339</v>
      </c>
      <c r="Q90" s="5">
        <v>7568</v>
      </c>
      <c r="R90" s="5">
        <v>1056</v>
      </c>
      <c r="S90" s="5">
        <v>6512</v>
      </c>
      <c r="T90" s="5">
        <v>0</v>
      </c>
      <c r="U90" s="5">
        <v>0</v>
      </c>
      <c r="V90" s="5">
        <v>0</v>
      </c>
      <c r="W90" s="5">
        <v>0</v>
      </c>
      <c r="X90" s="114">
        <v>10367.999999999998</v>
      </c>
      <c r="Y90" s="114">
        <v>18.842592592592595</v>
      </c>
      <c r="Z90" s="114">
        <v>-4381.3658020643579</v>
      </c>
      <c r="AA90" s="166">
        <v>4283.29</v>
      </c>
      <c r="AB90" s="166">
        <v>8140</v>
      </c>
      <c r="AC90" s="167">
        <v>2.2786208124298439</v>
      </c>
      <c r="AD90" s="168"/>
      <c r="AE90" s="168"/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86" t="s">
        <v>1</v>
      </c>
      <c r="BJ90" s="185"/>
    </row>
    <row r="91" spans="1:62" ht="12.75" customHeight="1" x14ac:dyDescent="0.35">
      <c r="A91" s="105"/>
      <c r="B91" s="163" t="s">
        <v>27</v>
      </c>
      <c r="C91" s="5" t="s">
        <v>5</v>
      </c>
      <c r="D91" s="5" t="s">
        <v>312</v>
      </c>
      <c r="E91" s="5" t="s">
        <v>313</v>
      </c>
      <c r="F91" s="5">
        <v>1072353</v>
      </c>
      <c r="G91" s="7" t="s">
        <v>598</v>
      </c>
      <c r="H91" s="164">
        <v>239161.70301653663</v>
      </c>
      <c r="I91" s="164">
        <v>72705.157717027134</v>
      </c>
      <c r="J91" s="114">
        <v>0</v>
      </c>
      <c r="K91" s="114">
        <v>1785</v>
      </c>
      <c r="L91" s="165">
        <v>542.64</v>
      </c>
      <c r="M91" s="115">
        <v>7.4635695326043805E-3</v>
      </c>
      <c r="N91" s="165">
        <v>72162.517717027134</v>
      </c>
      <c r="O91" s="165">
        <v>0</v>
      </c>
      <c r="P91" s="115">
        <v>1.2435729249890848</v>
      </c>
      <c r="Q91" s="5">
        <v>151384</v>
      </c>
      <c r="R91" s="5">
        <v>0</v>
      </c>
      <c r="S91" s="5">
        <v>151384</v>
      </c>
      <c r="T91" s="5">
        <v>0</v>
      </c>
      <c r="U91" s="5">
        <v>780</v>
      </c>
      <c r="V91" s="5">
        <v>0</v>
      </c>
      <c r="W91" s="5">
        <v>600</v>
      </c>
      <c r="X91" s="114">
        <v>239161.70301653666</v>
      </c>
      <c r="Y91" s="114">
        <v>18.989327901240024</v>
      </c>
      <c r="Z91" s="114">
        <v>85992.70301653663</v>
      </c>
      <c r="AA91" s="166">
        <v>619428.81000000006</v>
      </c>
      <c r="AB91" s="166">
        <v>395658.76</v>
      </c>
      <c r="AC91" s="167">
        <v>0.64044116624060532</v>
      </c>
      <c r="AD91" s="168"/>
      <c r="AE91" s="168"/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84"/>
      <c r="BJ91" s="185"/>
    </row>
    <row r="92" spans="1:62" ht="12.75" customHeight="1" x14ac:dyDescent="0.35">
      <c r="A92" s="105"/>
      <c r="B92" s="163" t="s">
        <v>4</v>
      </c>
      <c r="C92" s="5" t="s">
        <v>5</v>
      </c>
      <c r="D92" s="5" t="s">
        <v>308</v>
      </c>
      <c r="E92" s="5" t="s">
        <v>314</v>
      </c>
      <c r="F92" s="5">
        <v>1075137</v>
      </c>
      <c r="G92" s="7" t="s">
        <v>652</v>
      </c>
      <c r="H92" s="164">
        <v>15488.341256209749</v>
      </c>
      <c r="I92" s="164">
        <v>2230.3211408942038</v>
      </c>
      <c r="J92" s="114">
        <v>0</v>
      </c>
      <c r="K92" s="114">
        <v>382</v>
      </c>
      <c r="L92" s="165">
        <v>55.007999999999996</v>
      </c>
      <c r="M92" s="115">
        <v>2.4663712768263325E-2</v>
      </c>
      <c r="N92" s="165">
        <v>2175.313140894204</v>
      </c>
      <c r="O92" s="165">
        <v>0</v>
      </c>
      <c r="P92" s="115">
        <v>0.61452529903786657</v>
      </c>
      <c r="Q92" s="5">
        <v>9899</v>
      </c>
      <c r="R92" s="5">
        <v>0</v>
      </c>
      <c r="S92" s="5">
        <v>9899</v>
      </c>
      <c r="T92" s="5">
        <v>0</v>
      </c>
      <c r="U92" s="5">
        <v>0</v>
      </c>
      <c r="V92" s="5">
        <v>0</v>
      </c>
      <c r="W92" s="5">
        <v>600</v>
      </c>
      <c r="X92" s="114">
        <v>15488.341256209749</v>
      </c>
      <c r="Y92" s="114">
        <v>19.173776913065861</v>
      </c>
      <c r="Z92" s="114">
        <v>5207.3412562097492</v>
      </c>
      <c r="AA92" s="166">
        <v>39959.919999999998</v>
      </c>
      <c r="AB92" s="166">
        <v>27087.42</v>
      </c>
      <c r="AC92" s="167">
        <v>0.66378960987045876</v>
      </c>
      <c r="AD92" s="168"/>
      <c r="AE92" s="168">
        <v>339.04983660130716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86" t="s">
        <v>1</v>
      </c>
      <c r="BJ92" s="185" t="s">
        <v>859</v>
      </c>
    </row>
    <row r="93" spans="1:62" ht="12.75" customHeight="1" x14ac:dyDescent="0.35">
      <c r="A93" s="105"/>
      <c r="B93" s="163">
        <v>0</v>
      </c>
      <c r="C93" s="5" t="s">
        <v>2</v>
      </c>
      <c r="D93" s="5" t="s">
        <v>310</v>
      </c>
      <c r="E93" s="5" t="s">
        <v>311</v>
      </c>
      <c r="F93" s="116">
        <v>1080746</v>
      </c>
      <c r="G93" s="117" t="s">
        <v>789</v>
      </c>
      <c r="H93" s="164">
        <v>7692.5959200090883</v>
      </c>
      <c r="I93" s="164">
        <v>3692.4460416043621</v>
      </c>
      <c r="J93" s="114">
        <v>0</v>
      </c>
      <c r="K93" s="114">
        <v>745</v>
      </c>
      <c r="L93" s="165">
        <v>357.59999999999997</v>
      </c>
      <c r="M93" s="115">
        <v>0.12934515348868403</v>
      </c>
      <c r="N93" s="165">
        <v>3334.8460416043622</v>
      </c>
      <c r="O93" s="165">
        <v>0</v>
      </c>
      <c r="P93" s="115">
        <v>1.160699039181293</v>
      </c>
      <c r="Q93" s="5">
        <v>5675</v>
      </c>
      <c r="R93" s="5">
        <v>250</v>
      </c>
      <c r="S93" s="5">
        <v>5425</v>
      </c>
      <c r="T93" s="5">
        <v>0</v>
      </c>
      <c r="U93" s="5">
        <v>0</v>
      </c>
      <c r="V93" s="5">
        <v>0</v>
      </c>
      <c r="W93" s="5">
        <v>0</v>
      </c>
      <c r="X93" s="114">
        <v>7960</v>
      </c>
      <c r="Y93" s="114">
        <v>20.445979899497488</v>
      </c>
      <c r="Z93" s="114">
        <v>1272.5959200090883</v>
      </c>
      <c r="AA93" s="166">
        <v>176083.52</v>
      </c>
      <c r="AB93" s="166">
        <v>124178.25</v>
      </c>
      <c r="AC93" s="167">
        <v>0.83456872904256429</v>
      </c>
      <c r="AD93" s="168"/>
      <c r="AE93" s="168"/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86" t="s">
        <v>1</v>
      </c>
      <c r="BJ93" s="205" t="s">
        <v>860</v>
      </c>
    </row>
    <row r="94" spans="1:62" ht="12.75" customHeight="1" x14ac:dyDescent="0.35">
      <c r="A94" s="105"/>
      <c r="B94" s="163" t="s">
        <v>22</v>
      </c>
      <c r="C94" s="5" t="s">
        <v>5</v>
      </c>
      <c r="D94" s="5" t="s">
        <v>396</v>
      </c>
      <c r="E94" s="5" t="s">
        <v>397</v>
      </c>
      <c r="F94" s="5">
        <v>1077857</v>
      </c>
      <c r="G94" s="7" t="s">
        <v>732</v>
      </c>
      <c r="H94" s="164">
        <v>336.46908419673184</v>
      </c>
      <c r="I94" s="164">
        <v>1682.3454209836591</v>
      </c>
      <c r="J94" s="114">
        <v>0</v>
      </c>
      <c r="K94" s="114">
        <v>4</v>
      </c>
      <c r="L94" s="165">
        <v>20</v>
      </c>
      <c r="M94" s="115">
        <v>1.1888165028740707E-2</v>
      </c>
      <c r="N94" s="165">
        <v>1662.3454209836591</v>
      </c>
      <c r="O94" s="165">
        <v>0</v>
      </c>
      <c r="P94" s="115">
        <v>0.58261431943171726</v>
      </c>
      <c r="Q94" s="5">
        <v>245</v>
      </c>
      <c r="R94" s="5">
        <v>0</v>
      </c>
      <c r="S94" s="5">
        <v>245</v>
      </c>
      <c r="T94" s="5">
        <v>0</v>
      </c>
      <c r="U94" s="5">
        <v>0</v>
      </c>
      <c r="V94" s="5">
        <v>0</v>
      </c>
      <c r="W94" s="5">
        <v>0</v>
      </c>
      <c r="X94" s="114">
        <v>336.46908419673184</v>
      </c>
      <c r="Y94" s="114">
        <v>21.844503240311049</v>
      </c>
      <c r="Z94" s="114">
        <v>87.469084196731842</v>
      </c>
      <c r="AA94" s="166">
        <v>36439.599999999999</v>
      </c>
      <c r="AB94" s="166">
        <v>26533.5</v>
      </c>
      <c r="AC94" s="167">
        <v>0.74003827303910907</v>
      </c>
      <c r="AD94" s="168"/>
      <c r="AE94" s="168">
        <v>35.199203187251001</v>
      </c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86" t="s">
        <v>1</v>
      </c>
      <c r="BJ94" s="185" t="s">
        <v>861</v>
      </c>
    </row>
    <row r="95" spans="1:62" ht="12.75" customHeight="1" x14ac:dyDescent="0.35">
      <c r="A95" s="105"/>
      <c r="B95" s="163" t="s">
        <v>15</v>
      </c>
      <c r="C95" s="5" t="s">
        <v>5</v>
      </c>
      <c r="D95" s="5" t="s">
        <v>308</v>
      </c>
      <c r="E95" s="5" t="s">
        <v>315</v>
      </c>
      <c r="F95" s="5">
        <v>1074225</v>
      </c>
      <c r="G95" s="7" t="s">
        <v>632</v>
      </c>
      <c r="H95" s="164">
        <v>1003.5453625837021</v>
      </c>
      <c r="I95" s="164">
        <v>752.65902193777652</v>
      </c>
      <c r="J95" s="114">
        <v>0</v>
      </c>
      <c r="K95" s="114">
        <v>22</v>
      </c>
      <c r="L95" s="165">
        <v>16.5</v>
      </c>
      <c r="M95" s="115">
        <v>2.1922277577327811E-2</v>
      </c>
      <c r="N95" s="165">
        <v>736.15902193777652</v>
      </c>
      <c r="O95" s="165">
        <v>0</v>
      </c>
      <c r="P95" s="115">
        <v>0.98868563578802648</v>
      </c>
      <c r="Q95" s="5">
        <v>760</v>
      </c>
      <c r="R95" s="5">
        <v>0</v>
      </c>
      <c r="S95" s="5">
        <v>760</v>
      </c>
      <c r="T95" s="5">
        <v>0</v>
      </c>
      <c r="U95" s="5">
        <v>0</v>
      </c>
      <c r="V95" s="5">
        <v>0</v>
      </c>
      <c r="W95" s="5">
        <v>0</v>
      </c>
      <c r="X95" s="114">
        <v>1003.5453625837021</v>
      </c>
      <c r="Y95" s="114">
        <v>22.719451307412459</v>
      </c>
      <c r="Z95" s="114">
        <v>221.54536258370206</v>
      </c>
      <c r="AA95" s="166">
        <v>8660.6</v>
      </c>
      <c r="AB95" s="166">
        <v>6558.8</v>
      </c>
      <c r="AC95" s="167">
        <v>0.77923732115774313</v>
      </c>
      <c r="AD95" s="168"/>
      <c r="AE95" s="168"/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86" t="s">
        <v>1</v>
      </c>
      <c r="BJ95" s="185"/>
    </row>
    <row r="96" spans="1:62" ht="12.75" customHeight="1" x14ac:dyDescent="0.35">
      <c r="A96" s="105"/>
      <c r="B96" s="163" t="s">
        <v>1</v>
      </c>
      <c r="C96" s="5" t="s">
        <v>2</v>
      </c>
      <c r="D96" s="5" t="s">
        <v>306</v>
      </c>
      <c r="E96" s="5" t="s">
        <v>401</v>
      </c>
      <c r="F96" s="5">
        <v>1076131</v>
      </c>
      <c r="G96" s="7" t="s">
        <v>682</v>
      </c>
      <c r="H96" s="164">
        <v>69768.273377473495</v>
      </c>
      <c r="I96" s="164">
        <v>19535.116545692581</v>
      </c>
      <c r="J96" s="114">
        <v>0</v>
      </c>
      <c r="K96" s="114">
        <v>1668</v>
      </c>
      <c r="L96" s="165">
        <v>467.04</v>
      </c>
      <c r="M96" s="115">
        <v>2.3907715058038934E-2</v>
      </c>
      <c r="N96" s="165">
        <v>19068.07654569258</v>
      </c>
      <c r="O96" s="165">
        <v>0</v>
      </c>
      <c r="P96" s="115">
        <v>1.0132901053555643</v>
      </c>
      <c r="Q96" s="5">
        <v>53662</v>
      </c>
      <c r="R96" s="5">
        <v>0</v>
      </c>
      <c r="S96" s="5">
        <v>53662</v>
      </c>
      <c r="T96" s="5">
        <v>0</v>
      </c>
      <c r="U96" s="5">
        <v>0</v>
      </c>
      <c r="V96" s="5">
        <v>0</v>
      </c>
      <c r="W96" s="5">
        <v>1560</v>
      </c>
      <c r="X96" s="114">
        <v>69768.273377473495</v>
      </c>
      <c r="Y96" s="114">
        <v>23.074384990008731</v>
      </c>
      <c r="Z96" s="114">
        <v>14438.273377473495</v>
      </c>
      <c r="AA96" s="166">
        <v>286049.91999999998</v>
      </c>
      <c r="AB96" s="166">
        <v>226410.2</v>
      </c>
      <c r="AC96" s="167">
        <v>0.79305388139166322</v>
      </c>
      <c r="AD96" s="168"/>
      <c r="AE96" s="168"/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84"/>
      <c r="BJ96" s="185" t="s">
        <v>862</v>
      </c>
    </row>
    <row r="97" spans="1:62" ht="12.75" customHeight="1" x14ac:dyDescent="0.35">
      <c r="A97" s="105"/>
      <c r="B97" s="163" t="s">
        <v>31</v>
      </c>
      <c r="C97" s="5" t="s">
        <v>5</v>
      </c>
      <c r="D97" s="5" t="s">
        <v>306</v>
      </c>
      <c r="E97" s="5" t="s">
        <v>307</v>
      </c>
      <c r="F97" s="5">
        <v>1071764</v>
      </c>
      <c r="G97" s="7" t="s">
        <v>604</v>
      </c>
      <c r="H97" s="164">
        <v>8560.6585386186744</v>
      </c>
      <c r="I97" s="164">
        <v>3081.8370739027228</v>
      </c>
      <c r="J97" s="114">
        <v>0</v>
      </c>
      <c r="K97" s="114">
        <v>13</v>
      </c>
      <c r="L97" s="165">
        <v>4.68</v>
      </c>
      <c r="M97" s="115">
        <v>1.5185747616675348E-3</v>
      </c>
      <c r="N97" s="165">
        <v>3077.1570739027229</v>
      </c>
      <c r="O97" s="165">
        <v>0</v>
      </c>
      <c r="P97" s="115">
        <v>0.92594896659440995</v>
      </c>
      <c r="Q97" s="5">
        <v>6710</v>
      </c>
      <c r="R97" s="5">
        <v>0</v>
      </c>
      <c r="S97" s="5">
        <v>6710</v>
      </c>
      <c r="T97" s="5">
        <v>0</v>
      </c>
      <c r="U97" s="5">
        <v>18</v>
      </c>
      <c r="V97" s="5">
        <v>0</v>
      </c>
      <c r="W97" s="5">
        <v>0</v>
      </c>
      <c r="X97" s="114">
        <v>8560.6585386186744</v>
      </c>
      <c r="Y97" s="114">
        <v>23.51454611720575</v>
      </c>
      <c r="Z97" s="114">
        <v>1837.6585386186744</v>
      </c>
      <c r="AA97" s="166">
        <v>59924.61</v>
      </c>
      <c r="AB97" s="166">
        <v>47096</v>
      </c>
      <c r="AC97" s="167">
        <v>0.78533677866852591</v>
      </c>
      <c r="AD97" s="168"/>
      <c r="AE97" s="168"/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86"/>
      <c r="BJ97" s="185"/>
    </row>
    <row r="98" spans="1:62" ht="12.75" customHeight="1" x14ac:dyDescent="0.35">
      <c r="A98" s="105"/>
      <c r="B98" s="163" t="s">
        <v>1</v>
      </c>
      <c r="C98" s="5" t="s">
        <v>50</v>
      </c>
      <c r="D98" s="5" t="s">
        <v>320</v>
      </c>
      <c r="E98" s="5" t="s">
        <v>402</v>
      </c>
      <c r="F98" s="5">
        <v>1060796</v>
      </c>
      <c r="G98" s="7" t="s">
        <v>433</v>
      </c>
      <c r="H98" s="164">
        <v>19760.953921932243</v>
      </c>
      <c r="I98" s="164">
        <v>3556.9717059478035</v>
      </c>
      <c r="J98" s="114">
        <v>0</v>
      </c>
      <c r="K98" s="114">
        <v>1052</v>
      </c>
      <c r="L98" s="165">
        <v>189.35999999999999</v>
      </c>
      <c r="M98" s="115">
        <v>9.7363720779926277E-2</v>
      </c>
      <c r="N98" s="165">
        <v>3367.6117059478033</v>
      </c>
      <c r="O98" s="165">
        <v>2.7797940605015858</v>
      </c>
      <c r="P98" s="115">
        <v>1.1797329026911905</v>
      </c>
      <c r="Q98" s="5">
        <v>16500</v>
      </c>
      <c r="R98" s="5">
        <v>872</v>
      </c>
      <c r="S98" s="5">
        <v>15628</v>
      </c>
      <c r="T98" s="5">
        <v>0</v>
      </c>
      <c r="U98" s="5">
        <v>8</v>
      </c>
      <c r="V98" s="5">
        <v>0</v>
      </c>
      <c r="W98" s="5">
        <v>32</v>
      </c>
      <c r="X98" s="114">
        <v>19760.953921932243</v>
      </c>
      <c r="Y98" s="114">
        <v>23.725575286102199</v>
      </c>
      <c r="Z98" s="114">
        <v>2208.9539219322432</v>
      </c>
      <c r="AA98" s="166">
        <v>135164.92000000001</v>
      </c>
      <c r="AB98" s="166">
        <v>107169.12</v>
      </c>
      <c r="AC98" s="167">
        <v>0.8882162303166663</v>
      </c>
      <c r="AD98" s="168"/>
      <c r="AE98" s="168"/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86" t="s">
        <v>1</v>
      </c>
      <c r="BJ98" s="185" t="s">
        <v>863</v>
      </c>
    </row>
    <row r="99" spans="1:62" ht="12.75" customHeight="1" x14ac:dyDescent="0.35">
      <c r="A99" s="105"/>
      <c r="B99" s="163" t="s">
        <v>1</v>
      </c>
      <c r="C99" s="5" t="s">
        <v>24</v>
      </c>
      <c r="D99" s="5" t="s">
        <v>316</v>
      </c>
      <c r="E99" s="5" t="s">
        <v>317</v>
      </c>
      <c r="F99" s="5">
        <v>1070881</v>
      </c>
      <c r="G99" s="7" t="s">
        <v>684</v>
      </c>
      <c r="H99" s="164">
        <v>866.54950474611269</v>
      </c>
      <c r="I99" s="164">
        <v>93.587346512580169</v>
      </c>
      <c r="J99" s="114">
        <v>0</v>
      </c>
      <c r="K99" s="114">
        <v>24</v>
      </c>
      <c r="L99" s="165">
        <v>2.5920000000000001</v>
      </c>
      <c r="M99" s="115">
        <v>9.3474174939066998E-2</v>
      </c>
      <c r="N99" s="165">
        <v>90.99534651258017</v>
      </c>
      <c r="O99" s="165">
        <v>18.77967129227607</v>
      </c>
      <c r="P99" s="115">
        <v>0.53860641470319015</v>
      </c>
      <c r="Q99" s="5">
        <v>745</v>
      </c>
      <c r="R99" s="5">
        <v>57</v>
      </c>
      <c r="S99" s="5">
        <v>688</v>
      </c>
      <c r="T99" s="5">
        <v>0</v>
      </c>
      <c r="U99" s="5">
        <v>0</v>
      </c>
      <c r="V99" s="5">
        <v>0</v>
      </c>
      <c r="W99" s="5">
        <v>0</v>
      </c>
      <c r="X99" s="114">
        <v>866.54950474611269</v>
      </c>
      <c r="Y99" s="114">
        <v>23.818604577065958</v>
      </c>
      <c r="Z99" s="114">
        <v>97.549504746112689</v>
      </c>
      <c r="AA99" s="166">
        <v>4592.71</v>
      </c>
      <c r="AB99" s="166">
        <v>3646.4</v>
      </c>
      <c r="AC99" s="167">
        <v>0.88742766084126568</v>
      </c>
      <c r="AD99" s="168"/>
      <c r="AE99" s="168"/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84" t="s">
        <v>1</v>
      </c>
      <c r="BJ99" s="185"/>
    </row>
    <row r="100" spans="1:62" ht="12.75" customHeight="1" x14ac:dyDescent="0.35">
      <c r="A100" s="105"/>
      <c r="B100" s="163" t="s">
        <v>21</v>
      </c>
      <c r="C100" s="5" t="s">
        <v>5</v>
      </c>
      <c r="D100" s="5" t="s">
        <v>308</v>
      </c>
      <c r="E100" s="5" t="s">
        <v>307</v>
      </c>
      <c r="F100" s="125">
        <v>1089904</v>
      </c>
      <c r="G100" s="162" t="s">
        <v>796</v>
      </c>
      <c r="H100" s="164">
        <v>2730</v>
      </c>
      <c r="I100" s="164">
        <v>1179.3599999999999</v>
      </c>
      <c r="J100" s="114">
        <v>0</v>
      </c>
      <c r="K100" s="114">
        <v>0</v>
      </c>
      <c r="L100" s="165">
        <v>0</v>
      </c>
      <c r="M100" s="115">
        <v>0</v>
      </c>
      <c r="N100" s="165">
        <v>1179.3599999999999</v>
      </c>
      <c r="O100" s="165">
        <v>0</v>
      </c>
      <c r="P100" s="115">
        <v>0.46938775510204084</v>
      </c>
      <c r="Q100" s="5">
        <v>2183</v>
      </c>
      <c r="R100" s="5">
        <v>0</v>
      </c>
      <c r="S100" s="5">
        <v>2183</v>
      </c>
      <c r="T100" s="5">
        <v>0</v>
      </c>
      <c r="U100" s="5">
        <v>120</v>
      </c>
      <c r="V100" s="5">
        <v>0</v>
      </c>
      <c r="W100" s="5">
        <v>0</v>
      </c>
      <c r="X100" s="114">
        <v>2730</v>
      </c>
      <c r="Y100" s="114">
        <v>23.989010989010989</v>
      </c>
      <c r="Z100" s="114">
        <v>547</v>
      </c>
      <c r="AA100" s="166">
        <v>31804.5</v>
      </c>
      <c r="AB100" s="166">
        <v>26829.95</v>
      </c>
      <c r="AC100" s="167">
        <v>0.79963369963369968</v>
      </c>
      <c r="AD100" s="168"/>
      <c r="AE100" s="168">
        <v>62.451143451143452</v>
      </c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86" t="s">
        <v>1</v>
      </c>
      <c r="BJ100" s="185" t="s">
        <v>864</v>
      </c>
    </row>
    <row r="101" spans="1:62" ht="12.75" customHeight="1" x14ac:dyDescent="0.35">
      <c r="A101" s="105"/>
      <c r="B101" s="163" t="s">
        <v>8</v>
      </c>
      <c r="C101" s="5" t="s">
        <v>5</v>
      </c>
      <c r="D101" s="5" t="s">
        <v>308</v>
      </c>
      <c r="E101" s="5" t="s">
        <v>309</v>
      </c>
      <c r="F101" s="5">
        <v>1079847</v>
      </c>
      <c r="G101" s="7" t="s">
        <v>728</v>
      </c>
      <c r="H101" s="164">
        <v>8803.7221690381721</v>
      </c>
      <c r="I101" s="164">
        <v>3380.629312910658</v>
      </c>
      <c r="J101" s="114">
        <v>0</v>
      </c>
      <c r="K101" s="114">
        <v>-38</v>
      </c>
      <c r="L101" s="165">
        <v>-14.592000000000001</v>
      </c>
      <c r="M101" s="115">
        <v>1.3630598251047521E-3</v>
      </c>
      <c r="N101" s="165">
        <v>3395.2213129106581</v>
      </c>
      <c r="O101" s="165">
        <v>0</v>
      </c>
      <c r="P101" s="115">
        <v>1.0784467711635637</v>
      </c>
      <c r="Q101" s="5">
        <v>7287</v>
      </c>
      <c r="R101" s="5">
        <v>50</v>
      </c>
      <c r="S101" s="5">
        <v>7237</v>
      </c>
      <c r="T101" s="5">
        <v>0</v>
      </c>
      <c r="U101" s="5">
        <v>0</v>
      </c>
      <c r="V101" s="5">
        <v>0</v>
      </c>
      <c r="W101" s="5">
        <v>1</v>
      </c>
      <c r="X101" s="114">
        <v>8803.7221690381721</v>
      </c>
      <c r="Y101" s="114">
        <v>24.661159885707729</v>
      </c>
      <c r="Z101" s="114">
        <v>1554.7221690381721</v>
      </c>
      <c r="AA101" s="166">
        <v>79057.429999999993</v>
      </c>
      <c r="AB101" s="166">
        <v>64997.24</v>
      </c>
      <c r="AC101" s="167">
        <v>0.82340172268202905</v>
      </c>
      <c r="AD101" s="168"/>
      <c r="AE101" s="168"/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86"/>
      <c r="BJ101" s="185"/>
    </row>
    <row r="102" spans="1:62" ht="12.75" customHeight="1" x14ac:dyDescent="0.35">
      <c r="A102" s="105"/>
      <c r="B102" s="163" t="s">
        <v>1</v>
      </c>
      <c r="C102" s="5" t="s">
        <v>2</v>
      </c>
      <c r="D102" s="5" t="s">
        <v>306</v>
      </c>
      <c r="E102" s="5" t="s">
        <v>401</v>
      </c>
      <c r="F102" s="112">
        <v>1080893</v>
      </c>
      <c r="G102" s="113" t="s">
        <v>755</v>
      </c>
      <c r="H102" s="164">
        <v>4000</v>
      </c>
      <c r="I102" s="164">
        <v>1440</v>
      </c>
      <c r="J102" s="114">
        <v>0</v>
      </c>
      <c r="K102" s="114">
        <v>0</v>
      </c>
      <c r="L102" s="165">
        <v>0</v>
      </c>
      <c r="M102" s="115">
        <v>7.8E-2</v>
      </c>
      <c r="N102" s="165">
        <v>1440</v>
      </c>
      <c r="O102" s="165">
        <v>1.229999999999998</v>
      </c>
      <c r="P102" s="115">
        <v>1.208</v>
      </c>
      <c r="Q102" s="5">
        <v>3765</v>
      </c>
      <c r="R102" s="5">
        <v>312</v>
      </c>
      <c r="S102" s="5">
        <v>3453</v>
      </c>
      <c r="T102" s="5">
        <v>0</v>
      </c>
      <c r="U102" s="5">
        <v>0</v>
      </c>
      <c r="V102" s="5">
        <v>0</v>
      </c>
      <c r="W102" s="5">
        <v>0</v>
      </c>
      <c r="X102" s="114">
        <v>4000</v>
      </c>
      <c r="Y102" s="114">
        <v>25.897499999999997</v>
      </c>
      <c r="Z102" s="114">
        <v>235</v>
      </c>
      <c r="AA102" s="166">
        <v>22080</v>
      </c>
      <c r="AB102" s="166">
        <v>19060.560000000001</v>
      </c>
      <c r="AC102" s="167">
        <v>0.94125000000000003</v>
      </c>
      <c r="AD102" s="168"/>
      <c r="AE102" s="168">
        <v>44.138526987503326</v>
      </c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86" t="s">
        <v>1</v>
      </c>
      <c r="BJ102" s="185"/>
    </row>
    <row r="103" spans="1:62" ht="12.75" customHeight="1" x14ac:dyDescent="0.35">
      <c r="A103" s="105"/>
      <c r="B103" s="163" t="s">
        <v>15</v>
      </c>
      <c r="C103" s="5" t="s">
        <v>5</v>
      </c>
      <c r="D103" s="5" t="s">
        <v>308</v>
      </c>
      <c r="E103" s="5" t="s">
        <v>397</v>
      </c>
      <c r="F103" s="55">
        <v>1074165</v>
      </c>
      <c r="G103" s="64" t="s">
        <v>631</v>
      </c>
      <c r="H103" s="164">
        <v>15998.43688074794</v>
      </c>
      <c r="I103" s="164">
        <v>15998.43688074794</v>
      </c>
      <c r="J103" s="114">
        <v>0</v>
      </c>
      <c r="K103" s="114">
        <v>316</v>
      </c>
      <c r="L103" s="165">
        <v>316</v>
      </c>
      <c r="M103" s="115">
        <v>1.9814435770376337E-2</v>
      </c>
      <c r="N103" s="165">
        <v>15682.43688074794</v>
      </c>
      <c r="O103" s="165">
        <v>0</v>
      </c>
      <c r="P103" s="115">
        <v>0.65817056455471046</v>
      </c>
      <c r="Q103" s="5">
        <v>13929</v>
      </c>
      <c r="R103" s="5">
        <v>1</v>
      </c>
      <c r="S103" s="5">
        <v>13926</v>
      </c>
      <c r="T103" s="5">
        <v>0</v>
      </c>
      <c r="U103" s="5">
        <v>0</v>
      </c>
      <c r="V103" s="5">
        <v>0</v>
      </c>
      <c r="W103" s="5">
        <v>1</v>
      </c>
      <c r="X103" s="114">
        <v>15998.43688074794</v>
      </c>
      <c r="Y103" s="114">
        <v>26.113801186586201</v>
      </c>
      <c r="Z103" s="114">
        <v>1753.4368807479404</v>
      </c>
      <c r="AA103" s="166">
        <v>179502.46</v>
      </c>
      <c r="AB103" s="166">
        <v>156260.94</v>
      </c>
      <c r="AC103" s="167">
        <v>0.89039948753631204</v>
      </c>
      <c r="AD103" s="168"/>
      <c r="AE103" s="168"/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84" t="s">
        <v>1</v>
      </c>
      <c r="BJ103" s="185"/>
    </row>
    <row r="104" spans="1:62" ht="12.75" customHeight="1" x14ac:dyDescent="0.35">
      <c r="A104" s="105"/>
      <c r="B104" s="163" t="s">
        <v>1</v>
      </c>
      <c r="C104" s="5" t="s">
        <v>50</v>
      </c>
      <c r="D104" s="5" t="s">
        <v>310</v>
      </c>
      <c r="E104" s="5" t="s">
        <v>403</v>
      </c>
      <c r="F104" s="5">
        <v>1076301</v>
      </c>
      <c r="G104" s="7" t="s">
        <v>691</v>
      </c>
      <c r="H104" s="164">
        <v>25429.280159114045</v>
      </c>
      <c r="I104" s="164">
        <v>3305.8064206848258</v>
      </c>
      <c r="J104" s="114">
        <v>0</v>
      </c>
      <c r="K104" s="114">
        <v>2520</v>
      </c>
      <c r="L104" s="165">
        <v>327.60000000000002</v>
      </c>
      <c r="M104" s="115">
        <v>0.18691052087435864</v>
      </c>
      <c r="N104" s="165">
        <v>2978.2064206848258</v>
      </c>
      <c r="O104" s="165">
        <v>0</v>
      </c>
      <c r="P104" s="115">
        <v>0.89964641583036542</v>
      </c>
      <c r="Q104" s="5">
        <v>35499</v>
      </c>
      <c r="R104" s="5">
        <v>2233</v>
      </c>
      <c r="S104" s="5">
        <v>33266</v>
      </c>
      <c r="T104" s="5">
        <v>0</v>
      </c>
      <c r="U104" s="5">
        <v>0</v>
      </c>
      <c r="V104" s="5">
        <v>0</v>
      </c>
      <c r="W104" s="5">
        <v>840</v>
      </c>
      <c r="X104" s="114">
        <v>38023.999999999993</v>
      </c>
      <c r="Y104" s="114">
        <v>26.246055123080165</v>
      </c>
      <c r="Z104" s="114">
        <v>-12589.719840885955</v>
      </c>
      <c r="AA104" s="166">
        <v>115703.22</v>
      </c>
      <c r="AB104" s="166">
        <v>155182.29999999999</v>
      </c>
      <c r="AC104" s="167">
        <v>1.4950875432615698</v>
      </c>
      <c r="AD104" s="168"/>
      <c r="AE104" s="168">
        <v>112.11666666666667</v>
      </c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86" t="s">
        <v>1</v>
      </c>
      <c r="BJ104" s="185" t="s">
        <v>865</v>
      </c>
    </row>
    <row r="105" spans="1:62" ht="12.75" customHeight="1" x14ac:dyDescent="0.35">
      <c r="A105" s="105"/>
      <c r="B105" s="163" t="s">
        <v>27</v>
      </c>
      <c r="C105" s="5" t="s">
        <v>5</v>
      </c>
      <c r="D105" s="5" t="s">
        <v>312</v>
      </c>
      <c r="E105" s="5" t="s">
        <v>313</v>
      </c>
      <c r="F105" s="5">
        <v>1072810</v>
      </c>
      <c r="G105" s="7" t="s">
        <v>609</v>
      </c>
      <c r="H105" s="164">
        <v>7256.8202693216708</v>
      </c>
      <c r="I105" s="164">
        <v>9927.330128432046</v>
      </c>
      <c r="J105" s="114">
        <v>0</v>
      </c>
      <c r="K105" s="114">
        <v>400</v>
      </c>
      <c r="L105" s="165">
        <v>547.20000000000005</v>
      </c>
      <c r="M105" s="115">
        <v>0.12167863709301129</v>
      </c>
      <c r="N105" s="165">
        <v>9380.1301284320452</v>
      </c>
      <c r="O105" s="165">
        <v>0</v>
      </c>
      <c r="P105" s="115">
        <v>0.89423399748198396</v>
      </c>
      <c r="Q105" s="5">
        <v>6852</v>
      </c>
      <c r="R105" s="5">
        <v>483</v>
      </c>
      <c r="S105" s="5">
        <v>6369</v>
      </c>
      <c r="T105" s="5">
        <v>0</v>
      </c>
      <c r="U105" s="5">
        <v>0</v>
      </c>
      <c r="V105" s="5">
        <v>0</v>
      </c>
      <c r="W105" s="5">
        <v>0</v>
      </c>
      <c r="X105" s="114">
        <v>7256.8202693216708</v>
      </c>
      <c r="Y105" s="114">
        <v>26.329713691236314</v>
      </c>
      <c r="Z105" s="114">
        <v>4.8202693216708212</v>
      </c>
      <c r="AA105" s="166">
        <v>86791.57</v>
      </c>
      <c r="AB105" s="166">
        <v>76173.240000000005</v>
      </c>
      <c r="AC105" s="167">
        <v>0.99933576013422176</v>
      </c>
      <c r="AD105" s="168"/>
      <c r="AE105" s="168"/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84" t="s">
        <v>1</v>
      </c>
      <c r="BJ105" s="185"/>
    </row>
    <row r="106" spans="1:62" ht="12.75" customHeight="1" x14ac:dyDescent="0.35">
      <c r="A106" s="105"/>
      <c r="B106" s="163" t="s">
        <v>15</v>
      </c>
      <c r="C106" s="5" t="s">
        <v>5</v>
      </c>
      <c r="D106" s="5" t="s">
        <v>308</v>
      </c>
      <c r="E106" s="5" t="s">
        <v>315</v>
      </c>
      <c r="F106" s="5">
        <v>1074230</v>
      </c>
      <c r="G106" s="7" t="s">
        <v>702</v>
      </c>
      <c r="H106" s="164">
        <v>2053.8073293135353</v>
      </c>
      <c r="I106" s="164">
        <v>924.21329819109087</v>
      </c>
      <c r="J106" s="114">
        <v>0</v>
      </c>
      <c r="K106" s="114">
        <v>120</v>
      </c>
      <c r="L106" s="165">
        <v>54</v>
      </c>
      <c r="M106" s="115">
        <v>0.10517052739907977</v>
      </c>
      <c r="N106" s="165">
        <v>870.21329819109087</v>
      </c>
      <c r="O106" s="165">
        <v>0</v>
      </c>
      <c r="P106" s="115">
        <v>0.39780955535657425</v>
      </c>
      <c r="Q106" s="5">
        <v>1907</v>
      </c>
      <c r="R106" s="5">
        <v>96</v>
      </c>
      <c r="S106" s="5">
        <v>1811</v>
      </c>
      <c r="T106" s="5">
        <v>0</v>
      </c>
      <c r="U106" s="5">
        <v>0</v>
      </c>
      <c r="V106" s="5">
        <v>0</v>
      </c>
      <c r="W106" s="5">
        <v>0.6</v>
      </c>
      <c r="X106" s="114">
        <v>2053.8073293135353</v>
      </c>
      <c r="Y106" s="114">
        <v>26.453309044407423</v>
      </c>
      <c r="Z106" s="114">
        <v>26.80732931353532</v>
      </c>
      <c r="AA106" s="166">
        <v>15383.02</v>
      </c>
      <c r="AB106" s="166">
        <v>13568.88</v>
      </c>
      <c r="AC106" s="167">
        <v>0.98694749554599392</v>
      </c>
      <c r="AD106" s="168"/>
      <c r="AE106" s="168"/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86"/>
      <c r="BJ106" s="185"/>
    </row>
    <row r="107" spans="1:62" ht="12.75" customHeight="1" x14ac:dyDescent="0.35">
      <c r="A107" s="105"/>
      <c r="B107" s="163" t="s">
        <v>22</v>
      </c>
      <c r="C107" s="5" t="s">
        <v>5</v>
      </c>
      <c r="D107" s="5" t="s">
        <v>306</v>
      </c>
      <c r="E107" s="5" t="s">
        <v>307</v>
      </c>
      <c r="F107" s="5">
        <v>1062351</v>
      </c>
      <c r="G107" s="7" t="s">
        <v>412</v>
      </c>
      <c r="H107" s="164">
        <v>56125.985831683684</v>
      </c>
      <c r="I107" s="164">
        <v>8418.8978747525525</v>
      </c>
      <c r="J107" s="114">
        <v>0</v>
      </c>
      <c r="K107" s="114">
        <v>1992</v>
      </c>
      <c r="L107" s="165">
        <v>298.8</v>
      </c>
      <c r="M107" s="115">
        <v>6.4996631167245661E-2</v>
      </c>
      <c r="N107" s="165">
        <v>8120.0978747525523</v>
      </c>
      <c r="O107" s="165">
        <v>0</v>
      </c>
      <c r="P107" s="115">
        <v>0.69145543739900928</v>
      </c>
      <c r="Q107" s="5">
        <v>51789</v>
      </c>
      <c r="R107" s="5">
        <v>1656</v>
      </c>
      <c r="S107" s="5">
        <v>50133</v>
      </c>
      <c r="T107" s="5">
        <v>0</v>
      </c>
      <c r="U107" s="5">
        <v>0</v>
      </c>
      <c r="V107" s="5">
        <v>0</v>
      </c>
      <c r="W107" s="5">
        <v>0</v>
      </c>
      <c r="X107" s="114">
        <v>56125.985831683691</v>
      </c>
      <c r="Y107" s="114">
        <v>26.796678538713209</v>
      </c>
      <c r="Z107" s="114">
        <v>2344.9858316836835</v>
      </c>
      <c r="AA107" s="166">
        <v>188583.31</v>
      </c>
      <c r="AB107" s="166">
        <v>168446.88</v>
      </c>
      <c r="AC107" s="167">
        <v>0.95821924912435275</v>
      </c>
      <c r="AD107" s="168"/>
      <c r="AE107" s="168">
        <v>9.4224010042222996</v>
      </c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86" t="s">
        <v>1</v>
      </c>
      <c r="BJ107" s="185"/>
    </row>
    <row r="108" spans="1:62" ht="12.75" customHeight="1" x14ac:dyDescent="0.35">
      <c r="A108" s="105"/>
      <c r="B108" s="163" t="s">
        <v>1</v>
      </c>
      <c r="C108" s="5" t="s">
        <v>50</v>
      </c>
      <c r="D108" s="5" t="s">
        <v>310</v>
      </c>
      <c r="E108" s="5" t="s">
        <v>403</v>
      </c>
      <c r="F108" s="5">
        <v>1061420</v>
      </c>
      <c r="G108" s="7" t="s">
        <v>537</v>
      </c>
      <c r="H108" s="164">
        <v>13492.243056200467</v>
      </c>
      <c r="I108" s="164">
        <v>1753.9915973060606</v>
      </c>
      <c r="J108" s="114">
        <v>0</v>
      </c>
      <c r="K108" s="114">
        <v>604</v>
      </c>
      <c r="L108" s="165">
        <v>78.52</v>
      </c>
      <c r="M108" s="115">
        <v>0.15475558743662293</v>
      </c>
      <c r="N108" s="165">
        <v>1675.4715973060606</v>
      </c>
      <c r="O108" s="165">
        <v>0</v>
      </c>
      <c r="P108" s="115">
        <v>1.0238193571683514</v>
      </c>
      <c r="Q108" s="5">
        <v>16484</v>
      </c>
      <c r="R108" s="5">
        <v>1484</v>
      </c>
      <c r="S108" s="5">
        <v>15000</v>
      </c>
      <c r="T108" s="5">
        <v>0</v>
      </c>
      <c r="U108" s="5">
        <v>14</v>
      </c>
      <c r="V108" s="5">
        <v>0</v>
      </c>
      <c r="W108" s="5">
        <v>504</v>
      </c>
      <c r="X108" s="114">
        <v>16704</v>
      </c>
      <c r="Y108" s="114">
        <v>26.939655172413794</v>
      </c>
      <c r="Z108" s="114">
        <v>-3595.7569437995335</v>
      </c>
      <c r="AA108" s="166">
        <v>60310.33</v>
      </c>
      <c r="AB108" s="166">
        <v>69365.460000000006</v>
      </c>
      <c r="AC108" s="167">
        <v>1.2665054971824774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84"/>
      <c r="BJ108" s="185"/>
    </row>
    <row r="109" spans="1:62" ht="12.75" customHeight="1" x14ac:dyDescent="0.35">
      <c r="A109" s="105"/>
      <c r="B109" s="163" t="s">
        <v>27</v>
      </c>
      <c r="C109" s="5" t="s">
        <v>5</v>
      </c>
      <c r="D109" s="5" t="s">
        <v>312</v>
      </c>
      <c r="E109" s="5" t="s">
        <v>313</v>
      </c>
      <c r="F109" s="5">
        <v>1072811</v>
      </c>
      <c r="G109" s="7" t="s">
        <v>606</v>
      </c>
      <c r="H109" s="164">
        <v>78455.474890217287</v>
      </c>
      <c r="I109" s="164">
        <v>17887.848274969543</v>
      </c>
      <c r="J109" s="114">
        <v>0</v>
      </c>
      <c r="K109" s="114">
        <v>663</v>
      </c>
      <c r="L109" s="165">
        <v>151.16400000000002</v>
      </c>
      <c r="M109" s="115">
        <v>9.9801830413448079E-3</v>
      </c>
      <c r="N109" s="165">
        <v>17736.684274969542</v>
      </c>
      <c r="O109" s="165">
        <v>0</v>
      </c>
      <c r="P109" s="115">
        <v>1.0728353060539924</v>
      </c>
      <c r="Q109" s="5">
        <v>70725</v>
      </c>
      <c r="R109" s="5">
        <v>120</v>
      </c>
      <c r="S109" s="5">
        <v>70605</v>
      </c>
      <c r="T109" s="5">
        <v>0</v>
      </c>
      <c r="U109" s="5">
        <v>150</v>
      </c>
      <c r="V109" s="5">
        <v>0</v>
      </c>
      <c r="W109" s="5">
        <v>0</v>
      </c>
      <c r="X109" s="114">
        <v>78455.474890217287</v>
      </c>
      <c r="Y109" s="114">
        <v>26.998115848051732</v>
      </c>
      <c r="Z109" s="114">
        <v>7067.4748902172869</v>
      </c>
      <c r="AA109" s="166">
        <v>156126.39999999999</v>
      </c>
      <c r="AB109" s="166">
        <v>140802.45000000001</v>
      </c>
      <c r="AC109" s="167">
        <v>0.90991737797640249</v>
      </c>
      <c r="AD109" s="168"/>
      <c r="AE109" s="168">
        <v>46.744578313253015</v>
      </c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86" t="s">
        <v>1</v>
      </c>
      <c r="BJ109" s="185"/>
    </row>
    <row r="110" spans="1:62" ht="12.75" customHeight="1" x14ac:dyDescent="0.35">
      <c r="A110" s="105"/>
      <c r="B110" s="163" t="s">
        <v>27</v>
      </c>
      <c r="C110" s="5" t="s">
        <v>5</v>
      </c>
      <c r="D110" s="5" t="s">
        <v>312</v>
      </c>
      <c r="E110" s="5" t="s">
        <v>313</v>
      </c>
      <c r="F110" s="5">
        <v>1052861</v>
      </c>
      <c r="G110" s="7" t="s">
        <v>196</v>
      </c>
      <c r="H110" s="164">
        <v>19530.429103499744</v>
      </c>
      <c r="I110" s="164">
        <v>898.39973876098816</v>
      </c>
      <c r="J110" s="114">
        <v>0</v>
      </c>
      <c r="K110" s="114">
        <v>1056</v>
      </c>
      <c r="L110" s="165">
        <v>48.576000000000001</v>
      </c>
      <c r="M110" s="115">
        <v>6.9839735357149879E-2</v>
      </c>
      <c r="N110" s="165">
        <v>849.82373876098814</v>
      </c>
      <c r="O110" s="165">
        <v>18.865285803115508</v>
      </c>
      <c r="P110" s="115">
        <v>1.8534974365456907</v>
      </c>
      <c r="Q110" s="5">
        <v>18743</v>
      </c>
      <c r="R110" s="5">
        <v>308</v>
      </c>
      <c r="S110" s="5">
        <v>18435</v>
      </c>
      <c r="T110" s="5">
        <v>0</v>
      </c>
      <c r="U110" s="5">
        <v>0</v>
      </c>
      <c r="V110" s="5">
        <v>0</v>
      </c>
      <c r="W110" s="5">
        <v>0</v>
      </c>
      <c r="X110" s="114">
        <v>19530.429103499744</v>
      </c>
      <c r="Y110" s="114">
        <v>28.317350175419165</v>
      </c>
      <c r="Z110" s="114">
        <v>-268.57089650025591</v>
      </c>
      <c r="AA110" s="166">
        <v>9960.52</v>
      </c>
      <c r="AB110" s="166">
        <v>9401.85</v>
      </c>
      <c r="AC110" s="167">
        <v>1.0137514078711221</v>
      </c>
      <c r="AD110" s="168"/>
      <c r="AE110" s="168"/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86" t="s">
        <v>1</v>
      </c>
      <c r="BJ110" s="185"/>
    </row>
    <row r="111" spans="1:62" ht="12.75" customHeight="1" x14ac:dyDescent="0.35">
      <c r="A111" s="105"/>
      <c r="B111" s="163" t="s">
        <v>31</v>
      </c>
      <c r="C111" s="5" t="s">
        <v>5</v>
      </c>
      <c r="D111" s="5" t="s">
        <v>306</v>
      </c>
      <c r="E111" s="5" t="s">
        <v>307</v>
      </c>
      <c r="F111" s="5">
        <v>1071166</v>
      </c>
      <c r="G111" s="7" t="s">
        <v>605</v>
      </c>
      <c r="H111" s="164">
        <v>27210.320556084785</v>
      </c>
      <c r="I111" s="164">
        <v>3809.4448778518704</v>
      </c>
      <c r="J111" s="114">
        <v>0</v>
      </c>
      <c r="K111" s="114">
        <v>0</v>
      </c>
      <c r="L111" s="165">
        <v>0</v>
      </c>
      <c r="M111" s="115">
        <v>0</v>
      </c>
      <c r="N111" s="165">
        <v>3809.4448778518704</v>
      </c>
      <c r="O111" s="165">
        <v>0</v>
      </c>
      <c r="P111" s="115">
        <v>0.99747876360033605</v>
      </c>
      <c r="Q111" s="5">
        <v>25908</v>
      </c>
      <c r="R111" s="5">
        <v>0</v>
      </c>
      <c r="S111" s="5">
        <v>25908</v>
      </c>
      <c r="T111" s="5">
        <v>0</v>
      </c>
      <c r="U111" s="5">
        <v>0</v>
      </c>
      <c r="V111" s="5">
        <v>0</v>
      </c>
      <c r="W111" s="5">
        <v>0</v>
      </c>
      <c r="X111" s="114">
        <v>27210.320556084785</v>
      </c>
      <c r="Y111" s="114">
        <v>28.564161836975977</v>
      </c>
      <c r="Z111" s="114">
        <v>1302.3205560847855</v>
      </c>
      <c r="AA111" s="166">
        <v>74284.179999999993</v>
      </c>
      <c r="AB111" s="166">
        <v>70728.84</v>
      </c>
      <c r="AC111" s="167">
        <v>0.95213872789919929</v>
      </c>
      <c r="AD111" s="168"/>
      <c r="AE111" s="168" t="s">
        <v>574</v>
      </c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86" t="s">
        <v>1</v>
      </c>
      <c r="BJ111" s="185"/>
    </row>
    <row r="112" spans="1:62" ht="12.75" customHeight="1" x14ac:dyDescent="0.35">
      <c r="A112" s="105"/>
      <c r="B112" s="163" t="s">
        <v>21</v>
      </c>
      <c r="C112" s="5" t="s">
        <v>5</v>
      </c>
      <c r="D112" s="5" t="s">
        <v>396</v>
      </c>
      <c r="E112" s="5" t="s">
        <v>397</v>
      </c>
      <c r="F112" s="5">
        <v>1040796</v>
      </c>
      <c r="G112" s="7" t="s">
        <v>85</v>
      </c>
      <c r="H112" s="164">
        <v>9329.9575940031755</v>
      </c>
      <c r="I112" s="164">
        <v>93299.575940031762</v>
      </c>
      <c r="J112" s="114">
        <v>0</v>
      </c>
      <c r="K112" s="114">
        <v>160</v>
      </c>
      <c r="L112" s="165">
        <v>1600</v>
      </c>
      <c r="M112" s="115">
        <v>4.3944465542215032E-2</v>
      </c>
      <c r="N112" s="165">
        <v>91699.575940031762</v>
      </c>
      <c r="O112" s="165">
        <v>0</v>
      </c>
      <c r="P112" s="115">
        <v>0.99019605135258626</v>
      </c>
      <c r="Q112" s="5">
        <v>9161</v>
      </c>
      <c r="R112" s="5">
        <v>250</v>
      </c>
      <c r="S112" s="5">
        <v>8911</v>
      </c>
      <c r="T112" s="5">
        <v>0</v>
      </c>
      <c r="U112" s="5">
        <v>0</v>
      </c>
      <c r="V112" s="5">
        <v>0</v>
      </c>
      <c r="W112" s="5">
        <v>201</v>
      </c>
      <c r="X112" s="114">
        <v>9329.9575940031755</v>
      </c>
      <c r="Y112" s="114">
        <v>28.652863349756938</v>
      </c>
      <c r="Z112" s="114">
        <v>8.9575940031754726</v>
      </c>
      <c r="AA112" s="166">
        <v>103562.53</v>
      </c>
      <c r="AB112" s="166">
        <v>101143.2</v>
      </c>
      <c r="AC112" s="167">
        <v>0.9990399105341129</v>
      </c>
      <c r="AD112" s="168"/>
      <c r="AE112" s="168"/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86" t="s">
        <v>1</v>
      </c>
      <c r="BJ112" s="172"/>
    </row>
    <row r="113" spans="1:62" ht="12.75" customHeight="1" x14ac:dyDescent="0.35">
      <c r="A113" s="105"/>
      <c r="B113" s="163" t="s">
        <v>1</v>
      </c>
      <c r="C113" s="5" t="s">
        <v>50</v>
      </c>
      <c r="D113" s="5" t="s">
        <v>320</v>
      </c>
      <c r="E113" s="5" t="s">
        <v>402</v>
      </c>
      <c r="F113" s="5">
        <v>1060800</v>
      </c>
      <c r="G113" s="7" t="s">
        <v>437</v>
      </c>
      <c r="H113" s="164">
        <v>28558.151187435222</v>
      </c>
      <c r="I113" s="164">
        <v>5140.4672137383395</v>
      </c>
      <c r="J113" s="114">
        <v>0</v>
      </c>
      <c r="K113" s="114">
        <v>1261</v>
      </c>
      <c r="L113" s="165">
        <v>226.98</v>
      </c>
      <c r="M113" s="115">
        <v>4.7902260584777673E-2</v>
      </c>
      <c r="N113" s="165">
        <v>4913.48721373834</v>
      </c>
      <c r="O113" s="165">
        <v>0</v>
      </c>
      <c r="P113" s="115">
        <v>0.87226070539512945</v>
      </c>
      <c r="Q113" s="5">
        <v>27953</v>
      </c>
      <c r="R113" s="5">
        <v>107</v>
      </c>
      <c r="S113" s="5">
        <v>27846</v>
      </c>
      <c r="T113" s="5">
        <v>0</v>
      </c>
      <c r="U113" s="5">
        <v>0</v>
      </c>
      <c r="V113" s="5">
        <v>0</v>
      </c>
      <c r="W113" s="5">
        <v>400</v>
      </c>
      <c r="X113" s="114">
        <v>28558.151187435222</v>
      </c>
      <c r="Y113" s="114">
        <v>29.251893601835945</v>
      </c>
      <c r="Z113" s="114">
        <v>-655.8488125647782</v>
      </c>
      <c r="AA113" s="166">
        <v>194195.43</v>
      </c>
      <c r="AB113" s="166">
        <v>192072.8</v>
      </c>
      <c r="AC113" s="167">
        <v>1.022965380645976</v>
      </c>
      <c r="AD113" s="168"/>
      <c r="AE113" s="168">
        <v>7.1636228102869923</v>
      </c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86" t="s">
        <v>1</v>
      </c>
      <c r="BJ113" s="185" t="s">
        <v>866</v>
      </c>
    </row>
    <row r="114" spans="1:62" x14ac:dyDescent="0.35">
      <c r="A114" s="105"/>
      <c r="B114" s="163" t="s">
        <v>1</v>
      </c>
      <c r="C114" s="5" t="s">
        <v>2</v>
      </c>
      <c r="D114" s="5" t="s">
        <v>306</v>
      </c>
      <c r="E114" s="5" t="s">
        <v>401</v>
      </c>
      <c r="F114" s="5">
        <v>1070092</v>
      </c>
      <c r="G114" s="7" t="s">
        <v>585</v>
      </c>
      <c r="H114" s="164">
        <v>5363.9233774506811</v>
      </c>
      <c r="I114" s="164">
        <v>5363.9233774506811</v>
      </c>
      <c r="J114" s="114">
        <v>0</v>
      </c>
      <c r="K114" s="114">
        <v>40</v>
      </c>
      <c r="L114" s="165">
        <v>40</v>
      </c>
      <c r="M114" s="115">
        <v>9.3215350931734539E-3</v>
      </c>
      <c r="N114" s="165">
        <v>5323.9233774506811</v>
      </c>
      <c r="O114" s="165">
        <v>0</v>
      </c>
      <c r="P114" s="115">
        <v>0.66041666666666665</v>
      </c>
      <c r="Q114" s="5">
        <v>5260</v>
      </c>
      <c r="R114" s="5">
        <v>10</v>
      </c>
      <c r="S114" s="5">
        <v>5250</v>
      </c>
      <c r="T114" s="5">
        <v>0</v>
      </c>
      <c r="U114" s="5">
        <v>0</v>
      </c>
      <c r="V114" s="5">
        <v>0</v>
      </c>
      <c r="W114" s="5">
        <v>1200</v>
      </c>
      <c r="X114" s="114">
        <v>5363.9233774506811</v>
      </c>
      <c r="Y114" s="114">
        <v>29.362835543496377</v>
      </c>
      <c r="Z114" s="114">
        <v>63.923377450681073</v>
      </c>
      <c r="AA114" s="166">
        <v>48436.23</v>
      </c>
      <c r="AB114" s="166">
        <v>58243.5</v>
      </c>
      <c r="AC114" s="167">
        <v>0.98808271987638607</v>
      </c>
      <c r="AD114" s="168"/>
      <c r="AE114" s="168" t="s">
        <v>574</v>
      </c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86" t="s">
        <v>1</v>
      </c>
      <c r="BJ114" s="185"/>
    </row>
    <row r="115" spans="1:62" ht="12.75" customHeight="1" x14ac:dyDescent="0.35">
      <c r="A115" s="105"/>
      <c r="B115" s="163" t="s">
        <v>9</v>
      </c>
      <c r="C115" s="5" t="s">
        <v>5</v>
      </c>
      <c r="D115" s="5" t="s">
        <v>308</v>
      </c>
      <c r="E115" s="5" t="s">
        <v>397</v>
      </c>
      <c r="F115" s="55">
        <v>1074164</v>
      </c>
      <c r="G115" s="64" t="s">
        <v>700</v>
      </c>
      <c r="H115" s="164">
        <v>7073.8052708503055</v>
      </c>
      <c r="I115" s="164">
        <v>7073.8052708503055</v>
      </c>
      <c r="J115" s="114">
        <v>0</v>
      </c>
      <c r="K115" s="114">
        <v>71</v>
      </c>
      <c r="L115" s="165">
        <v>71</v>
      </c>
      <c r="M115" s="115">
        <v>1.017839723362151E-2</v>
      </c>
      <c r="N115" s="165">
        <v>7002.8052708503055</v>
      </c>
      <c r="O115" s="165">
        <v>0</v>
      </c>
      <c r="P115" s="115">
        <v>1.057526097340429</v>
      </c>
      <c r="Q115" s="5">
        <v>7032</v>
      </c>
      <c r="R115" s="5">
        <v>1</v>
      </c>
      <c r="S115" s="5">
        <v>6961</v>
      </c>
      <c r="T115" s="5">
        <v>3411</v>
      </c>
      <c r="U115" s="5">
        <v>0</v>
      </c>
      <c r="V115" s="5">
        <v>1494</v>
      </c>
      <c r="W115" s="5">
        <v>0</v>
      </c>
      <c r="X115" s="114">
        <v>7073.8052708503055</v>
      </c>
      <c r="Y115" s="114">
        <v>29.521592976349719</v>
      </c>
      <c r="Z115" s="114">
        <v>-3440.1947291496945</v>
      </c>
      <c r="AA115" s="166">
        <v>76538.570000000007</v>
      </c>
      <c r="AB115" s="166">
        <v>128390.12</v>
      </c>
      <c r="AC115" s="167">
        <v>1.4863287293652299</v>
      </c>
      <c r="AD115" s="168"/>
      <c r="AE115" s="168"/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84" t="s">
        <v>1</v>
      </c>
      <c r="BJ115" s="185"/>
    </row>
    <row r="116" spans="1:62" ht="12.75" customHeight="1" x14ac:dyDescent="0.35">
      <c r="A116" s="105"/>
      <c r="B116" s="163" t="s">
        <v>4</v>
      </c>
      <c r="C116" s="5" t="s">
        <v>5</v>
      </c>
      <c r="D116" s="5" t="s">
        <v>308</v>
      </c>
      <c r="E116" s="5" t="s">
        <v>314</v>
      </c>
      <c r="F116" s="55">
        <v>1069728</v>
      </c>
      <c r="G116" s="64" t="s">
        <v>568</v>
      </c>
      <c r="H116" s="164">
        <v>22600.000733976594</v>
      </c>
      <c r="I116" s="164">
        <v>4576.5001486302608</v>
      </c>
      <c r="J116" s="114">
        <v>0</v>
      </c>
      <c r="K116" s="114">
        <v>285</v>
      </c>
      <c r="L116" s="165">
        <v>57.712500000000006</v>
      </c>
      <c r="M116" s="115">
        <v>2.0575220570719897E-2</v>
      </c>
      <c r="N116" s="165">
        <v>4518.7876486302612</v>
      </c>
      <c r="O116" s="165">
        <v>0</v>
      </c>
      <c r="P116" s="115">
        <v>0.9086126964420782</v>
      </c>
      <c r="Q116" s="5">
        <v>22671</v>
      </c>
      <c r="R116" s="5">
        <v>180</v>
      </c>
      <c r="S116" s="5">
        <v>22491</v>
      </c>
      <c r="T116" s="5">
        <v>0</v>
      </c>
      <c r="U116" s="5">
        <v>0</v>
      </c>
      <c r="V116" s="5">
        <v>0</v>
      </c>
      <c r="W116" s="5">
        <v>150</v>
      </c>
      <c r="X116" s="114">
        <v>22600.000733976591</v>
      </c>
      <c r="Y116" s="114">
        <v>29.855308764907178</v>
      </c>
      <c r="Z116" s="114">
        <v>-355.99926602340565</v>
      </c>
      <c r="AA116" s="166">
        <v>53110</v>
      </c>
      <c r="AB116" s="166">
        <v>53206.35</v>
      </c>
      <c r="AC116" s="167">
        <v>1.015752179400959</v>
      </c>
      <c r="AD116" s="168"/>
      <c r="AE116" s="168"/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86"/>
      <c r="BJ116" s="185"/>
    </row>
    <row r="117" spans="1:62" ht="12.75" customHeight="1" x14ac:dyDescent="0.35">
      <c r="A117" s="105"/>
      <c r="B117" s="163" t="s">
        <v>21</v>
      </c>
      <c r="C117" s="5" t="s">
        <v>5</v>
      </c>
      <c r="D117" s="5" t="s">
        <v>396</v>
      </c>
      <c r="E117" s="5" t="s">
        <v>397</v>
      </c>
      <c r="F117" s="5">
        <v>1040797</v>
      </c>
      <c r="G117" s="7" t="s">
        <v>84</v>
      </c>
      <c r="H117" s="164">
        <v>4216.0173887177461</v>
      </c>
      <c r="I117" s="164">
        <v>42160.173887177458</v>
      </c>
      <c r="J117" s="114">
        <v>0</v>
      </c>
      <c r="K117" s="114">
        <v>30</v>
      </c>
      <c r="L117" s="165">
        <v>300</v>
      </c>
      <c r="M117" s="115">
        <v>7.1157201771229316E-3</v>
      </c>
      <c r="N117" s="165">
        <v>41860.173887177458</v>
      </c>
      <c r="O117" s="165">
        <v>0</v>
      </c>
      <c r="P117" s="115">
        <v>0.65044003016958152</v>
      </c>
      <c r="Q117" s="5">
        <v>4216</v>
      </c>
      <c r="R117" s="5">
        <v>0</v>
      </c>
      <c r="S117" s="5">
        <v>4216</v>
      </c>
      <c r="T117" s="5">
        <v>0</v>
      </c>
      <c r="U117" s="5">
        <v>0</v>
      </c>
      <c r="V117" s="5">
        <v>0</v>
      </c>
      <c r="W117" s="5">
        <v>0</v>
      </c>
      <c r="X117" s="114">
        <v>4216.0173887177461</v>
      </c>
      <c r="Y117" s="114">
        <v>29.999876266750281</v>
      </c>
      <c r="Z117" s="114">
        <v>-29.982611282253856</v>
      </c>
      <c r="AA117" s="166">
        <v>42497.46</v>
      </c>
      <c r="AB117" s="166">
        <v>42497.279999999999</v>
      </c>
      <c r="AC117" s="167">
        <v>1.0071115957354655</v>
      </c>
      <c r="AD117" s="168"/>
      <c r="AE117" s="168">
        <v>18.119303797468355</v>
      </c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86" t="s">
        <v>1</v>
      </c>
      <c r="BJ117" s="185"/>
    </row>
    <row r="118" spans="1:62" ht="12.75" customHeight="1" x14ac:dyDescent="0.35">
      <c r="A118" s="105"/>
      <c r="B118" s="163" t="s">
        <v>1</v>
      </c>
      <c r="C118" s="5" t="s">
        <v>50</v>
      </c>
      <c r="D118" s="5" t="s">
        <v>320</v>
      </c>
      <c r="E118" s="5" t="s">
        <v>402</v>
      </c>
      <c r="F118" s="5">
        <v>1060795</v>
      </c>
      <c r="G118" s="7" t="s">
        <v>432</v>
      </c>
      <c r="H118" s="164">
        <v>10892.491214099095</v>
      </c>
      <c r="I118" s="164">
        <v>1960.648418537837</v>
      </c>
      <c r="J118" s="114">
        <v>0</v>
      </c>
      <c r="K118" s="114">
        <v>281</v>
      </c>
      <c r="L118" s="165">
        <v>50.58</v>
      </c>
      <c r="M118" s="115">
        <v>2.7266489746217759E-2</v>
      </c>
      <c r="N118" s="165">
        <v>1910.068418537837</v>
      </c>
      <c r="O118" s="165">
        <v>0</v>
      </c>
      <c r="P118" s="115">
        <v>1.1811572845711926</v>
      </c>
      <c r="Q118" s="5">
        <v>10973</v>
      </c>
      <c r="R118" s="5">
        <v>16</v>
      </c>
      <c r="S118" s="5">
        <v>10957</v>
      </c>
      <c r="T118" s="5">
        <v>0</v>
      </c>
      <c r="U118" s="5">
        <v>0</v>
      </c>
      <c r="V118" s="5">
        <v>0</v>
      </c>
      <c r="W118" s="5">
        <v>424</v>
      </c>
      <c r="X118" s="114">
        <v>10892.491214099096</v>
      </c>
      <c r="Y118" s="114">
        <v>30.177669510031109</v>
      </c>
      <c r="Z118" s="114">
        <v>-361.50878590090542</v>
      </c>
      <c r="AA118" s="166">
        <v>75158.19</v>
      </c>
      <c r="AB118" s="166">
        <v>78528.899999999994</v>
      </c>
      <c r="AC118" s="167">
        <v>1.0331888067472548</v>
      </c>
      <c r="AD118" s="168"/>
      <c r="AE118" s="168">
        <v>53.485240371099245</v>
      </c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86" t="s">
        <v>1</v>
      </c>
      <c r="BJ118" s="185" t="s">
        <v>867</v>
      </c>
    </row>
    <row r="119" spans="1:62" ht="12.75" customHeight="1" x14ac:dyDescent="0.35">
      <c r="A119" s="105"/>
      <c r="B119" s="163" t="s">
        <v>21</v>
      </c>
      <c r="C119" s="5" t="s">
        <v>5</v>
      </c>
      <c r="D119" s="5" t="s">
        <v>306</v>
      </c>
      <c r="E119" s="5" t="s">
        <v>307</v>
      </c>
      <c r="F119" s="5">
        <v>1059375</v>
      </c>
      <c r="G119" s="7" t="s">
        <v>349</v>
      </c>
      <c r="H119" s="164">
        <v>8876</v>
      </c>
      <c r="I119" s="164">
        <v>7988.4000000000005</v>
      </c>
      <c r="J119" s="114">
        <v>0</v>
      </c>
      <c r="K119" s="114">
        <v>24</v>
      </c>
      <c r="L119" s="165">
        <v>21.6</v>
      </c>
      <c r="M119" s="115">
        <v>5.4078413699864807E-3</v>
      </c>
      <c r="N119" s="165">
        <v>7966.8</v>
      </c>
      <c r="O119" s="165">
        <v>0</v>
      </c>
      <c r="P119" s="115">
        <v>0.69433938893666647</v>
      </c>
      <c r="Q119" s="5">
        <v>8954</v>
      </c>
      <c r="R119" s="5">
        <v>24</v>
      </c>
      <c r="S119" s="5">
        <v>8930</v>
      </c>
      <c r="T119" s="5">
        <v>0</v>
      </c>
      <c r="U119" s="5">
        <v>0</v>
      </c>
      <c r="V119" s="5">
        <v>0</v>
      </c>
      <c r="W119" s="5">
        <v>0</v>
      </c>
      <c r="X119" s="114">
        <v>8876</v>
      </c>
      <c r="Y119" s="114">
        <v>30.182514646237045</v>
      </c>
      <c r="Z119" s="114">
        <v>-102</v>
      </c>
      <c r="AA119" s="166">
        <v>212846.48</v>
      </c>
      <c r="AB119" s="166">
        <v>214141.4</v>
      </c>
      <c r="AC119" s="167">
        <v>1.0114916629112212</v>
      </c>
      <c r="AD119" s="168"/>
      <c r="AE119" s="168"/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84" t="s">
        <v>1</v>
      </c>
      <c r="BJ119" s="185"/>
    </row>
    <row r="120" spans="1:62" ht="12.75" customHeight="1" x14ac:dyDescent="0.35">
      <c r="A120" s="105"/>
      <c r="B120" s="163" t="s">
        <v>4</v>
      </c>
      <c r="C120" s="5" t="s">
        <v>5</v>
      </c>
      <c r="D120" s="5" t="s">
        <v>308</v>
      </c>
      <c r="E120" s="5" t="s">
        <v>315</v>
      </c>
      <c r="F120" s="5">
        <v>1072749</v>
      </c>
      <c r="G120" s="7" t="s">
        <v>661</v>
      </c>
      <c r="H120" s="164">
        <v>15383.448645669054</v>
      </c>
      <c r="I120" s="164">
        <v>923.00691874014319</v>
      </c>
      <c r="J120" s="114">
        <v>0</v>
      </c>
      <c r="K120" s="114">
        <v>2</v>
      </c>
      <c r="L120" s="165">
        <v>0.12</v>
      </c>
      <c r="M120" s="115">
        <v>1.3000985969183611E-4</v>
      </c>
      <c r="N120" s="165">
        <v>922.88691874014319</v>
      </c>
      <c r="O120" s="165">
        <v>0</v>
      </c>
      <c r="P120" s="115">
        <v>1.2768269974471138</v>
      </c>
      <c r="Q120" s="5">
        <v>15528</v>
      </c>
      <c r="R120" s="5">
        <v>0</v>
      </c>
      <c r="S120" s="5">
        <v>15528</v>
      </c>
      <c r="T120" s="5">
        <v>0</v>
      </c>
      <c r="U120" s="5">
        <v>0</v>
      </c>
      <c r="V120" s="5">
        <v>0</v>
      </c>
      <c r="W120" s="5">
        <v>0</v>
      </c>
      <c r="X120" s="114">
        <v>15383.448645669054</v>
      </c>
      <c r="Y120" s="114">
        <v>30.281896519422467</v>
      </c>
      <c r="Z120" s="114">
        <v>-146.5513543309462</v>
      </c>
      <c r="AA120" s="166">
        <v>9537.74</v>
      </c>
      <c r="AB120" s="166">
        <v>9627.36</v>
      </c>
      <c r="AC120" s="167">
        <v>1.0095265605071075</v>
      </c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86"/>
      <c r="BJ120" s="185"/>
    </row>
    <row r="121" spans="1:62" ht="12.75" customHeight="1" x14ac:dyDescent="0.35">
      <c r="A121" s="105"/>
      <c r="B121" s="163">
        <v>0</v>
      </c>
      <c r="C121" s="5" t="s">
        <v>5</v>
      </c>
      <c r="D121" s="5" t="s">
        <v>318</v>
      </c>
      <c r="E121" s="5" t="s">
        <v>319</v>
      </c>
      <c r="F121" s="112">
        <v>1079428</v>
      </c>
      <c r="G121" s="113" t="s">
        <v>734</v>
      </c>
      <c r="H121" s="164">
        <v>22639</v>
      </c>
      <c r="I121" s="164">
        <v>18111.2</v>
      </c>
      <c r="J121" s="114">
        <v>0</v>
      </c>
      <c r="K121" s="114">
        <v>0</v>
      </c>
      <c r="L121" s="165">
        <v>0</v>
      </c>
      <c r="M121" s="115">
        <v>0</v>
      </c>
      <c r="N121" s="165">
        <v>18111.2</v>
      </c>
      <c r="O121" s="165">
        <v>12.258933698484917</v>
      </c>
      <c r="P121" s="115">
        <v>1.1458445618195536</v>
      </c>
      <c r="Q121" s="5">
        <v>23045</v>
      </c>
      <c r="R121" s="5">
        <v>0</v>
      </c>
      <c r="S121" s="5">
        <v>23045</v>
      </c>
      <c r="T121" s="5">
        <v>0</v>
      </c>
      <c r="U121" s="5">
        <v>0</v>
      </c>
      <c r="V121" s="5">
        <v>0</v>
      </c>
      <c r="W121" s="5">
        <v>0</v>
      </c>
      <c r="X121" s="114">
        <v>22639</v>
      </c>
      <c r="Y121" s="114">
        <v>30.538009629400591</v>
      </c>
      <c r="Z121" s="114">
        <v>-406</v>
      </c>
      <c r="AA121" s="166">
        <v>176131.42</v>
      </c>
      <c r="AB121" s="166">
        <v>179290.1</v>
      </c>
      <c r="AC121" s="167">
        <v>1.017933654313353</v>
      </c>
      <c r="AD121" s="168"/>
      <c r="AE121" s="168"/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86"/>
      <c r="BJ121" s="185"/>
    </row>
    <row r="122" spans="1:62" ht="12.75" customHeight="1" x14ac:dyDescent="0.35">
      <c r="A122" s="105"/>
      <c r="B122" s="163" t="s">
        <v>1</v>
      </c>
      <c r="C122" s="5" t="s">
        <v>50</v>
      </c>
      <c r="D122" s="5" t="s">
        <v>320</v>
      </c>
      <c r="E122" s="5" t="s">
        <v>402</v>
      </c>
      <c r="F122" s="5">
        <v>1060797</v>
      </c>
      <c r="G122" s="7" t="s">
        <v>434</v>
      </c>
      <c r="H122" s="164">
        <v>10729.881778899993</v>
      </c>
      <c r="I122" s="164">
        <v>1931.3787202019987</v>
      </c>
      <c r="J122" s="114">
        <v>0</v>
      </c>
      <c r="K122" s="114">
        <v>160</v>
      </c>
      <c r="L122" s="165">
        <v>28.799999999999997</v>
      </c>
      <c r="M122" s="115">
        <v>1.5098022824311856E-2</v>
      </c>
      <c r="N122" s="165">
        <v>1902.5787202019987</v>
      </c>
      <c r="O122" s="165">
        <v>0</v>
      </c>
      <c r="P122" s="115">
        <v>0.83862477740342323</v>
      </c>
      <c r="Q122" s="5">
        <v>10981</v>
      </c>
      <c r="R122" s="5">
        <v>2</v>
      </c>
      <c r="S122" s="5">
        <v>10979</v>
      </c>
      <c r="T122" s="5">
        <v>0</v>
      </c>
      <c r="U122" s="5">
        <v>24</v>
      </c>
      <c r="V122" s="5">
        <v>0</v>
      </c>
      <c r="W122" s="5">
        <v>80</v>
      </c>
      <c r="X122" s="114">
        <v>10729.881778899993</v>
      </c>
      <c r="Y122" s="114">
        <v>30.696517145948121</v>
      </c>
      <c r="Z122" s="114">
        <v>-411.11822110000685</v>
      </c>
      <c r="AA122" s="166">
        <v>73714.289999999994</v>
      </c>
      <c r="AB122" s="166">
        <v>76140.210000000006</v>
      </c>
      <c r="AC122" s="167">
        <v>1.0383152610225828</v>
      </c>
      <c r="AD122" s="168"/>
      <c r="AE122" s="168"/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86" t="s">
        <v>1</v>
      </c>
      <c r="BJ122" s="185" t="s">
        <v>868</v>
      </c>
    </row>
    <row r="123" spans="1:62" ht="12.75" customHeight="1" x14ac:dyDescent="0.35">
      <c r="A123" s="105"/>
      <c r="B123" s="163" t="s">
        <v>27</v>
      </c>
      <c r="C123" s="5" t="s">
        <v>5</v>
      </c>
      <c r="D123" s="5" t="s">
        <v>312</v>
      </c>
      <c r="E123" s="5" t="s">
        <v>313</v>
      </c>
      <c r="F123" s="55">
        <v>1072352</v>
      </c>
      <c r="G123" s="64" t="s">
        <v>592</v>
      </c>
      <c r="H123" s="164">
        <v>64588.226079896296</v>
      </c>
      <c r="I123" s="164">
        <v>14726.115546216355</v>
      </c>
      <c r="J123" s="114">
        <v>0</v>
      </c>
      <c r="K123" s="114">
        <v>31</v>
      </c>
      <c r="L123" s="165">
        <v>7.0680000000000005</v>
      </c>
      <c r="M123" s="115">
        <v>4.1958111632415824E-3</v>
      </c>
      <c r="N123" s="165">
        <v>14719.047546216356</v>
      </c>
      <c r="O123" s="165">
        <v>0</v>
      </c>
      <c r="P123" s="115">
        <v>1.1854313604337203</v>
      </c>
      <c r="Q123" s="5">
        <v>66601</v>
      </c>
      <c r="R123" s="5">
        <v>240</v>
      </c>
      <c r="S123" s="5">
        <v>66355</v>
      </c>
      <c r="T123" s="5">
        <v>0</v>
      </c>
      <c r="U123" s="5">
        <v>180</v>
      </c>
      <c r="V123" s="5">
        <v>0</v>
      </c>
      <c r="W123" s="5">
        <v>30</v>
      </c>
      <c r="X123" s="114">
        <v>64588.226079896296</v>
      </c>
      <c r="Y123" s="114">
        <v>30.820632812202422</v>
      </c>
      <c r="Z123" s="114">
        <v>-2043.7739201037039</v>
      </c>
      <c r="AA123" s="166">
        <v>140156.45000000001</v>
      </c>
      <c r="AB123" s="166">
        <v>144446.04999999999</v>
      </c>
      <c r="AC123" s="167">
        <v>1.0316431344247716</v>
      </c>
      <c r="AD123" s="168"/>
      <c r="AE123" s="168">
        <v>4.7401500938086309</v>
      </c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86" t="s">
        <v>1</v>
      </c>
      <c r="BJ123" s="169"/>
    </row>
    <row r="124" spans="1:62" ht="12.75" customHeight="1" x14ac:dyDescent="0.35">
      <c r="A124" s="105"/>
      <c r="B124" s="163" t="s">
        <v>21</v>
      </c>
      <c r="C124" s="5" t="s">
        <v>5</v>
      </c>
      <c r="D124" s="5" t="s">
        <v>308</v>
      </c>
      <c r="E124" s="5" t="s">
        <v>395</v>
      </c>
      <c r="F124" s="5">
        <v>1069727</v>
      </c>
      <c r="G124" s="7" t="s">
        <v>570</v>
      </c>
      <c r="H124" s="164">
        <v>27.748535298438401</v>
      </c>
      <c r="I124" s="164">
        <v>22.198828238750721</v>
      </c>
      <c r="J124" s="114">
        <v>0</v>
      </c>
      <c r="K124" s="114">
        <v>5</v>
      </c>
      <c r="L124" s="165">
        <v>4</v>
      </c>
      <c r="M124" s="115">
        <v>0.28830350553494671</v>
      </c>
      <c r="N124" s="165">
        <v>18.198828238750721</v>
      </c>
      <c r="O124" s="165">
        <v>0</v>
      </c>
      <c r="P124" s="115">
        <v>0.13187662241295764</v>
      </c>
      <c r="Q124" s="5">
        <v>69</v>
      </c>
      <c r="R124" s="5">
        <v>3</v>
      </c>
      <c r="S124" s="5">
        <v>66</v>
      </c>
      <c r="T124" s="5">
        <v>0</v>
      </c>
      <c r="U124" s="5">
        <v>0</v>
      </c>
      <c r="V124" s="5">
        <v>0</v>
      </c>
      <c r="W124" s="5">
        <v>0</v>
      </c>
      <c r="X124" s="114">
        <v>64</v>
      </c>
      <c r="Y124" s="114">
        <v>30.9375</v>
      </c>
      <c r="Z124" s="114">
        <v>-46.251464701561602</v>
      </c>
      <c r="AA124" s="166">
        <v>936.24</v>
      </c>
      <c r="AB124" s="166">
        <v>2226.84</v>
      </c>
      <c r="AC124" s="167">
        <v>2.6668074261982575</v>
      </c>
      <c r="AD124" s="168"/>
      <c r="AE124" s="168"/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84"/>
      <c r="BJ124" s="185"/>
    </row>
    <row r="125" spans="1:62" ht="12.75" customHeight="1" x14ac:dyDescent="0.35">
      <c r="A125" s="105"/>
      <c r="B125" s="163" t="s">
        <v>9</v>
      </c>
      <c r="C125" s="5" t="s">
        <v>5</v>
      </c>
      <c r="D125" s="5" t="s">
        <v>308</v>
      </c>
      <c r="E125" s="5" t="s">
        <v>315</v>
      </c>
      <c r="F125" s="120">
        <v>1080403</v>
      </c>
      <c r="G125" s="121" t="s">
        <v>743</v>
      </c>
      <c r="H125" s="164">
        <v>652.88673111516277</v>
      </c>
      <c r="I125" s="164">
        <v>522.3093848921302</v>
      </c>
      <c r="J125" s="114">
        <v>0</v>
      </c>
      <c r="K125" s="114">
        <v>78</v>
      </c>
      <c r="L125" s="165">
        <v>62.400000000000006</v>
      </c>
      <c r="M125" s="115">
        <v>0.18379910983186024</v>
      </c>
      <c r="N125" s="165">
        <v>459.90938489213022</v>
      </c>
      <c r="O125" s="165">
        <v>0</v>
      </c>
      <c r="P125" s="115">
        <v>1.1919931945614433</v>
      </c>
      <c r="Q125" s="5">
        <v>1048</v>
      </c>
      <c r="R125" s="5">
        <v>42</v>
      </c>
      <c r="S125" s="5">
        <v>1006</v>
      </c>
      <c r="T125" s="5">
        <v>0</v>
      </c>
      <c r="U125" s="5">
        <v>0</v>
      </c>
      <c r="V125" s="5">
        <v>0</v>
      </c>
      <c r="W125" s="5">
        <v>0</v>
      </c>
      <c r="X125" s="114">
        <v>960</v>
      </c>
      <c r="Y125" s="114">
        <v>31.4375</v>
      </c>
      <c r="Z125" s="114">
        <v>-473.11326888483723</v>
      </c>
      <c r="AA125" s="166">
        <v>13057.73</v>
      </c>
      <c r="AB125" s="166">
        <v>20120</v>
      </c>
      <c r="AC125" s="167">
        <v>1.7246483139222883</v>
      </c>
      <c r="AD125" s="168"/>
      <c r="AE125" s="168"/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86" t="s">
        <v>1</v>
      </c>
      <c r="BJ125" s="185"/>
    </row>
    <row r="126" spans="1:62" ht="12.75" customHeight="1" x14ac:dyDescent="0.35">
      <c r="A126" s="105"/>
      <c r="B126" s="163" t="s">
        <v>1</v>
      </c>
      <c r="C126" s="5" t="s">
        <v>2</v>
      </c>
      <c r="D126" s="5" t="s">
        <v>310</v>
      </c>
      <c r="E126" s="5" t="s">
        <v>311</v>
      </c>
      <c r="F126" s="55">
        <v>1068803</v>
      </c>
      <c r="G126" s="64" t="s">
        <v>561</v>
      </c>
      <c r="H126" s="164">
        <v>19441.595953535158</v>
      </c>
      <c r="I126" s="164">
        <v>2916.2393930302737</v>
      </c>
      <c r="J126" s="114">
        <v>0</v>
      </c>
      <c r="K126" s="114">
        <v>1389</v>
      </c>
      <c r="L126" s="165">
        <v>208.35</v>
      </c>
      <c r="M126" s="115">
        <v>7.1444751928785535E-2</v>
      </c>
      <c r="N126" s="165">
        <v>2707.8893930302738</v>
      </c>
      <c r="O126" s="165">
        <v>1.1394188752244538</v>
      </c>
      <c r="P126" s="115">
        <v>1.2690804148299311</v>
      </c>
      <c r="Q126" s="5">
        <v>20451</v>
      </c>
      <c r="R126" s="5">
        <v>0</v>
      </c>
      <c r="S126" s="5">
        <v>20451</v>
      </c>
      <c r="T126" s="5">
        <v>0</v>
      </c>
      <c r="U126" s="5">
        <v>0</v>
      </c>
      <c r="V126" s="5">
        <v>0</v>
      </c>
      <c r="W126" s="5">
        <v>29253</v>
      </c>
      <c r="X126" s="114">
        <v>19441.595953535158</v>
      </c>
      <c r="Y126" s="114">
        <v>31.557594421071119</v>
      </c>
      <c r="Z126" s="114">
        <v>-2398.4040464648424</v>
      </c>
      <c r="AA126" s="166">
        <v>41605.019999999997</v>
      </c>
      <c r="AB126" s="166">
        <v>106366.56</v>
      </c>
      <c r="AC126" s="167">
        <v>1.1233645659644895</v>
      </c>
      <c r="AD126" s="168"/>
      <c r="AE126" s="168">
        <v>29.433634992458529</v>
      </c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86" t="s">
        <v>1</v>
      </c>
      <c r="BJ126" s="185" t="s">
        <v>869</v>
      </c>
    </row>
    <row r="127" spans="1:62" ht="12.75" customHeight="1" x14ac:dyDescent="0.35">
      <c r="A127" s="105"/>
      <c r="B127" s="163" t="s">
        <v>1</v>
      </c>
      <c r="C127" s="5" t="s">
        <v>2</v>
      </c>
      <c r="D127" s="5" t="s">
        <v>396</v>
      </c>
      <c r="E127" s="5" t="s">
        <v>397</v>
      </c>
      <c r="F127" s="55">
        <v>1043304</v>
      </c>
      <c r="G127" s="64" t="s">
        <v>123</v>
      </c>
      <c r="H127" s="164">
        <v>956.29816686570075</v>
      </c>
      <c r="I127" s="164">
        <v>956.29816686570075</v>
      </c>
      <c r="J127" s="114">
        <v>0</v>
      </c>
      <c r="K127" s="114">
        <v>20</v>
      </c>
      <c r="L127" s="165">
        <v>20</v>
      </c>
      <c r="M127" s="115">
        <v>2.0913979230505763E-2</v>
      </c>
      <c r="N127" s="165">
        <v>936.29816686570075</v>
      </c>
      <c r="O127" s="165">
        <v>0</v>
      </c>
      <c r="P127" s="115">
        <v>0.96091074306550739</v>
      </c>
      <c r="Q127" s="5">
        <v>1032</v>
      </c>
      <c r="R127" s="5">
        <v>0</v>
      </c>
      <c r="S127" s="5">
        <v>1032</v>
      </c>
      <c r="T127" s="5">
        <v>0</v>
      </c>
      <c r="U127" s="5">
        <v>0</v>
      </c>
      <c r="V127" s="5">
        <v>0</v>
      </c>
      <c r="W127" s="5">
        <v>0</v>
      </c>
      <c r="X127" s="114">
        <v>956.29816686570075</v>
      </c>
      <c r="Y127" s="114">
        <v>32.374839848822916</v>
      </c>
      <c r="Z127" s="114">
        <v>-95.70183313429925</v>
      </c>
      <c r="AA127" s="166">
        <v>32753.21</v>
      </c>
      <c r="AB127" s="166">
        <v>35346</v>
      </c>
      <c r="AC127" s="167">
        <v>1.100075307524603</v>
      </c>
      <c r="AD127" s="168"/>
      <c r="AE127" s="168">
        <v>532.11500000000001</v>
      </c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86" t="s">
        <v>1</v>
      </c>
      <c r="BJ127" s="185"/>
    </row>
    <row r="128" spans="1:62" ht="12.75" customHeight="1" x14ac:dyDescent="0.35">
      <c r="A128" s="105"/>
      <c r="B128" s="163" t="s">
        <v>1</v>
      </c>
      <c r="C128" s="5" t="s">
        <v>50</v>
      </c>
      <c r="D128" s="5" t="s">
        <v>316</v>
      </c>
      <c r="E128" s="5" t="s">
        <v>408</v>
      </c>
      <c r="F128" s="5">
        <v>1060662</v>
      </c>
      <c r="G128" s="7" t="s">
        <v>426</v>
      </c>
      <c r="H128" s="164">
        <v>2164.1550615642545</v>
      </c>
      <c r="I128" s="164">
        <v>4934.2735403665001</v>
      </c>
      <c r="J128" s="114">
        <v>0</v>
      </c>
      <c r="K128" s="114">
        <v>0</v>
      </c>
      <c r="L128" s="165">
        <v>0</v>
      </c>
      <c r="M128" s="115">
        <v>0</v>
      </c>
      <c r="N128" s="165">
        <v>4934.2735403665001</v>
      </c>
      <c r="O128" s="165">
        <v>0</v>
      </c>
      <c r="P128" s="115">
        <v>0.72334683837531744</v>
      </c>
      <c r="Q128" s="5">
        <v>2356</v>
      </c>
      <c r="R128" s="5">
        <v>0</v>
      </c>
      <c r="S128" s="5">
        <v>2356</v>
      </c>
      <c r="T128" s="5">
        <v>0</v>
      </c>
      <c r="U128" s="5">
        <v>0</v>
      </c>
      <c r="V128" s="5">
        <v>0</v>
      </c>
      <c r="W128" s="5">
        <v>0</v>
      </c>
      <c r="X128" s="114">
        <v>2164.1550615642545</v>
      </c>
      <c r="Y128" s="114">
        <v>32.659397311813869</v>
      </c>
      <c r="Z128" s="114">
        <v>-191.84493843574546</v>
      </c>
      <c r="AA128" s="166">
        <v>26770.6</v>
      </c>
      <c r="AB128" s="166">
        <v>29143.72</v>
      </c>
      <c r="AC128" s="167">
        <v>1.0886465770604623</v>
      </c>
      <c r="AD128" s="168"/>
      <c r="AE128" s="168">
        <v>0</v>
      </c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86" t="s">
        <v>1</v>
      </c>
      <c r="BJ128" s="185"/>
    </row>
    <row r="129" spans="1:62" ht="12.75" customHeight="1" x14ac:dyDescent="0.35">
      <c r="A129" s="105"/>
      <c r="B129" s="163" t="s">
        <v>15</v>
      </c>
      <c r="C129" s="5" t="s">
        <v>5</v>
      </c>
      <c r="D129" s="5" t="s">
        <v>308</v>
      </c>
      <c r="E129" s="5" t="s">
        <v>315</v>
      </c>
      <c r="F129" s="55">
        <v>1078183</v>
      </c>
      <c r="G129" s="64" t="s">
        <v>694</v>
      </c>
      <c r="H129" s="164">
        <v>1526.4327285526861</v>
      </c>
      <c r="I129" s="164">
        <v>428.92759672330482</v>
      </c>
      <c r="J129" s="114">
        <v>0</v>
      </c>
      <c r="K129" s="114">
        <v>-70</v>
      </c>
      <c r="L129" s="165">
        <v>-19.670000000000002</v>
      </c>
      <c r="M129" s="115">
        <v>-4.5858555500425967E-2</v>
      </c>
      <c r="N129" s="165">
        <v>448.59759672330483</v>
      </c>
      <c r="O129" s="165">
        <v>0</v>
      </c>
      <c r="P129" s="115">
        <v>0.24361628066857091</v>
      </c>
      <c r="Q129" s="5">
        <v>1680</v>
      </c>
      <c r="R129" s="5">
        <v>0</v>
      </c>
      <c r="S129" s="5">
        <v>1680</v>
      </c>
      <c r="T129" s="5">
        <v>0</v>
      </c>
      <c r="U129" s="5">
        <v>0</v>
      </c>
      <c r="V129" s="5">
        <v>0</v>
      </c>
      <c r="W129" s="5">
        <v>0</v>
      </c>
      <c r="X129" s="114">
        <v>1526.4327285526861</v>
      </c>
      <c r="Y129" s="114">
        <v>33.018159960306697</v>
      </c>
      <c r="Z129" s="114">
        <v>-83.567271447313942</v>
      </c>
      <c r="AA129" s="166">
        <v>7220.03</v>
      </c>
      <c r="AB129" s="166">
        <v>7946.4</v>
      </c>
      <c r="AC129" s="167">
        <v>1.0547467765097973</v>
      </c>
      <c r="AD129" s="168"/>
      <c r="AE129" s="168"/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86"/>
      <c r="BJ129" s="185"/>
    </row>
    <row r="130" spans="1:62" ht="12.75" customHeight="1" x14ac:dyDescent="0.35">
      <c r="A130" s="105"/>
      <c r="B130" s="163" t="s">
        <v>1</v>
      </c>
      <c r="C130" s="5" t="s">
        <v>2</v>
      </c>
      <c r="D130" s="5" t="s">
        <v>310</v>
      </c>
      <c r="E130" s="5" t="s">
        <v>311</v>
      </c>
      <c r="F130" s="125">
        <v>1080748</v>
      </c>
      <c r="G130" s="127" t="s">
        <v>768</v>
      </c>
      <c r="H130" s="164">
        <v>3013.0885865988557</v>
      </c>
      <c r="I130" s="164">
        <v>1807.8531519593134</v>
      </c>
      <c r="J130" s="114">
        <v>0</v>
      </c>
      <c r="K130" s="114">
        <v>433</v>
      </c>
      <c r="L130" s="165">
        <v>259.8</v>
      </c>
      <c r="M130" s="115">
        <v>0.2120747471023734</v>
      </c>
      <c r="N130" s="165">
        <v>1548.0531519593135</v>
      </c>
      <c r="O130" s="165">
        <v>0</v>
      </c>
      <c r="P130" s="115">
        <v>1.2336378041595661</v>
      </c>
      <c r="Q130" s="5">
        <v>5877</v>
      </c>
      <c r="R130" s="5">
        <v>206</v>
      </c>
      <c r="S130" s="5">
        <v>5671</v>
      </c>
      <c r="T130" s="5">
        <v>0</v>
      </c>
      <c r="U130" s="5">
        <v>0</v>
      </c>
      <c r="V130" s="5">
        <v>0</v>
      </c>
      <c r="W130" s="5">
        <v>80</v>
      </c>
      <c r="X130" s="114">
        <v>5112</v>
      </c>
      <c r="Y130" s="114">
        <v>33.28051643192488</v>
      </c>
      <c r="Z130" s="114">
        <v>-3296.9114134011443</v>
      </c>
      <c r="AA130" s="166">
        <v>43328.21</v>
      </c>
      <c r="AB130" s="166">
        <v>82699.38</v>
      </c>
      <c r="AC130" s="167">
        <v>2.0941966419655338</v>
      </c>
      <c r="AD130" s="168"/>
      <c r="AE130" s="168">
        <v>58.314976494291471</v>
      </c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86" t="s">
        <v>1</v>
      </c>
      <c r="BJ130" s="185"/>
    </row>
    <row r="131" spans="1:62" ht="12.75" customHeight="1" x14ac:dyDescent="0.35">
      <c r="A131" s="105"/>
      <c r="B131" s="163" t="s">
        <v>31</v>
      </c>
      <c r="C131" s="5" t="s">
        <v>5</v>
      </c>
      <c r="D131" s="5" t="s">
        <v>396</v>
      </c>
      <c r="E131" s="5" t="s">
        <v>307</v>
      </c>
      <c r="F131" s="5">
        <v>1071765</v>
      </c>
      <c r="G131" s="7" t="s">
        <v>590</v>
      </c>
      <c r="H131" s="164">
        <v>21314.032172968225</v>
      </c>
      <c r="I131" s="164">
        <v>19182.628955671404</v>
      </c>
      <c r="J131" s="114">
        <v>0</v>
      </c>
      <c r="K131" s="114">
        <v>47</v>
      </c>
      <c r="L131" s="165">
        <v>42.300000000000004</v>
      </c>
      <c r="M131" s="115">
        <v>2.2051200644994948E-3</v>
      </c>
      <c r="N131" s="165">
        <v>19140.328955671404</v>
      </c>
      <c r="O131" s="165">
        <v>0</v>
      </c>
      <c r="P131" s="115">
        <v>0.9161566794393825</v>
      </c>
      <c r="Q131" s="5">
        <v>24073</v>
      </c>
      <c r="R131" s="5">
        <v>0</v>
      </c>
      <c r="S131" s="5">
        <v>24060</v>
      </c>
      <c r="T131" s="5">
        <v>0</v>
      </c>
      <c r="U131" s="5">
        <v>10</v>
      </c>
      <c r="V131" s="5">
        <v>0</v>
      </c>
      <c r="W131" s="5">
        <v>360</v>
      </c>
      <c r="X131" s="114">
        <v>21314.032172968225</v>
      </c>
      <c r="Y131" s="114">
        <v>33.865014096930537</v>
      </c>
      <c r="Z131" s="114">
        <v>-2805.9678270317745</v>
      </c>
      <c r="AA131" s="166">
        <v>372995.56</v>
      </c>
      <c r="AB131" s="166">
        <v>427525</v>
      </c>
      <c r="AC131" s="167">
        <v>1.1316488501218684</v>
      </c>
      <c r="AD131" s="168"/>
      <c r="AE131" s="168"/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86"/>
      <c r="BJ131" s="185"/>
    </row>
    <row r="132" spans="1:62" ht="12.75" customHeight="1" x14ac:dyDescent="0.35">
      <c r="A132" s="105"/>
      <c r="B132" s="163" t="s">
        <v>1</v>
      </c>
      <c r="C132" s="5" t="s">
        <v>50</v>
      </c>
      <c r="D132" s="5" t="s">
        <v>310</v>
      </c>
      <c r="E132" s="5" t="s">
        <v>403</v>
      </c>
      <c r="F132" s="5">
        <v>1076302</v>
      </c>
      <c r="G132" s="7" t="s">
        <v>692</v>
      </c>
      <c r="H132" s="164">
        <v>21542.418597118834</v>
      </c>
      <c r="I132" s="164">
        <v>797.06948809339679</v>
      </c>
      <c r="J132" s="114">
        <v>0</v>
      </c>
      <c r="K132" s="114">
        <v>67</v>
      </c>
      <c r="L132" s="165">
        <v>2.4790000000000001</v>
      </c>
      <c r="M132" s="115">
        <v>2.3163601512540388E-2</v>
      </c>
      <c r="N132" s="165">
        <v>794.59048809339674</v>
      </c>
      <c r="O132" s="165">
        <v>0</v>
      </c>
      <c r="P132" s="115">
        <v>1.2048214181914827</v>
      </c>
      <c r="Q132" s="5">
        <v>25090</v>
      </c>
      <c r="R132" s="5">
        <v>432</v>
      </c>
      <c r="S132" s="5">
        <v>24658</v>
      </c>
      <c r="T132" s="5">
        <v>0</v>
      </c>
      <c r="U132" s="5">
        <v>576</v>
      </c>
      <c r="V132" s="5">
        <v>0</v>
      </c>
      <c r="W132" s="5">
        <v>0</v>
      </c>
      <c r="X132" s="114">
        <v>21542.418597118834</v>
      </c>
      <c r="Y132" s="114">
        <v>34.338762691155559</v>
      </c>
      <c r="Z132" s="114">
        <v>-3614.5814028811656</v>
      </c>
      <c r="AA132" s="166">
        <v>48685.87</v>
      </c>
      <c r="AB132" s="166">
        <v>57028.84</v>
      </c>
      <c r="AC132" s="167">
        <v>1.1677890245510592</v>
      </c>
      <c r="AD132" s="168"/>
      <c r="AE132" s="168"/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86" t="s">
        <v>1</v>
      </c>
      <c r="BJ132" s="185"/>
    </row>
    <row r="133" spans="1:62" ht="12.75" customHeight="1" x14ac:dyDescent="0.35">
      <c r="A133" s="105"/>
      <c r="B133" s="163" t="s">
        <v>31</v>
      </c>
      <c r="C133" s="5" t="s">
        <v>5</v>
      </c>
      <c r="D133" s="5" t="s">
        <v>306</v>
      </c>
      <c r="E133" s="5" t="s">
        <v>307</v>
      </c>
      <c r="F133" s="128">
        <v>1076007</v>
      </c>
      <c r="G133" s="129" t="s">
        <v>653</v>
      </c>
      <c r="H133" s="164">
        <v>4341.9493411677249</v>
      </c>
      <c r="I133" s="164">
        <v>1302.5848023503174</v>
      </c>
      <c r="J133" s="114">
        <v>0</v>
      </c>
      <c r="K133" s="114">
        <v>260</v>
      </c>
      <c r="L133" s="165">
        <v>78</v>
      </c>
      <c r="M133" s="115">
        <v>5.9880938161769419E-2</v>
      </c>
      <c r="N133" s="165">
        <v>1224.5848023503174</v>
      </c>
      <c r="O133" s="165">
        <v>0</v>
      </c>
      <c r="P133" s="115">
        <v>0.39971386829687977</v>
      </c>
      <c r="Q133" s="5">
        <v>4980</v>
      </c>
      <c r="R133" s="5">
        <v>0</v>
      </c>
      <c r="S133" s="5">
        <v>4980</v>
      </c>
      <c r="T133" s="5">
        <v>0</v>
      </c>
      <c r="U133" s="5">
        <v>0</v>
      </c>
      <c r="V133" s="5">
        <v>0</v>
      </c>
      <c r="W133" s="5">
        <v>0</v>
      </c>
      <c r="X133" s="114">
        <v>4341.9493411677249</v>
      </c>
      <c r="Y133" s="114">
        <v>34.408508312955192</v>
      </c>
      <c r="Z133" s="114">
        <v>-898.05065883227508</v>
      </c>
      <c r="AA133" s="166">
        <v>32173.84</v>
      </c>
      <c r="AB133" s="166">
        <v>36901.800000000003</v>
      </c>
      <c r="AC133" s="167">
        <v>1.206831215260276</v>
      </c>
      <c r="AD133" s="168"/>
      <c r="AE133" s="168"/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84" t="s">
        <v>1</v>
      </c>
      <c r="BJ133" s="185"/>
    </row>
    <row r="134" spans="1:62" ht="12.75" customHeight="1" x14ac:dyDescent="0.35">
      <c r="A134" s="105"/>
      <c r="B134" s="163" t="s">
        <v>21</v>
      </c>
      <c r="C134" s="5" t="s">
        <v>5</v>
      </c>
      <c r="D134" s="5" t="s">
        <v>396</v>
      </c>
      <c r="E134" s="5" t="s">
        <v>397</v>
      </c>
      <c r="F134" s="5">
        <v>1071793</v>
      </c>
      <c r="G134" s="7" t="s">
        <v>666</v>
      </c>
      <c r="H134" s="164">
        <v>331.21175475615792</v>
      </c>
      <c r="I134" s="164">
        <v>165.60587737807896</v>
      </c>
      <c r="J134" s="114">
        <v>0</v>
      </c>
      <c r="K134" s="114">
        <v>0</v>
      </c>
      <c r="L134" s="165">
        <v>0</v>
      </c>
      <c r="M134" s="115">
        <v>1.5096082576178674E-2</v>
      </c>
      <c r="N134" s="165">
        <v>165.60587737807896</v>
      </c>
      <c r="O134" s="165">
        <v>22.353214374187644</v>
      </c>
      <c r="P134" s="115">
        <v>1.1501379728847112</v>
      </c>
      <c r="Q134" s="5">
        <v>387</v>
      </c>
      <c r="R134" s="5">
        <v>5</v>
      </c>
      <c r="S134" s="5">
        <v>382</v>
      </c>
      <c r="T134" s="5">
        <v>440</v>
      </c>
      <c r="U134" s="5">
        <v>80</v>
      </c>
      <c r="V134" s="5">
        <v>0</v>
      </c>
      <c r="W134" s="5">
        <v>0</v>
      </c>
      <c r="X134" s="114">
        <v>331.21175475615792</v>
      </c>
      <c r="Y134" s="114">
        <v>34.600221264601522</v>
      </c>
      <c r="Z134" s="114">
        <v>-495.78824524384208</v>
      </c>
      <c r="AA134" s="166">
        <v>2374.79</v>
      </c>
      <c r="AB134" s="166">
        <v>6467.34</v>
      </c>
      <c r="AC134" s="167">
        <v>2.4968920580999532</v>
      </c>
      <c r="AD134" s="168"/>
      <c r="AE134" s="168">
        <v>40.776923076923076</v>
      </c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86" t="s">
        <v>1</v>
      </c>
      <c r="BJ134" s="185"/>
    </row>
    <row r="135" spans="1:62" ht="12.75" customHeight="1" x14ac:dyDescent="0.35">
      <c r="A135" s="105"/>
      <c r="B135" s="163" t="s">
        <v>27</v>
      </c>
      <c r="C135" s="5" t="s">
        <v>5</v>
      </c>
      <c r="D135" s="5" t="s">
        <v>312</v>
      </c>
      <c r="E135" s="5" t="s">
        <v>313</v>
      </c>
      <c r="F135" s="5">
        <v>1052769</v>
      </c>
      <c r="G135" s="7" t="s">
        <v>192</v>
      </c>
      <c r="H135" s="164">
        <v>32654.811252622021</v>
      </c>
      <c r="I135" s="164">
        <v>9012.7279057236792</v>
      </c>
      <c r="J135" s="114">
        <v>0</v>
      </c>
      <c r="K135" s="114">
        <v>-182</v>
      </c>
      <c r="L135" s="165">
        <v>-50.232000000000006</v>
      </c>
      <c r="M135" s="115">
        <v>-5.5734512930429598E-3</v>
      </c>
      <c r="N135" s="165">
        <v>9062.9599057236792</v>
      </c>
      <c r="O135" s="165">
        <v>0</v>
      </c>
      <c r="P135" s="115">
        <v>1.0681263692946699</v>
      </c>
      <c r="Q135" s="5">
        <v>38532</v>
      </c>
      <c r="R135" s="5">
        <v>0</v>
      </c>
      <c r="S135" s="5">
        <v>38532</v>
      </c>
      <c r="T135" s="5">
        <v>0</v>
      </c>
      <c r="U135" s="5">
        <v>210</v>
      </c>
      <c r="V135" s="5">
        <v>0</v>
      </c>
      <c r="W135" s="5">
        <v>700</v>
      </c>
      <c r="X135" s="114">
        <v>32654.811252622021</v>
      </c>
      <c r="Y135" s="114">
        <v>35.399377784098569</v>
      </c>
      <c r="Z135" s="114">
        <v>-5695.1887473779789</v>
      </c>
      <c r="AA135" s="166">
        <v>132578.53</v>
      </c>
      <c r="AB135" s="166">
        <v>160134.51999999999</v>
      </c>
      <c r="AC135" s="167">
        <v>1.1744058081769093</v>
      </c>
      <c r="AD135" s="168"/>
      <c r="AE135" s="168" t="s">
        <v>574</v>
      </c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86" t="s">
        <v>1</v>
      </c>
      <c r="BJ135" s="185"/>
    </row>
    <row r="136" spans="1:62" ht="12.75" customHeight="1" x14ac:dyDescent="0.35">
      <c r="A136" s="105"/>
      <c r="B136" s="163" t="s">
        <v>148</v>
      </c>
      <c r="C136" s="5" t="s">
        <v>5</v>
      </c>
      <c r="D136" s="5" t="s">
        <v>318</v>
      </c>
      <c r="E136" s="5" t="s">
        <v>307</v>
      </c>
      <c r="F136" s="112">
        <v>1072128</v>
      </c>
      <c r="G136" s="113" t="s">
        <v>738</v>
      </c>
      <c r="H136" s="164">
        <v>6421</v>
      </c>
      <c r="I136" s="164">
        <v>3210.5</v>
      </c>
      <c r="J136" s="114">
        <v>0</v>
      </c>
      <c r="K136" s="114">
        <v>125</v>
      </c>
      <c r="L136" s="165">
        <v>62.5</v>
      </c>
      <c r="M136" s="115">
        <v>2.4139542127394487E-2</v>
      </c>
      <c r="N136" s="165">
        <v>3148</v>
      </c>
      <c r="O136" s="165">
        <v>0.4438560971811234</v>
      </c>
      <c r="P136" s="115">
        <v>2.4093907644547925</v>
      </c>
      <c r="Q136" s="5">
        <v>7638</v>
      </c>
      <c r="R136" s="5">
        <v>30</v>
      </c>
      <c r="S136" s="5">
        <v>7608</v>
      </c>
      <c r="T136" s="5">
        <v>0</v>
      </c>
      <c r="U136" s="5">
        <v>0</v>
      </c>
      <c r="V136" s="5">
        <v>0</v>
      </c>
      <c r="W136" s="5">
        <v>0</v>
      </c>
      <c r="X136" s="114">
        <v>6421</v>
      </c>
      <c r="Y136" s="114">
        <v>35.545865130042046</v>
      </c>
      <c r="Z136" s="114">
        <v>-1342</v>
      </c>
      <c r="AA136" s="166">
        <v>40644.93</v>
      </c>
      <c r="AB136" s="166">
        <v>48158.64</v>
      </c>
      <c r="AC136" s="167">
        <v>1.2090017131287962</v>
      </c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84"/>
      <c r="BJ136" s="185" t="s">
        <v>870</v>
      </c>
    </row>
    <row r="137" spans="1:62" ht="12.75" customHeight="1" x14ac:dyDescent="0.35">
      <c r="A137" s="105"/>
      <c r="B137" s="163" t="s">
        <v>15</v>
      </c>
      <c r="C137" s="5" t="s">
        <v>5</v>
      </c>
      <c r="D137" s="5" t="s">
        <v>308</v>
      </c>
      <c r="E137" s="5" t="s">
        <v>315</v>
      </c>
      <c r="F137" s="5">
        <v>1071558</v>
      </c>
      <c r="G137" s="7" t="s">
        <v>589</v>
      </c>
      <c r="H137" s="164">
        <v>5954.3307360132703</v>
      </c>
      <c r="I137" s="164">
        <v>1548.1259913634503</v>
      </c>
      <c r="J137" s="114">
        <v>0</v>
      </c>
      <c r="K137" s="114">
        <v>400</v>
      </c>
      <c r="L137" s="165">
        <v>104</v>
      </c>
      <c r="M137" s="115">
        <v>7.1208674626611304E-2</v>
      </c>
      <c r="N137" s="165">
        <v>1444.1259913634503</v>
      </c>
      <c r="O137" s="165">
        <v>0</v>
      </c>
      <c r="P137" s="115">
        <v>1.0793601945042646</v>
      </c>
      <c r="Q137" s="5">
        <v>7190</v>
      </c>
      <c r="R137" s="5">
        <v>24</v>
      </c>
      <c r="S137" s="5">
        <v>7166</v>
      </c>
      <c r="T137" s="5">
        <v>0</v>
      </c>
      <c r="U137" s="5">
        <v>0</v>
      </c>
      <c r="V137" s="5">
        <v>0</v>
      </c>
      <c r="W137" s="5">
        <v>0</v>
      </c>
      <c r="X137" s="114">
        <v>5954.3307360132703</v>
      </c>
      <c r="Y137" s="114">
        <v>36.104813375539855</v>
      </c>
      <c r="Z137" s="114">
        <v>-1635.6692639867297</v>
      </c>
      <c r="AA137" s="166">
        <v>10717.8</v>
      </c>
      <c r="AB137" s="166">
        <v>12898.8</v>
      </c>
      <c r="AC137" s="167">
        <v>1.2747024538112732</v>
      </c>
      <c r="AD137" s="168"/>
      <c r="AE137" s="168">
        <v>87.428449744463364</v>
      </c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86" t="s">
        <v>1</v>
      </c>
      <c r="BJ137" s="185"/>
    </row>
    <row r="138" spans="1:62" ht="12.75" customHeight="1" x14ac:dyDescent="0.35">
      <c r="A138" s="105"/>
      <c r="B138" s="163" t="s">
        <v>15</v>
      </c>
      <c r="C138" s="5" t="s">
        <v>5</v>
      </c>
      <c r="D138" s="5" t="s">
        <v>308</v>
      </c>
      <c r="E138" s="5" t="s">
        <v>315</v>
      </c>
      <c r="F138" s="5">
        <v>1058339</v>
      </c>
      <c r="G138" s="7" t="s">
        <v>232</v>
      </c>
      <c r="H138" s="164">
        <v>24768.029986324997</v>
      </c>
      <c r="I138" s="164">
        <v>7727.6253557333985</v>
      </c>
      <c r="J138" s="114">
        <v>0</v>
      </c>
      <c r="K138" s="114">
        <v>1263</v>
      </c>
      <c r="L138" s="165">
        <v>394.05599999999998</v>
      </c>
      <c r="M138" s="115">
        <v>5.0993155317452847E-2</v>
      </c>
      <c r="N138" s="165">
        <v>7333.5693557333989</v>
      </c>
      <c r="O138" s="165">
        <v>0</v>
      </c>
      <c r="P138" s="115">
        <v>16.767284140046339</v>
      </c>
      <c r="Q138" s="5">
        <v>30290</v>
      </c>
      <c r="R138" s="5">
        <v>0</v>
      </c>
      <c r="S138" s="5">
        <v>30290</v>
      </c>
      <c r="T138" s="5">
        <v>0</v>
      </c>
      <c r="U138" s="5">
        <v>0</v>
      </c>
      <c r="V138" s="5">
        <v>0</v>
      </c>
      <c r="W138" s="5">
        <v>0</v>
      </c>
      <c r="X138" s="114">
        <v>24768.029986324997</v>
      </c>
      <c r="Y138" s="114">
        <v>36.688424574005857</v>
      </c>
      <c r="Z138" s="114">
        <v>-6784.9700136750034</v>
      </c>
      <c r="AA138" s="166">
        <v>120372.63</v>
      </c>
      <c r="AB138" s="166">
        <v>147209.4</v>
      </c>
      <c r="AC138" s="167">
        <v>1.2739406411176482</v>
      </c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84" t="s">
        <v>1</v>
      </c>
      <c r="BJ138" s="185"/>
    </row>
    <row r="139" spans="1:62" ht="12.75" customHeight="1" x14ac:dyDescent="0.35">
      <c r="A139" s="105"/>
      <c r="B139" s="163" t="s">
        <v>31</v>
      </c>
      <c r="C139" s="5" t="s">
        <v>5</v>
      </c>
      <c r="D139" s="5" t="s">
        <v>306</v>
      </c>
      <c r="E139" s="5" t="s">
        <v>307</v>
      </c>
      <c r="F139" s="5">
        <v>1071169</v>
      </c>
      <c r="G139" s="7" t="s">
        <v>601</v>
      </c>
      <c r="H139" s="164">
        <v>22780.956000863942</v>
      </c>
      <c r="I139" s="164">
        <v>4100.572080155509</v>
      </c>
      <c r="J139" s="114">
        <v>0</v>
      </c>
      <c r="K139" s="114">
        <v>73</v>
      </c>
      <c r="L139" s="165">
        <v>13.139999999999999</v>
      </c>
      <c r="M139" s="115">
        <v>7.4184770820676215E-3</v>
      </c>
      <c r="N139" s="165">
        <v>4087.4320801555091</v>
      </c>
      <c r="O139" s="165">
        <v>0</v>
      </c>
      <c r="P139" s="115">
        <v>1.1445651445561082</v>
      </c>
      <c r="Q139" s="5">
        <v>28041</v>
      </c>
      <c r="R139" s="5">
        <v>96</v>
      </c>
      <c r="S139" s="5">
        <v>27945</v>
      </c>
      <c r="T139" s="5">
        <v>0</v>
      </c>
      <c r="U139" s="5">
        <v>480</v>
      </c>
      <c r="V139" s="5">
        <v>0</v>
      </c>
      <c r="W139" s="5">
        <v>0</v>
      </c>
      <c r="X139" s="114">
        <v>22780.956000863942</v>
      </c>
      <c r="Y139" s="114">
        <v>36.800474921605861</v>
      </c>
      <c r="Z139" s="114">
        <v>-5333.0439991360581</v>
      </c>
      <c r="AA139" s="166">
        <v>100919.64</v>
      </c>
      <c r="AB139" s="166">
        <v>125922.75</v>
      </c>
      <c r="AC139" s="167">
        <v>1.2341009744689295</v>
      </c>
      <c r="AD139" s="168"/>
      <c r="AE139" s="168"/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84"/>
      <c r="BJ139" s="185"/>
    </row>
    <row r="140" spans="1:62" ht="12.75" customHeight="1" x14ac:dyDescent="0.35">
      <c r="A140" s="105"/>
      <c r="B140" s="163" t="s">
        <v>1</v>
      </c>
      <c r="C140" s="5" t="s">
        <v>2</v>
      </c>
      <c r="D140" s="5" t="s">
        <v>310</v>
      </c>
      <c r="E140" s="5" t="s">
        <v>311</v>
      </c>
      <c r="F140" s="135">
        <v>1068295</v>
      </c>
      <c r="G140" s="136" t="s">
        <v>566</v>
      </c>
      <c r="H140" s="164">
        <v>802.80434449646077</v>
      </c>
      <c r="I140" s="164">
        <v>433.51434602808882</v>
      </c>
      <c r="J140" s="114">
        <v>0</v>
      </c>
      <c r="K140" s="114">
        <v>0</v>
      </c>
      <c r="L140" s="165">
        <v>0</v>
      </c>
      <c r="M140" s="115">
        <v>0.14947602217482647</v>
      </c>
      <c r="N140" s="165">
        <v>433.51434602808882</v>
      </c>
      <c r="O140" s="165">
        <v>0</v>
      </c>
      <c r="P140" s="115">
        <v>1.4262648103991931</v>
      </c>
      <c r="Q140" s="5">
        <v>1306</v>
      </c>
      <c r="R140" s="5">
        <v>120</v>
      </c>
      <c r="S140" s="5">
        <v>1186</v>
      </c>
      <c r="T140" s="5">
        <v>0</v>
      </c>
      <c r="U140" s="5">
        <v>0</v>
      </c>
      <c r="V140" s="5">
        <v>0</v>
      </c>
      <c r="W140" s="5">
        <v>0</v>
      </c>
      <c r="X140" s="114">
        <v>960</v>
      </c>
      <c r="Y140" s="114">
        <v>37.0625</v>
      </c>
      <c r="Z140" s="114">
        <v>-503.19565550353923</v>
      </c>
      <c r="AA140" s="166">
        <v>6615.11</v>
      </c>
      <c r="AB140" s="166">
        <v>9772.64</v>
      </c>
      <c r="AC140" s="167">
        <v>1.6267973746693616</v>
      </c>
      <c r="AD140" s="168"/>
      <c r="AE140" s="168" t="s">
        <v>574</v>
      </c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86" t="s">
        <v>1</v>
      </c>
      <c r="BJ140" s="185"/>
    </row>
    <row r="141" spans="1:62" ht="12.75" customHeight="1" x14ac:dyDescent="0.35">
      <c r="A141" s="105"/>
      <c r="B141" s="163" t="s">
        <v>31</v>
      </c>
      <c r="C141" s="5" t="s">
        <v>5</v>
      </c>
      <c r="D141" s="5" t="s">
        <v>306</v>
      </c>
      <c r="E141" s="5" t="s">
        <v>307</v>
      </c>
      <c r="F141" s="5">
        <v>1078161</v>
      </c>
      <c r="G141" s="7" t="s">
        <v>705</v>
      </c>
      <c r="H141" s="164">
        <v>5228.8080612139183</v>
      </c>
      <c r="I141" s="164">
        <v>1939.8877907103638</v>
      </c>
      <c r="J141" s="114">
        <v>0</v>
      </c>
      <c r="K141" s="114">
        <v>0</v>
      </c>
      <c r="L141" s="165">
        <v>0</v>
      </c>
      <c r="M141" s="115">
        <v>2.7539737223892094E-2</v>
      </c>
      <c r="N141" s="165">
        <v>1939.8877907103638</v>
      </c>
      <c r="O141" s="165">
        <v>0</v>
      </c>
      <c r="P141" s="115">
        <v>0.64032146287084846</v>
      </c>
      <c r="Q141" s="5">
        <v>6646</v>
      </c>
      <c r="R141" s="5">
        <v>144</v>
      </c>
      <c r="S141" s="5">
        <v>6502</v>
      </c>
      <c r="T141" s="5">
        <v>0</v>
      </c>
      <c r="U141" s="5">
        <v>0</v>
      </c>
      <c r="V141" s="5">
        <v>0</v>
      </c>
      <c r="W141" s="5">
        <v>0</v>
      </c>
      <c r="X141" s="114">
        <v>5228.8080612139183</v>
      </c>
      <c r="Y141" s="114">
        <v>37.304869047863832</v>
      </c>
      <c r="Z141" s="114">
        <v>-1417.1919387860817</v>
      </c>
      <c r="AA141" s="166">
        <v>50824.01</v>
      </c>
      <c r="AB141" s="166">
        <v>63199.44</v>
      </c>
      <c r="AC141" s="167">
        <v>1.2710353721526866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84"/>
      <c r="BJ141" s="185"/>
    </row>
    <row r="142" spans="1:62" ht="12.75" customHeight="1" x14ac:dyDescent="0.35">
      <c r="A142" s="105"/>
      <c r="B142" s="163" t="s">
        <v>27</v>
      </c>
      <c r="C142" s="5" t="s">
        <v>5</v>
      </c>
      <c r="D142" s="5" t="s">
        <v>312</v>
      </c>
      <c r="E142" s="5" t="s">
        <v>313</v>
      </c>
      <c r="F142" s="125">
        <v>1076340</v>
      </c>
      <c r="G142" s="127" t="s">
        <v>651</v>
      </c>
      <c r="H142" s="164">
        <v>298.26548980715523</v>
      </c>
      <c r="I142" s="164">
        <v>1700.1132919007848</v>
      </c>
      <c r="J142" s="114">
        <v>0</v>
      </c>
      <c r="K142" s="114">
        <v>0</v>
      </c>
      <c r="L142" s="165">
        <v>0</v>
      </c>
      <c r="M142" s="115">
        <v>0</v>
      </c>
      <c r="N142" s="165">
        <v>1700.1132919007848</v>
      </c>
      <c r="O142" s="165">
        <v>0</v>
      </c>
      <c r="P142" s="115">
        <v>0.64372180678407809</v>
      </c>
      <c r="Q142" s="5">
        <v>377</v>
      </c>
      <c r="R142" s="5">
        <v>0</v>
      </c>
      <c r="S142" s="5">
        <v>377</v>
      </c>
      <c r="T142" s="5">
        <v>0</v>
      </c>
      <c r="U142" s="5">
        <v>0</v>
      </c>
      <c r="V142" s="5">
        <v>0</v>
      </c>
      <c r="W142" s="5">
        <v>0</v>
      </c>
      <c r="X142" s="114">
        <v>298.26548980715523</v>
      </c>
      <c r="Y142" s="114">
        <v>37.919237680874602</v>
      </c>
      <c r="Z142" s="114">
        <v>-78.734510192844766</v>
      </c>
      <c r="AA142" s="166">
        <v>13156.49</v>
      </c>
      <c r="AB142" s="166">
        <v>16629.47</v>
      </c>
      <c r="AC142" s="167">
        <v>1.2639745893624867</v>
      </c>
      <c r="AD142" s="168"/>
      <c r="AE142" s="168">
        <v>20.158570908248073</v>
      </c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86" t="s">
        <v>1</v>
      </c>
      <c r="BJ142" s="185"/>
    </row>
    <row r="143" spans="1:62" ht="12.75" customHeight="1" x14ac:dyDescent="0.35">
      <c r="A143" s="105"/>
      <c r="B143" s="163" t="s">
        <v>4</v>
      </c>
      <c r="C143" s="5" t="s">
        <v>5</v>
      </c>
      <c r="D143" s="5" t="s">
        <v>308</v>
      </c>
      <c r="E143" s="5" t="s">
        <v>314</v>
      </c>
      <c r="F143" s="5">
        <v>1075185</v>
      </c>
      <c r="G143" s="7" t="s">
        <v>703</v>
      </c>
      <c r="H143" s="164">
        <v>29838.789037921411</v>
      </c>
      <c r="I143" s="164">
        <v>28645.237476404553</v>
      </c>
      <c r="J143" s="114">
        <v>0</v>
      </c>
      <c r="K143" s="114">
        <v>240</v>
      </c>
      <c r="L143" s="165">
        <v>230.39999999999998</v>
      </c>
      <c r="M143" s="115">
        <v>2.8352357025107106E-2</v>
      </c>
      <c r="N143" s="165">
        <v>28414.837476404551</v>
      </c>
      <c r="O143" s="165">
        <v>0</v>
      </c>
      <c r="P143" s="115">
        <v>5.5550595387848921E-2</v>
      </c>
      <c r="Q143" s="5">
        <v>39840</v>
      </c>
      <c r="R143" s="5">
        <v>606</v>
      </c>
      <c r="S143" s="5">
        <v>39233</v>
      </c>
      <c r="T143" s="5">
        <v>0</v>
      </c>
      <c r="U143" s="5">
        <v>336</v>
      </c>
      <c r="V143" s="5">
        <v>0</v>
      </c>
      <c r="W143" s="5">
        <v>138</v>
      </c>
      <c r="X143" s="114">
        <v>29838.789037921411</v>
      </c>
      <c r="Y143" s="114">
        <v>39.444965360497413</v>
      </c>
      <c r="Z143" s="114">
        <v>-10241.210962078589</v>
      </c>
      <c r="AA143" s="166">
        <v>37596.870000000003</v>
      </c>
      <c r="AB143" s="166">
        <v>50030.82</v>
      </c>
      <c r="AC143" s="167">
        <v>1.3432180491327337</v>
      </c>
      <c r="AD143" s="168"/>
      <c r="AE143" s="168">
        <v>0</v>
      </c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86" t="s">
        <v>1</v>
      </c>
      <c r="BJ143" s="185"/>
    </row>
    <row r="144" spans="1:62" ht="12.75" customHeight="1" x14ac:dyDescent="0.35">
      <c r="A144" s="105"/>
      <c r="B144" s="163" t="s">
        <v>1</v>
      </c>
      <c r="C144" s="5" t="s">
        <v>5</v>
      </c>
      <c r="D144" s="5" t="s">
        <v>396</v>
      </c>
      <c r="E144" s="5" t="s">
        <v>397</v>
      </c>
      <c r="F144" s="5">
        <v>1071792</v>
      </c>
      <c r="G144" s="7" t="s">
        <v>665</v>
      </c>
      <c r="H144" s="164">
        <v>4755.8670589169924</v>
      </c>
      <c r="I144" s="164">
        <v>4755.8670589169924</v>
      </c>
      <c r="J144" s="114">
        <v>0</v>
      </c>
      <c r="K144" s="114">
        <v>20</v>
      </c>
      <c r="L144" s="165">
        <v>20</v>
      </c>
      <c r="M144" s="115">
        <v>1.072359663720578E-2</v>
      </c>
      <c r="N144" s="165">
        <v>4735.8670589169924</v>
      </c>
      <c r="O144" s="165">
        <v>0</v>
      </c>
      <c r="P144" s="115">
        <v>0.4073461181135048</v>
      </c>
      <c r="Q144" s="5">
        <v>6331</v>
      </c>
      <c r="R144" s="5">
        <v>31</v>
      </c>
      <c r="S144" s="5">
        <v>6300</v>
      </c>
      <c r="T144" s="5">
        <v>0</v>
      </c>
      <c r="U144" s="5">
        <v>0</v>
      </c>
      <c r="V144" s="5">
        <v>0</v>
      </c>
      <c r="W144" s="5">
        <v>0</v>
      </c>
      <c r="X144" s="114">
        <v>4755.8670589169924</v>
      </c>
      <c r="Y144" s="114">
        <v>39.740387537880238</v>
      </c>
      <c r="Z144" s="114">
        <v>-1595.1329410830076</v>
      </c>
      <c r="AA144" s="166">
        <v>72003.83</v>
      </c>
      <c r="AB144" s="166">
        <v>95382</v>
      </c>
      <c r="AC144" s="167">
        <v>1.3354031812332139</v>
      </c>
      <c r="AD144" s="168"/>
      <c r="AE144" s="168" t="s">
        <v>574</v>
      </c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86" t="s">
        <v>1</v>
      </c>
      <c r="BJ144" s="185"/>
    </row>
    <row r="145" spans="1:62" ht="12.75" customHeight="1" x14ac:dyDescent="0.35">
      <c r="A145" s="105"/>
      <c r="B145" s="163" t="s">
        <v>1</v>
      </c>
      <c r="C145" s="5" t="s">
        <v>2</v>
      </c>
      <c r="D145" s="5" t="s">
        <v>310</v>
      </c>
      <c r="E145" s="5" t="s">
        <v>311</v>
      </c>
      <c r="F145" s="125">
        <v>1080749</v>
      </c>
      <c r="G145" s="127" t="s">
        <v>769</v>
      </c>
      <c r="H145" s="164">
        <v>7631.7479273040208</v>
      </c>
      <c r="I145" s="164">
        <v>1373.7146269147238</v>
      </c>
      <c r="J145" s="114">
        <v>0</v>
      </c>
      <c r="K145" s="114">
        <v>703</v>
      </c>
      <c r="L145" s="165">
        <v>126.53999999999999</v>
      </c>
      <c r="M145" s="115">
        <v>0.11334231793810944</v>
      </c>
      <c r="N145" s="165">
        <v>1247.1746269147238</v>
      </c>
      <c r="O145" s="165">
        <v>11.62087152585096</v>
      </c>
      <c r="P145" s="115">
        <v>1.4475209086619174</v>
      </c>
      <c r="Q145" s="5">
        <v>10331</v>
      </c>
      <c r="R145" s="5">
        <v>162</v>
      </c>
      <c r="S145" s="5">
        <v>10169</v>
      </c>
      <c r="T145" s="5">
        <v>0</v>
      </c>
      <c r="U145" s="5">
        <v>0</v>
      </c>
      <c r="V145" s="5">
        <v>0</v>
      </c>
      <c r="W145" s="5">
        <v>95</v>
      </c>
      <c r="X145" s="114">
        <v>7631.7479273040208</v>
      </c>
      <c r="Y145" s="114">
        <v>39.973804547259007</v>
      </c>
      <c r="Z145" s="114">
        <v>-3402.2520726959792</v>
      </c>
      <c r="AA145" s="166">
        <v>30298.04</v>
      </c>
      <c r="AB145" s="166">
        <v>40748.080000000002</v>
      </c>
      <c r="AC145" s="167">
        <v>1.4458024695134097</v>
      </c>
      <c r="AD145" s="168"/>
      <c r="AE145" s="168"/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84"/>
      <c r="BJ145" s="185"/>
    </row>
    <row r="146" spans="1:62" ht="12.75" customHeight="1" x14ac:dyDescent="0.35">
      <c r="A146" s="105"/>
      <c r="B146" s="163" t="s">
        <v>1</v>
      </c>
      <c r="C146" s="5" t="s">
        <v>2</v>
      </c>
      <c r="D146" s="5" t="s">
        <v>310</v>
      </c>
      <c r="E146" s="5" t="s">
        <v>311</v>
      </c>
      <c r="F146" s="125">
        <v>1080750</v>
      </c>
      <c r="G146" s="127" t="s">
        <v>770</v>
      </c>
      <c r="H146" s="164">
        <v>4992.7532115089925</v>
      </c>
      <c r="I146" s="164">
        <v>2995.6519269053961</v>
      </c>
      <c r="J146" s="114">
        <v>0</v>
      </c>
      <c r="K146" s="114">
        <v>241</v>
      </c>
      <c r="L146" s="165">
        <v>144.60000000000002</v>
      </c>
      <c r="M146" s="115">
        <v>6.6095796451405606E-2</v>
      </c>
      <c r="N146" s="165">
        <v>2851.0519269053962</v>
      </c>
      <c r="O146" s="165">
        <v>0</v>
      </c>
      <c r="P146" s="115">
        <v>1.0440812663272718</v>
      </c>
      <c r="Q146" s="5">
        <v>6807</v>
      </c>
      <c r="R146" s="5">
        <v>89</v>
      </c>
      <c r="S146" s="5">
        <v>6718</v>
      </c>
      <c r="T146" s="5">
        <v>0</v>
      </c>
      <c r="U146" s="5">
        <v>0</v>
      </c>
      <c r="V146" s="5">
        <v>0</v>
      </c>
      <c r="W146" s="5">
        <v>1</v>
      </c>
      <c r="X146" s="114">
        <v>4992.7532115089925</v>
      </c>
      <c r="Y146" s="114">
        <v>40.366505505503895</v>
      </c>
      <c r="Z146" s="114">
        <v>-2055.2467884910075</v>
      </c>
      <c r="AA146" s="166">
        <v>52973.11</v>
      </c>
      <c r="AB146" s="166">
        <v>71288.59</v>
      </c>
      <c r="AC146" s="167">
        <v>1.4116459799682022</v>
      </c>
      <c r="AD146" s="168"/>
      <c r="AE146" s="168">
        <v>18.339424394700778</v>
      </c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86" t="s">
        <v>1</v>
      </c>
      <c r="BJ146" s="185"/>
    </row>
    <row r="147" spans="1:62" ht="12.75" customHeight="1" x14ac:dyDescent="0.35">
      <c r="A147" s="105"/>
      <c r="B147" s="163" t="s">
        <v>22</v>
      </c>
      <c r="C147" s="5" t="s">
        <v>5</v>
      </c>
      <c r="D147" s="5" t="s">
        <v>396</v>
      </c>
      <c r="E147" s="5" t="s">
        <v>397</v>
      </c>
      <c r="F147" s="5">
        <v>1051097</v>
      </c>
      <c r="G147" s="7" t="s">
        <v>187</v>
      </c>
      <c r="H147" s="164">
        <v>2517.6325989881461</v>
      </c>
      <c r="I147" s="164">
        <v>2517.6325989881461</v>
      </c>
      <c r="J147" s="114">
        <v>0</v>
      </c>
      <c r="K147" s="114">
        <v>60</v>
      </c>
      <c r="L147" s="165">
        <v>60</v>
      </c>
      <c r="M147" s="115">
        <v>3.0584287807103719E-2</v>
      </c>
      <c r="N147" s="165">
        <v>2457.6325989881461</v>
      </c>
      <c r="O147" s="165">
        <v>0</v>
      </c>
      <c r="P147" s="115">
        <v>1.1867899890925415</v>
      </c>
      <c r="Q147" s="5">
        <v>3495</v>
      </c>
      <c r="R147" s="5">
        <v>17</v>
      </c>
      <c r="S147" s="5">
        <v>3478</v>
      </c>
      <c r="T147" s="5">
        <v>0</v>
      </c>
      <c r="U147" s="5">
        <v>0</v>
      </c>
      <c r="V147" s="5">
        <v>0</v>
      </c>
      <c r="W147" s="5">
        <v>0</v>
      </c>
      <c r="X147" s="114">
        <v>2517.6325989881461</v>
      </c>
      <c r="Y147" s="114">
        <v>41.443695971340283</v>
      </c>
      <c r="Z147" s="114">
        <v>-1037.3674010118539</v>
      </c>
      <c r="AA147" s="166">
        <v>51259</v>
      </c>
      <c r="AB147" s="166">
        <v>70812.08</v>
      </c>
      <c r="AC147" s="167">
        <v>1.4120408201851131</v>
      </c>
      <c r="AD147" s="168"/>
      <c r="AE147" s="168">
        <v>0</v>
      </c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86" t="s">
        <v>1</v>
      </c>
      <c r="BJ147" s="185"/>
    </row>
    <row r="148" spans="1:62" ht="12.75" customHeight="1" x14ac:dyDescent="0.35">
      <c r="A148" s="105"/>
      <c r="B148" s="163" t="s">
        <v>1</v>
      </c>
      <c r="C148" s="5" t="s">
        <v>5</v>
      </c>
      <c r="D148" s="5" t="s">
        <v>396</v>
      </c>
      <c r="E148" s="5" t="s">
        <v>397</v>
      </c>
      <c r="F148" s="5">
        <v>1071302</v>
      </c>
      <c r="G148" s="7" t="s">
        <v>685</v>
      </c>
      <c r="H148" s="164">
        <v>310.39273027148516</v>
      </c>
      <c r="I148" s="164">
        <v>1396.7672862216832</v>
      </c>
      <c r="J148" s="114">
        <v>0</v>
      </c>
      <c r="K148" s="114">
        <v>5</v>
      </c>
      <c r="L148" s="165">
        <v>22.5</v>
      </c>
      <c r="M148" s="115">
        <v>1.6108624695000903E-2</v>
      </c>
      <c r="N148" s="165">
        <v>1374.2672862216832</v>
      </c>
      <c r="O148" s="165">
        <v>0</v>
      </c>
      <c r="P148" s="115">
        <v>0.68030796158620588</v>
      </c>
      <c r="Q148" s="5">
        <v>434</v>
      </c>
      <c r="R148" s="5">
        <v>0</v>
      </c>
      <c r="S148" s="5">
        <v>434</v>
      </c>
      <c r="T148" s="5">
        <v>0</v>
      </c>
      <c r="U148" s="5">
        <v>0</v>
      </c>
      <c r="V148" s="5">
        <v>0</v>
      </c>
      <c r="W148" s="5">
        <v>0</v>
      </c>
      <c r="X148" s="114">
        <v>310.39273027148516</v>
      </c>
      <c r="Y148" s="114">
        <v>41.946858705782347</v>
      </c>
      <c r="Z148" s="114">
        <v>-128.60726972851484</v>
      </c>
      <c r="AA148" s="166">
        <v>21640.58</v>
      </c>
      <c r="AB148" s="166">
        <v>30258.48</v>
      </c>
      <c r="AC148" s="167">
        <v>1.4143372482210792</v>
      </c>
      <c r="AD148" s="168"/>
      <c r="AE148" s="168"/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84" t="s">
        <v>1</v>
      </c>
      <c r="BJ148" s="185"/>
    </row>
    <row r="149" spans="1:62" ht="12.75" customHeight="1" x14ac:dyDescent="0.35">
      <c r="A149" s="105"/>
      <c r="B149" s="163" t="s">
        <v>1</v>
      </c>
      <c r="C149" s="5" t="s">
        <v>2</v>
      </c>
      <c r="D149" s="5" t="s">
        <v>306</v>
      </c>
      <c r="E149" s="5" t="s">
        <v>401</v>
      </c>
      <c r="F149" s="55">
        <v>1076365</v>
      </c>
      <c r="G149" s="64" t="s">
        <v>724</v>
      </c>
      <c r="H149" s="164">
        <v>12095.063066390399</v>
      </c>
      <c r="I149" s="164">
        <v>10885.55675975136</v>
      </c>
      <c r="J149" s="114">
        <v>0</v>
      </c>
      <c r="K149" s="114">
        <v>149</v>
      </c>
      <c r="L149" s="165">
        <v>134.1</v>
      </c>
      <c r="M149" s="115">
        <v>1.7114420889231149E-2</v>
      </c>
      <c r="N149" s="165">
        <v>10751.45675975136</v>
      </c>
      <c r="O149" s="165">
        <v>0</v>
      </c>
      <c r="P149" s="115">
        <v>0.80759210276419913</v>
      </c>
      <c r="Q149" s="5">
        <v>16988.002</v>
      </c>
      <c r="R149" s="5">
        <v>58</v>
      </c>
      <c r="S149" s="5">
        <v>16930.002</v>
      </c>
      <c r="T149" s="5">
        <v>0</v>
      </c>
      <c r="U149" s="5">
        <v>0</v>
      </c>
      <c r="V149" s="5">
        <v>0</v>
      </c>
      <c r="W149" s="5">
        <v>415</v>
      </c>
      <c r="X149" s="114">
        <v>12095.063066390399</v>
      </c>
      <c r="Y149" s="114">
        <v>41.992344910655817</v>
      </c>
      <c r="Z149" s="114">
        <v>-5041.938933609601</v>
      </c>
      <c r="AA149" s="166">
        <v>226298.63</v>
      </c>
      <c r="AB149" s="166">
        <v>324524.99</v>
      </c>
      <c r="AC149" s="167">
        <v>1.4168592512444249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86" t="s">
        <v>1</v>
      </c>
      <c r="BJ149" s="185"/>
    </row>
    <row r="150" spans="1:62" ht="12.75" customHeight="1" x14ac:dyDescent="0.35">
      <c r="A150" s="105"/>
      <c r="B150" s="163" t="s">
        <v>1</v>
      </c>
      <c r="C150" s="5" t="s">
        <v>2</v>
      </c>
      <c r="D150" s="5" t="s">
        <v>306</v>
      </c>
      <c r="E150" s="5" t="s">
        <v>401</v>
      </c>
      <c r="F150" s="5">
        <v>1075852</v>
      </c>
      <c r="G150" s="7" t="s">
        <v>687</v>
      </c>
      <c r="H150" s="164">
        <v>9108.3048098534618</v>
      </c>
      <c r="I150" s="164">
        <v>819.74743288681157</v>
      </c>
      <c r="J150" s="114">
        <v>0</v>
      </c>
      <c r="K150" s="114">
        <v>480</v>
      </c>
      <c r="L150" s="165">
        <v>43.199999999999996</v>
      </c>
      <c r="M150" s="115">
        <v>5.2699158627270669E-2</v>
      </c>
      <c r="N150" s="165">
        <v>776.54743288681152</v>
      </c>
      <c r="O150" s="165">
        <v>0</v>
      </c>
      <c r="P150" s="115">
        <v>0.79897783531740163</v>
      </c>
      <c r="Q150" s="5">
        <v>12906</v>
      </c>
      <c r="R150" s="5">
        <v>0</v>
      </c>
      <c r="S150" s="5">
        <v>12906</v>
      </c>
      <c r="T150" s="5">
        <v>0</v>
      </c>
      <c r="U150" s="5">
        <v>0</v>
      </c>
      <c r="V150" s="5">
        <v>0</v>
      </c>
      <c r="W150" s="5">
        <v>488</v>
      </c>
      <c r="X150" s="114">
        <v>9108.3048098534618</v>
      </c>
      <c r="Y150" s="114">
        <v>42.508458827722201</v>
      </c>
      <c r="Z150" s="114">
        <v>-4277.6951901465382</v>
      </c>
      <c r="AA150" s="166">
        <v>3552.24</v>
      </c>
      <c r="AB150" s="166">
        <v>5223.66</v>
      </c>
      <c r="AC150" s="167">
        <v>1.4696477862180108</v>
      </c>
      <c r="AD150" s="168"/>
      <c r="AE150" s="168">
        <v>22.123413866612527</v>
      </c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86" t="s">
        <v>1</v>
      </c>
      <c r="BJ150" s="185"/>
    </row>
    <row r="151" spans="1:62" ht="12.75" customHeight="1" x14ac:dyDescent="0.35">
      <c r="A151" s="105"/>
      <c r="B151" s="163" t="s">
        <v>21</v>
      </c>
      <c r="C151" s="5" t="s">
        <v>5</v>
      </c>
      <c r="D151" s="5" t="s">
        <v>308</v>
      </c>
      <c r="E151" s="5" t="s">
        <v>395</v>
      </c>
      <c r="F151" s="5">
        <v>1069116</v>
      </c>
      <c r="G151" s="7" t="s">
        <v>555</v>
      </c>
      <c r="H151" s="164">
        <v>193.91889053259521</v>
      </c>
      <c r="I151" s="164">
        <v>155.13511242607618</v>
      </c>
      <c r="J151" s="114">
        <v>0</v>
      </c>
      <c r="K151" s="114">
        <v>9</v>
      </c>
      <c r="L151" s="165">
        <v>7.2</v>
      </c>
      <c r="M151" s="115">
        <v>0.1856446264782485</v>
      </c>
      <c r="N151" s="165">
        <v>147.93511242607619</v>
      </c>
      <c r="O151" s="165">
        <v>0</v>
      </c>
      <c r="P151" s="115">
        <v>1.5266697700909457</v>
      </c>
      <c r="Q151" s="5">
        <v>441</v>
      </c>
      <c r="R151" s="5">
        <v>27</v>
      </c>
      <c r="S151" s="5">
        <v>414</v>
      </c>
      <c r="T151" s="5">
        <v>0</v>
      </c>
      <c r="U151" s="5">
        <v>0</v>
      </c>
      <c r="V151" s="5">
        <v>0</v>
      </c>
      <c r="W151" s="5">
        <v>0</v>
      </c>
      <c r="X151" s="114">
        <v>288</v>
      </c>
      <c r="Y151" s="114">
        <v>43.125</v>
      </c>
      <c r="Z151" s="114">
        <v>-256.08110946740476</v>
      </c>
      <c r="AA151" s="166">
        <v>7252.57</v>
      </c>
      <c r="AB151" s="166">
        <v>15483.6</v>
      </c>
      <c r="AC151" s="167">
        <v>2.3205578309781063</v>
      </c>
      <c r="AD151" s="168"/>
      <c r="AE151" s="168" t="s">
        <v>574</v>
      </c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84" t="s">
        <v>1</v>
      </c>
      <c r="BJ151" s="185"/>
    </row>
    <row r="152" spans="1:62" ht="12.75" customHeight="1" x14ac:dyDescent="0.35">
      <c r="A152" s="105"/>
      <c r="B152" s="163" t="s">
        <v>21</v>
      </c>
      <c r="C152" s="5" t="s">
        <v>5</v>
      </c>
      <c r="D152" s="5" t="s">
        <v>396</v>
      </c>
      <c r="E152" s="5" t="s">
        <v>307</v>
      </c>
      <c r="F152" s="5">
        <v>1082268</v>
      </c>
      <c r="G152" s="7" t="s">
        <v>773</v>
      </c>
      <c r="H152" s="164">
        <v>6747.5595449553985</v>
      </c>
      <c r="I152" s="164">
        <v>1349.5119089910797</v>
      </c>
      <c r="J152" s="114">
        <v>0</v>
      </c>
      <c r="K152" s="114">
        <v>416</v>
      </c>
      <c r="L152" s="165">
        <v>83.2</v>
      </c>
      <c r="M152" s="115">
        <v>6.1651919813143309E-2</v>
      </c>
      <c r="N152" s="165">
        <v>1266.3119089910797</v>
      </c>
      <c r="O152" s="165">
        <v>0</v>
      </c>
      <c r="P152" s="115">
        <v>0.93548846940195096</v>
      </c>
      <c r="Q152" s="5">
        <v>10159</v>
      </c>
      <c r="R152" s="5">
        <v>0</v>
      </c>
      <c r="S152" s="5">
        <v>10159</v>
      </c>
      <c r="T152" s="5">
        <v>0</v>
      </c>
      <c r="U152" s="5">
        <v>0</v>
      </c>
      <c r="V152" s="5">
        <v>0</v>
      </c>
      <c r="W152" s="5">
        <v>0</v>
      </c>
      <c r="X152" s="114">
        <v>6747.5595449553985</v>
      </c>
      <c r="Y152" s="114">
        <v>45.167441349643482</v>
      </c>
      <c r="Z152" s="114">
        <v>-3827.4404550446015</v>
      </c>
      <c r="AA152" s="166">
        <v>16261.62</v>
      </c>
      <c r="AB152" s="166">
        <v>24483.19</v>
      </c>
      <c r="AC152" s="167">
        <v>1.5672332981345924</v>
      </c>
      <c r="AD152" s="168"/>
      <c r="AE152" s="168">
        <v>70.03012048192771</v>
      </c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86" t="s">
        <v>1</v>
      </c>
      <c r="BJ152" s="185"/>
    </row>
    <row r="153" spans="1:62" ht="12.75" customHeight="1" x14ac:dyDescent="0.35">
      <c r="A153" s="105"/>
      <c r="B153" s="163" t="s">
        <v>15</v>
      </c>
      <c r="C153" s="5" t="s">
        <v>5</v>
      </c>
      <c r="D153" s="5" t="s">
        <v>312</v>
      </c>
      <c r="E153" s="5" t="s">
        <v>315</v>
      </c>
      <c r="F153" s="55">
        <v>1080722</v>
      </c>
      <c r="G153" s="64" t="s">
        <v>736</v>
      </c>
      <c r="H153" s="164">
        <v>5472.9268292682927</v>
      </c>
      <c r="I153" s="164">
        <v>1543.3653658536584</v>
      </c>
      <c r="J153" s="114">
        <v>0</v>
      </c>
      <c r="K153" s="114">
        <v>0</v>
      </c>
      <c r="L153" s="165">
        <v>0</v>
      </c>
      <c r="M153" s="115">
        <v>7.3087035964169522E-4</v>
      </c>
      <c r="N153" s="165">
        <v>1543.3653658536584</v>
      </c>
      <c r="O153" s="165">
        <v>0</v>
      </c>
      <c r="P153" s="115">
        <v>0.14580863674851821</v>
      </c>
      <c r="Q153" s="5">
        <v>8364</v>
      </c>
      <c r="R153" s="5">
        <v>4</v>
      </c>
      <c r="S153" s="5">
        <v>8360</v>
      </c>
      <c r="T153" s="5">
        <v>0</v>
      </c>
      <c r="U153" s="5">
        <v>0</v>
      </c>
      <c r="V153" s="5">
        <v>0</v>
      </c>
      <c r="W153" s="5">
        <v>8624</v>
      </c>
      <c r="X153" s="114">
        <v>5472.9268292682937</v>
      </c>
      <c r="Y153" s="114">
        <v>45.825571549534281</v>
      </c>
      <c r="Z153" s="114">
        <v>-2891.0731707317073</v>
      </c>
      <c r="AA153" s="166">
        <v>23369.4</v>
      </c>
      <c r="AB153" s="166">
        <v>72521.679999999993</v>
      </c>
      <c r="AC153" s="167">
        <v>1.5282499220107848</v>
      </c>
      <c r="AD153" s="168"/>
      <c r="AE153" s="168">
        <v>44</v>
      </c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86" t="s">
        <v>1</v>
      </c>
      <c r="BJ153" s="185"/>
    </row>
    <row r="154" spans="1:62" ht="12.75" customHeight="1" x14ac:dyDescent="0.35">
      <c r="A154" s="105"/>
      <c r="B154" s="163" t="s">
        <v>1</v>
      </c>
      <c r="C154" s="5" t="s">
        <v>50</v>
      </c>
      <c r="D154" s="5" t="s">
        <v>320</v>
      </c>
      <c r="E154" s="5" t="s">
        <v>402</v>
      </c>
      <c r="F154" s="5">
        <v>1060794</v>
      </c>
      <c r="G154" s="7" t="s">
        <v>431</v>
      </c>
      <c r="H154" s="164">
        <v>24462.862347123322</v>
      </c>
      <c r="I154" s="164">
        <v>4403.3152224821979</v>
      </c>
      <c r="J154" s="114">
        <v>0</v>
      </c>
      <c r="K154" s="114">
        <v>657</v>
      </c>
      <c r="L154" s="165">
        <v>118.25999999999999</v>
      </c>
      <c r="M154" s="115">
        <v>2.8614803536361949E-2</v>
      </c>
      <c r="N154" s="165">
        <v>4285.0552224821977</v>
      </c>
      <c r="O154" s="165">
        <v>0</v>
      </c>
      <c r="P154" s="115">
        <v>0.89624705579004116</v>
      </c>
      <c r="Q154" s="5">
        <v>37587</v>
      </c>
      <c r="R154" s="5">
        <v>43</v>
      </c>
      <c r="S154" s="5">
        <v>37544</v>
      </c>
      <c r="T154" s="5">
        <v>0</v>
      </c>
      <c r="U154" s="5">
        <v>0</v>
      </c>
      <c r="V154" s="5">
        <v>0</v>
      </c>
      <c r="W154" s="5">
        <v>400</v>
      </c>
      <c r="X154" s="114">
        <v>24462.862347123319</v>
      </c>
      <c r="Y154" s="114">
        <v>46.042036455821709</v>
      </c>
      <c r="Z154" s="114">
        <v>-13781.137652876678</v>
      </c>
      <c r="AA154" s="166">
        <v>168059.86</v>
      </c>
      <c r="AB154" s="166">
        <v>260675.28</v>
      </c>
      <c r="AC154" s="167">
        <v>1.563349352063752</v>
      </c>
      <c r="AD154" s="168"/>
      <c r="AE154" s="168"/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86"/>
      <c r="BJ154" s="185" t="s">
        <v>871</v>
      </c>
    </row>
    <row r="155" spans="1:62" ht="12.75" customHeight="1" x14ac:dyDescent="0.35">
      <c r="A155" s="105"/>
      <c r="B155" s="163" t="s">
        <v>4</v>
      </c>
      <c r="C155" s="5" t="s">
        <v>5</v>
      </c>
      <c r="D155" s="5" t="s">
        <v>308</v>
      </c>
      <c r="E155" s="5" t="s">
        <v>315</v>
      </c>
      <c r="F155" s="5">
        <v>1072750</v>
      </c>
      <c r="G155" s="7" t="s">
        <v>602</v>
      </c>
      <c r="H155" s="164">
        <v>2319.9531173904361</v>
      </c>
      <c r="I155" s="164">
        <v>463.99062347808723</v>
      </c>
      <c r="J155" s="114">
        <v>0</v>
      </c>
      <c r="K155" s="114">
        <v>0</v>
      </c>
      <c r="L155" s="165">
        <v>0</v>
      </c>
      <c r="M155" s="115">
        <v>1.0345036638928305E-2</v>
      </c>
      <c r="N155" s="165">
        <v>463.99062347808723</v>
      </c>
      <c r="O155" s="165">
        <v>0</v>
      </c>
      <c r="P155" s="115">
        <v>0.89681751976060009</v>
      </c>
      <c r="Q155" s="5">
        <v>3621</v>
      </c>
      <c r="R155" s="5">
        <v>24</v>
      </c>
      <c r="S155" s="5">
        <v>3597</v>
      </c>
      <c r="T155" s="5">
        <v>0</v>
      </c>
      <c r="U155" s="5">
        <v>0</v>
      </c>
      <c r="V155" s="5">
        <v>0</v>
      </c>
      <c r="W155" s="5">
        <v>0</v>
      </c>
      <c r="X155" s="114">
        <v>2319.9531173904361</v>
      </c>
      <c r="Y155" s="114">
        <v>46.513870987781388</v>
      </c>
      <c r="Z155" s="114">
        <v>-1301.0468826095639</v>
      </c>
      <c r="AA155" s="166">
        <v>4083.12</v>
      </c>
      <c r="AB155" s="166">
        <v>6330.72</v>
      </c>
      <c r="AC155" s="167">
        <v>1.5608074028983081</v>
      </c>
      <c r="AD155" s="168"/>
      <c r="AE155" s="168"/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86"/>
      <c r="BJ155" s="185"/>
    </row>
    <row r="156" spans="1:62" ht="12.75" customHeight="1" x14ac:dyDescent="0.35">
      <c r="A156" s="105"/>
      <c r="B156" s="163" t="s">
        <v>1</v>
      </c>
      <c r="C156" s="5" t="s">
        <v>50</v>
      </c>
      <c r="D156" s="5" t="s">
        <v>320</v>
      </c>
      <c r="E156" s="5" t="s">
        <v>402</v>
      </c>
      <c r="F156" s="5">
        <v>1060799</v>
      </c>
      <c r="G156" s="7" t="s">
        <v>436</v>
      </c>
      <c r="H156" s="164">
        <v>11693.076875766734</v>
      </c>
      <c r="I156" s="164">
        <v>2104.7538376380121</v>
      </c>
      <c r="J156" s="114">
        <v>0</v>
      </c>
      <c r="K156" s="114">
        <v>-1117</v>
      </c>
      <c r="L156" s="165">
        <v>-201.06</v>
      </c>
      <c r="M156" s="115">
        <v>-9.3474113923357763E-2</v>
      </c>
      <c r="N156" s="165">
        <v>2305.813837638012</v>
      </c>
      <c r="O156" s="165">
        <v>0</v>
      </c>
      <c r="P156" s="115">
        <v>0.99357892619528232</v>
      </c>
      <c r="Q156" s="5">
        <v>18801</v>
      </c>
      <c r="R156" s="5">
        <v>24</v>
      </c>
      <c r="S156" s="5">
        <v>18777</v>
      </c>
      <c r="T156" s="5">
        <v>0</v>
      </c>
      <c r="U156" s="5">
        <v>1200</v>
      </c>
      <c r="V156" s="5">
        <v>0</v>
      </c>
      <c r="W156" s="5">
        <v>0</v>
      </c>
      <c r="X156" s="114">
        <v>11693.076875766734</v>
      </c>
      <c r="Y156" s="114">
        <v>48.174659756785601</v>
      </c>
      <c r="Z156" s="114">
        <v>-5990.9231242332662</v>
      </c>
      <c r="AA156" s="166">
        <v>79746.78</v>
      </c>
      <c r="AB156" s="166">
        <v>136243.14000000001</v>
      </c>
      <c r="AC156" s="167">
        <v>1.5123478779694957</v>
      </c>
      <c r="AD156" s="168"/>
      <c r="AE156" s="168"/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86"/>
      <c r="BJ156" s="185" t="s">
        <v>872</v>
      </c>
    </row>
    <row r="157" spans="1:62" x14ac:dyDescent="0.35">
      <c r="A157" s="105"/>
      <c r="B157" s="163" t="s">
        <v>1</v>
      </c>
      <c r="C157" s="5" t="s">
        <v>24</v>
      </c>
      <c r="D157" s="5" t="s">
        <v>316</v>
      </c>
      <c r="E157" s="5" t="s">
        <v>317</v>
      </c>
      <c r="F157" s="5">
        <v>1072239</v>
      </c>
      <c r="G157" s="7" t="s">
        <v>767</v>
      </c>
      <c r="H157" s="164">
        <v>4064.7256399182534</v>
      </c>
      <c r="I157" s="164">
        <v>1544.5957431689362</v>
      </c>
      <c r="J157" s="114">
        <v>0</v>
      </c>
      <c r="K157" s="114">
        <v>13</v>
      </c>
      <c r="L157" s="165">
        <v>4.9400000000000004</v>
      </c>
      <c r="M157" s="115">
        <v>1.7959391719601554E-2</v>
      </c>
      <c r="N157" s="165">
        <v>1539.6557431689362</v>
      </c>
      <c r="O157" s="165">
        <v>0</v>
      </c>
      <c r="P157" s="115">
        <v>1.0633662302411369</v>
      </c>
      <c r="Q157" s="5">
        <v>7109</v>
      </c>
      <c r="R157" s="5">
        <v>60</v>
      </c>
      <c r="S157" s="5">
        <v>7044</v>
      </c>
      <c r="T157" s="5">
        <v>0</v>
      </c>
      <c r="U157" s="5">
        <v>0</v>
      </c>
      <c r="V157" s="5">
        <v>0</v>
      </c>
      <c r="W157" s="5">
        <v>0</v>
      </c>
      <c r="X157" s="114">
        <v>4064.7256399182534</v>
      </c>
      <c r="Y157" s="114">
        <v>51.988748742276712</v>
      </c>
      <c r="Z157" s="114">
        <v>-3057.2743600817466</v>
      </c>
      <c r="AA157" s="166">
        <v>35200.519999999997</v>
      </c>
      <c r="AB157" s="166">
        <v>61001.04</v>
      </c>
      <c r="AC157" s="167">
        <v>1.7521477784520858</v>
      </c>
      <c r="AD157" s="168"/>
      <c r="AE157" s="168"/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86" t="s">
        <v>1</v>
      </c>
      <c r="BJ157" s="185"/>
    </row>
    <row r="158" spans="1:62" ht="12.75" customHeight="1" x14ac:dyDescent="0.35">
      <c r="A158" s="105"/>
      <c r="B158" s="163" t="s">
        <v>22</v>
      </c>
      <c r="C158" s="5" t="s">
        <v>5</v>
      </c>
      <c r="D158" s="5" t="s">
        <v>396</v>
      </c>
      <c r="E158" s="5" t="s">
        <v>397</v>
      </c>
      <c r="F158" s="5">
        <v>1051099</v>
      </c>
      <c r="G158" s="7" t="s">
        <v>168</v>
      </c>
      <c r="H158" s="164">
        <v>487.95225315294886</v>
      </c>
      <c r="I158" s="164">
        <v>12198.806328823721</v>
      </c>
      <c r="J158" s="114">
        <v>0</v>
      </c>
      <c r="K158" s="114">
        <v>3</v>
      </c>
      <c r="L158" s="165">
        <v>75</v>
      </c>
      <c r="M158" s="115">
        <v>1.0246904215918741E-2</v>
      </c>
      <c r="N158" s="165">
        <v>12123.806328823721</v>
      </c>
      <c r="O158" s="165">
        <v>2.9540439583946654</v>
      </c>
      <c r="P158" s="115">
        <v>0.59570268543736582</v>
      </c>
      <c r="Q158" s="5">
        <v>857</v>
      </c>
      <c r="R158" s="5">
        <v>2</v>
      </c>
      <c r="S158" s="5">
        <v>855</v>
      </c>
      <c r="T158" s="5">
        <v>0</v>
      </c>
      <c r="U158" s="5">
        <v>0</v>
      </c>
      <c r="V158" s="5">
        <v>200</v>
      </c>
      <c r="W158" s="5">
        <v>0</v>
      </c>
      <c r="X158" s="114">
        <v>487.95225315294886</v>
      </c>
      <c r="Y158" s="114">
        <v>52.566618627663132</v>
      </c>
      <c r="Z158" s="114">
        <v>-372.04774684705114</v>
      </c>
      <c r="AA158" s="166">
        <v>213815.8</v>
      </c>
      <c r="AB158" s="166">
        <v>462290.45</v>
      </c>
      <c r="AC158" s="167">
        <v>1.7624675251380233</v>
      </c>
      <c r="AD158" s="168"/>
      <c r="AE158" s="168"/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84" t="s">
        <v>1</v>
      </c>
      <c r="BJ158" s="185"/>
    </row>
    <row r="159" spans="1:62" ht="12.75" customHeight="1" x14ac:dyDescent="0.35">
      <c r="A159" s="105"/>
      <c r="B159" s="163" t="s">
        <v>1</v>
      </c>
      <c r="C159" s="5" t="s">
        <v>50</v>
      </c>
      <c r="D159" s="5" t="s">
        <v>320</v>
      </c>
      <c r="E159" s="5" t="s">
        <v>402</v>
      </c>
      <c r="F159" s="55">
        <v>1060798</v>
      </c>
      <c r="G159" s="64" t="s">
        <v>435</v>
      </c>
      <c r="H159" s="164">
        <v>7703.2275110443125</v>
      </c>
      <c r="I159" s="164">
        <v>1386.5809519879763</v>
      </c>
      <c r="J159" s="114">
        <v>0</v>
      </c>
      <c r="K159" s="114">
        <v>160</v>
      </c>
      <c r="L159" s="165">
        <v>28.799999999999997</v>
      </c>
      <c r="M159" s="115">
        <v>2.090033038348799E-2</v>
      </c>
      <c r="N159" s="165">
        <v>1357.7809519879763</v>
      </c>
      <c r="O159" s="165">
        <v>0</v>
      </c>
      <c r="P159" s="115">
        <v>0.97987030134626085</v>
      </c>
      <c r="Q159" s="5">
        <v>13591</v>
      </c>
      <c r="R159" s="5">
        <v>1</v>
      </c>
      <c r="S159" s="5">
        <v>13590</v>
      </c>
      <c r="T159" s="5">
        <v>0</v>
      </c>
      <c r="U159" s="5">
        <v>8</v>
      </c>
      <c r="V159" s="5">
        <v>0</v>
      </c>
      <c r="W159" s="5">
        <v>80</v>
      </c>
      <c r="X159" s="114">
        <v>7703.2275110443125</v>
      </c>
      <c r="Y159" s="114">
        <v>52.925867685391637</v>
      </c>
      <c r="Z159" s="114">
        <v>-6047.7724889556875</v>
      </c>
      <c r="AA159" s="166">
        <v>52844.14</v>
      </c>
      <c r="AB159" s="166">
        <v>93831.08</v>
      </c>
      <c r="AC159" s="167">
        <v>1.7850959198965426</v>
      </c>
      <c r="AD159" s="168"/>
      <c r="AE159" s="168"/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86"/>
      <c r="BJ159" s="185" t="s">
        <v>873</v>
      </c>
    </row>
    <row r="160" spans="1:62" ht="12.75" customHeight="1" x14ac:dyDescent="0.35">
      <c r="A160" s="105"/>
      <c r="B160" s="163" t="s">
        <v>4</v>
      </c>
      <c r="C160" s="5" t="s">
        <v>5</v>
      </c>
      <c r="D160" s="5" t="s">
        <v>308</v>
      </c>
      <c r="E160" s="5" t="s">
        <v>314</v>
      </c>
      <c r="F160" s="128">
        <v>1083030</v>
      </c>
      <c r="G160" s="129" t="s">
        <v>775</v>
      </c>
      <c r="H160" s="164">
        <v>120090.00000000001</v>
      </c>
      <c r="I160" s="164">
        <v>24018.000000000004</v>
      </c>
      <c r="J160" s="114">
        <v>0</v>
      </c>
      <c r="K160" s="114">
        <v>-14195</v>
      </c>
      <c r="L160" s="165">
        <v>-2839</v>
      </c>
      <c r="M160" s="115">
        <v>-0.11570488800066615</v>
      </c>
      <c r="N160" s="165">
        <v>26857.000000000004</v>
      </c>
      <c r="O160" s="165">
        <v>0</v>
      </c>
      <c r="P160" s="115">
        <v>0.1266799642894485</v>
      </c>
      <c r="Q160" s="5">
        <v>216874</v>
      </c>
      <c r="R160" s="5">
        <v>300</v>
      </c>
      <c r="S160" s="5">
        <v>216574</v>
      </c>
      <c r="T160" s="5">
        <v>0</v>
      </c>
      <c r="U160" s="5">
        <v>15150</v>
      </c>
      <c r="V160" s="5">
        <v>0</v>
      </c>
      <c r="W160" s="5">
        <v>750</v>
      </c>
      <c r="X160" s="114">
        <v>120090.00000000001</v>
      </c>
      <c r="Y160" s="114">
        <v>54.102922807894075</v>
      </c>
      <c r="Z160" s="114">
        <v>-82589</v>
      </c>
      <c r="AA160" s="166">
        <v>506779.8</v>
      </c>
      <c r="AB160" s="166">
        <v>981040.28</v>
      </c>
      <c r="AC160" s="167">
        <v>1.6877258722624697</v>
      </c>
      <c r="AD160" s="168"/>
      <c r="AE160" s="168"/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84"/>
      <c r="BJ160" s="185"/>
    </row>
    <row r="161" spans="1:62" ht="12.75" customHeight="1" x14ac:dyDescent="0.35">
      <c r="A161" s="105"/>
      <c r="B161" s="163" t="s">
        <v>27</v>
      </c>
      <c r="C161" s="5" t="s">
        <v>5</v>
      </c>
      <c r="D161" s="5" t="s">
        <v>312</v>
      </c>
      <c r="E161" s="5" t="s">
        <v>313</v>
      </c>
      <c r="F161" s="5">
        <v>1077108</v>
      </c>
      <c r="G161" s="7" t="s">
        <v>673</v>
      </c>
      <c r="H161" s="164">
        <v>23084.984989475524</v>
      </c>
      <c r="I161" s="164">
        <v>5263.3765776004193</v>
      </c>
      <c r="J161" s="114">
        <v>0</v>
      </c>
      <c r="K161" s="114">
        <v>300</v>
      </c>
      <c r="L161" s="165">
        <v>68.400000000000006</v>
      </c>
      <c r="M161" s="115">
        <v>3.1189104100706539E-2</v>
      </c>
      <c r="N161" s="165">
        <v>5194.9765776004197</v>
      </c>
      <c r="O161" s="165">
        <v>0</v>
      </c>
      <c r="P161" s="115">
        <v>0.78901614716041368</v>
      </c>
      <c r="Q161" s="5">
        <v>42133</v>
      </c>
      <c r="R161" s="5">
        <v>420</v>
      </c>
      <c r="S161" s="5">
        <v>41713</v>
      </c>
      <c r="T161" s="5">
        <v>0</v>
      </c>
      <c r="U161" s="5">
        <v>150</v>
      </c>
      <c r="V161" s="5">
        <v>0</v>
      </c>
      <c r="W161" s="5">
        <v>0</v>
      </c>
      <c r="X161" s="114">
        <v>23084.984989475524</v>
      </c>
      <c r="Y161" s="114">
        <v>54.207962473032168</v>
      </c>
      <c r="Z161" s="114">
        <v>-19348.015010524476</v>
      </c>
      <c r="AA161" s="166">
        <v>48247.62</v>
      </c>
      <c r="AB161" s="166">
        <v>87493.67</v>
      </c>
      <c r="AC161" s="167">
        <v>1.8381211865351119</v>
      </c>
      <c r="AD161" s="168"/>
      <c r="AE161" s="168"/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84"/>
      <c r="BJ161" s="185"/>
    </row>
    <row r="162" spans="1:62" ht="12.75" customHeight="1" x14ac:dyDescent="0.35">
      <c r="A162" s="105"/>
      <c r="B162" s="163" t="s">
        <v>27</v>
      </c>
      <c r="C162" s="5" t="s">
        <v>5</v>
      </c>
      <c r="D162" s="5" t="s">
        <v>312</v>
      </c>
      <c r="E162" s="5" t="s">
        <v>313</v>
      </c>
      <c r="F162" s="5">
        <v>1052770</v>
      </c>
      <c r="G162" s="7" t="s">
        <v>183</v>
      </c>
      <c r="H162" s="164">
        <v>6915.0617421072575</v>
      </c>
      <c r="I162" s="164">
        <v>1908.5570408216033</v>
      </c>
      <c r="J162" s="114">
        <v>0</v>
      </c>
      <c r="K162" s="114">
        <v>-71.167000000000002</v>
      </c>
      <c r="L162" s="165">
        <v>-19.642092000000002</v>
      </c>
      <c r="M162" s="115">
        <v>-1.0291592852548119E-2</v>
      </c>
      <c r="N162" s="165">
        <v>1928.1991328216034</v>
      </c>
      <c r="O162" s="165">
        <v>0</v>
      </c>
      <c r="P162" s="115">
        <v>0.84404415225130536</v>
      </c>
      <c r="Q162" s="5">
        <v>12606</v>
      </c>
      <c r="R162" s="5">
        <v>0</v>
      </c>
      <c r="S162" s="5">
        <v>12606</v>
      </c>
      <c r="T162" s="5">
        <v>0</v>
      </c>
      <c r="U162" s="5">
        <v>70</v>
      </c>
      <c r="V162" s="5">
        <v>0</v>
      </c>
      <c r="W162" s="5">
        <v>0</v>
      </c>
      <c r="X162" s="114">
        <v>6915.0617421072566</v>
      </c>
      <c r="Y162" s="114">
        <v>54.689316466573672</v>
      </c>
      <c r="Z162" s="114">
        <v>-5619.7712578927421</v>
      </c>
      <c r="AA162" s="166">
        <v>25516.58</v>
      </c>
      <c r="AB162" s="166">
        <v>46774.44</v>
      </c>
      <c r="AC162" s="167">
        <v>1.8126856226999073</v>
      </c>
      <c r="AD162" s="168"/>
      <c r="AE162" s="168"/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84"/>
      <c r="BJ162" s="187"/>
    </row>
    <row r="163" spans="1:62" ht="12.75" customHeight="1" x14ac:dyDescent="0.35">
      <c r="A163" s="105"/>
      <c r="B163" s="163" t="s">
        <v>15</v>
      </c>
      <c r="C163" s="5" t="s">
        <v>5</v>
      </c>
      <c r="D163" s="5" t="s">
        <v>312</v>
      </c>
      <c r="E163" s="5" t="s">
        <v>315</v>
      </c>
      <c r="F163" s="5">
        <v>1080723</v>
      </c>
      <c r="G163" s="7" t="s">
        <v>737</v>
      </c>
      <c r="H163" s="164">
        <v>240</v>
      </c>
      <c r="I163" s="164">
        <v>11.28</v>
      </c>
      <c r="J163" s="114">
        <v>0</v>
      </c>
      <c r="K163" s="114">
        <v>0</v>
      </c>
      <c r="L163" s="165">
        <v>0</v>
      </c>
      <c r="M163" s="115">
        <v>0</v>
      </c>
      <c r="N163" s="165">
        <v>11.28</v>
      </c>
      <c r="O163" s="165">
        <v>0</v>
      </c>
      <c r="P163" s="115">
        <v>0</v>
      </c>
      <c r="Q163" s="5">
        <v>440</v>
      </c>
      <c r="R163" s="5">
        <v>0</v>
      </c>
      <c r="S163" s="5">
        <v>440</v>
      </c>
      <c r="T163" s="5">
        <v>0</v>
      </c>
      <c r="U163" s="5">
        <v>0</v>
      </c>
      <c r="V163" s="5">
        <v>0</v>
      </c>
      <c r="W163" s="5">
        <v>440</v>
      </c>
      <c r="X163" s="114">
        <v>240</v>
      </c>
      <c r="Y163" s="114">
        <v>55</v>
      </c>
      <c r="Z163" s="114">
        <v>-200</v>
      </c>
      <c r="AA163" s="166">
        <v>156</v>
      </c>
      <c r="AB163" s="166">
        <v>572</v>
      </c>
      <c r="AC163" s="167">
        <v>1.8333333333333335</v>
      </c>
      <c r="AD163" s="168"/>
      <c r="AE163" s="168">
        <v>0</v>
      </c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86" t="s">
        <v>1</v>
      </c>
      <c r="BJ163" s="185"/>
    </row>
    <row r="164" spans="1:62" ht="12.75" customHeight="1" x14ac:dyDescent="0.35">
      <c r="A164" s="105"/>
      <c r="B164" s="163" t="s">
        <v>1</v>
      </c>
      <c r="C164" s="5" t="s">
        <v>50</v>
      </c>
      <c r="D164" s="5" t="s">
        <v>320</v>
      </c>
      <c r="E164" s="5" t="s">
        <v>402</v>
      </c>
      <c r="F164" s="5">
        <v>1060793</v>
      </c>
      <c r="G164" s="7" t="s">
        <v>430</v>
      </c>
      <c r="H164" s="164">
        <v>14548.094245066106</v>
      </c>
      <c r="I164" s="164">
        <v>2618.656964111899</v>
      </c>
      <c r="J164" s="114">
        <v>0</v>
      </c>
      <c r="K164" s="114">
        <v>571</v>
      </c>
      <c r="L164" s="165">
        <v>102.78</v>
      </c>
      <c r="M164" s="115">
        <v>4.0348927502932376E-2</v>
      </c>
      <c r="N164" s="165">
        <v>2515.8769641118988</v>
      </c>
      <c r="O164" s="165">
        <v>0</v>
      </c>
      <c r="P164" s="115">
        <v>0.99940172429865382</v>
      </c>
      <c r="Q164" s="5">
        <v>26792</v>
      </c>
      <c r="R164" s="5">
        <v>16</v>
      </c>
      <c r="S164" s="5">
        <v>26776</v>
      </c>
      <c r="T164" s="5">
        <v>0</v>
      </c>
      <c r="U164" s="5">
        <v>8</v>
      </c>
      <c r="V164" s="5">
        <v>0</v>
      </c>
      <c r="W164" s="5">
        <v>0</v>
      </c>
      <c r="X164" s="114">
        <v>14548.094245066104</v>
      </c>
      <c r="Y164" s="114">
        <v>55.215479530758984</v>
      </c>
      <c r="Z164" s="114">
        <v>-12814.905754933894</v>
      </c>
      <c r="AA164" s="166">
        <v>99799.93</v>
      </c>
      <c r="AB164" s="166">
        <v>183738.23999999999</v>
      </c>
      <c r="AC164" s="167">
        <v>1.8808649118615648</v>
      </c>
      <c r="AD164" s="168"/>
      <c r="AE164" s="168" t="s">
        <v>574</v>
      </c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86" t="s">
        <v>1</v>
      </c>
      <c r="BJ164" s="185" t="s">
        <v>874</v>
      </c>
    </row>
    <row r="165" spans="1:62" ht="12.75" customHeight="1" x14ac:dyDescent="0.35">
      <c r="A165" s="105"/>
      <c r="B165" s="163" t="s">
        <v>27</v>
      </c>
      <c r="C165" s="5" t="s">
        <v>5</v>
      </c>
      <c r="D165" s="5" t="s">
        <v>312</v>
      </c>
      <c r="E165" s="5" t="s">
        <v>313</v>
      </c>
      <c r="F165" s="5">
        <v>1081304</v>
      </c>
      <c r="G165" s="7" t="s">
        <v>747</v>
      </c>
      <c r="H165" s="164">
        <v>15713.369658908046</v>
      </c>
      <c r="I165" s="164">
        <v>3582.6482822310345</v>
      </c>
      <c r="J165" s="114">
        <v>0</v>
      </c>
      <c r="K165" s="114">
        <v>723</v>
      </c>
      <c r="L165" s="165">
        <v>164.84399999999999</v>
      </c>
      <c r="M165" s="115">
        <v>7.6559008418541769E-2</v>
      </c>
      <c r="N165" s="165">
        <v>3417.8042822310344</v>
      </c>
      <c r="O165" s="165">
        <v>31.262480352473034</v>
      </c>
      <c r="P165" s="115">
        <v>1.1964710275951378</v>
      </c>
      <c r="Q165" s="5">
        <v>29549</v>
      </c>
      <c r="R165" s="5">
        <v>480</v>
      </c>
      <c r="S165" s="5">
        <v>29069</v>
      </c>
      <c r="T165" s="5">
        <v>0</v>
      </c>
      <c r="U165" s="5">
        <v>180</v>
      </c>
      <c r="V165" s="5">
        <v>0</v>
      </c>
      <c r="W165" s="5">
        <v>0</v>
      </c>
      <c r="X165" s="114">
        <v>15713.369658908045</v>
      </c>
      <c r="Y165" s="114">
        <v>55.498598895725465</v>
      </c>
      <c r="Z165" s="114">
        <v>-14558.630341091954</v>
      </c>
      <c r="AA165" s="166">
        <v>31112.47</v>
      </c>
      <c r="AB165" s="166">
        <v>57913.02</v>
      </c>
      <c r="AC165" s="167">
        <v>1.9265123049427237</v>
      </c>
      <c r="AD165" s="168"/>
      <c r="AE165" s="168">
        <v>1010.848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86" t="s">
        <v>1</v>
      </c>
      <c r="BJ165" s="185"/>
    </row>
    <row r="166" spans="1:62" ht="12.75" customHeight="1" x14ac:dyDescent="0.35">
      <c r="A166" s="105"/>
      <c r="B166" s="163" t="s">
        <v>1</v>
      </c>
      <c r="C166" s="5" t="s">
        <v>24</v>
      </c>
      <c r="D166" s="5" t="s">
        <v>316</v>
      </c>
      <c r="E166" s="5" t="s">
        <v>400</v>
      </c>
      <c r="F166" s="55">
        <v>1024998</v>
      </c>
      <c r="G166" s="64" t="s">
        <v>321</v>
      </c>
      <c r="H166" s="164">
        <v>19643.464494788037</v>
      </c>
      <c r="I166" s="164">
        <v>8348.4724102849159</v>
      </c>
      <c r="J166" s="114">
        <v>0</v>
      </c>
      <c r="K166" s="114">
        <v>474</v>
      </c>
      <c r="L166" s="165">
        <v>201.45</v>
      </c>
      <c r="M166" s="115">
        <v>2.4639238161293736E-2</v>
      </c>
      <c r="N166" s="165">
        <v>8147.0224102849161</v>
      </c>
      <c r="O166" s="165">
        <v>13.797773057205482</v>
      </c>
      <c r="P166" s="115">
        <v>1.4533268494815412</v>
      </c>
      <c r="Q166" s="5">
        <v>36825</v>
      </c>
      <c r="R166" s="5">
        <v>10</v>
      </c>
      <c r="S166" s="5">
        <v>36815</v>
      </c>
      <c r="T166" s="5">
        <v>0</v>
      </c>
      <c r="U166" s="5">
        <v>0</v>
      </c>
      <c r="V166" s="5">
        <v>0</v>
      </c>
      <c r="W166" s="5">
        <v>0</v>
      </c>
      <c r="X166" s="114">
        <v>19643.464494788037</v>
      </c>
      <c r="Y166" s="114">
        <v>56.224806998431539</v>
      </c>
      <c r="Z166" s="114">
        <v>-17655.535505211963</v>
      </c>
      <c r="AA166" s="166">
        <v>181309.18</v>
      </c>
      <c r="AB166" s="166">
        <v>339802.45</v>
      </c>
      <c r="AC166" s="167">
        <v>1.8987994714423453</v>
      </c>
      <c r="AD166" s="168"/>
      <c r="AE166" s="168">
        <v>9.9603550295857985</v>
      </c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86" t="s">
        <v>1</v>
      </c>
      <c r="BJ166" s="169"/>
    </row>
    <row r="167" spans="1:62" ht="12.75" customHeight="1" x14ac:dyDescent="0.3">
      <c r="A167" s="105"/>
      <c r="B167" s="163" t="s">
        <v>27</v>
      </c>
      <c r="C167" s="5" t="s">
        <v>5</v>
      </c>
      <c r="D167" s="5" t="s">
        <v>312</v>
      </c>
      <c r="E167" s="5" t="s">
        <v>313</v>
      </c>
      <c r="F167" s="125">
        <v>1083381</v>
      </c>
      <c r="G167" s="126" t="s">
        <v>790</v>
      </c>
      <c r="H167" s="164">
        <v>60630</v>
      </c>
      <c r="I167" s="164">
        <v>13823.640000000001</v>
      </c>
      <c r="J167" s="114">
        <v>0</v>
      </c>
      <c r="K167" s="114">
        <v>0</v>
      </c>
      <c r="L167" s="165">
        <v>0</v>
      </c>
      <c r="M167" s="115">
        <v>0</v>
      </c>
      <c r="N167" s="165">
        <v>13823.640000000001</v>
      </c>
      <c r="O167" s="165">
        <v>0</v>
      </c>
      <c r="P167" s="115">
        <v>0</v>
      </c>
      <c r="Q167" s="5">
        <v>115416</v>
      </c>
      <c r="R167" s="5">
        <v>0</v>
      </c>
      <c r="S167" s="5">
        <v>115416</v>
      </c>
      <c r="T167" s="5">
        <v>0</v>
      </c>
      <c r="U167" s="5">
        <v>0</v>
      </c>
      <c r="V167" s="5">
        <v>0</v>
      </c>
      <c r="W167" s="5">
        <v>0</v>
      </c>
      <c r="X167" s="114">
        <v>60630</v>
      </c>
      <c r="Y167" s="114">
        <v>57.108362196932212</v>
      </c>
      <c r="Z167" s="114">
        <v>-54786</v>
      </c>
      <c r="AA167" s="166">
        <v>215842.8</v>
      </c>
      <c r="AB167" s="166">
        <v>410880.96</v>
      </c>
      <c r="AC167" s="167">
        <v>1.9036120732310737</v>
      </c>
      <c r="AD167" s="168"/>
      <c r="AE167" s="168">
        <v>109.37333145988478</v>
      </c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86" t="s">
        <v>1</v>
      </c>
      <c r="BJ167" s="185"/>
    </row>
    <row r="168" spans="1:62" ht="12.75" customHeight="1" x14ac:dyDescent="0.35">
      <c r="A168" s="105"/>
      <c r="B168" s="163" t="s">
        <v>1</v>
      </c>
      <c r="C168" s="5" t="s">
        <v>24</v>
      </c>
      <c r="D168" s="5" t="s">
        <v>316</v>
      </c>
      <c r="E168" s="5" t="s">
        <v>317</v>
      </c>
      <c r="F168" s="5">
        <v>1003495</v>
      </c>
      <c r="G168" s="7" t="s">
        <v>129</v>
      </c>
      <c r="H168" s="164">
        <v>1053.4629625050629</v>
      </c>
      <c r="I168" s="164">
        <v>89.544351812930358</v>
      </c>
      <c r="J168" s="114">
        <v>0</v>
      </c>
      <c r="K168" s="114">
        <v>4</v>
      </c>
      <c r="L168" s="165">
        <v>0.34</v>
      </c>
      <c r="M168" s="115">
        <v>3.7970010739516399E-3</v>
      </c>
      <c r="N168" s="165">
        <v>89.204351812930355</v>
      </c>
      <c r="O168" s="165">
        <v>0</v>
      </c>
      <c r="P168" s="115">
        <v>1.0467461624697318</v>
      </c>
      <c r="Q168" s="5">
        <v>2026</v>
      </c>
      <c r="R168" s="5">
        <v>0</v>
      </c>
      <c r="S168" s="5">
        <v>2026</v>
      </c>
      <c r="T168" s="5">
        <v>0</v>
      </c>
      <c r="U168" s="5">
        <v>0</v>
      </c>
      <c r="V168" s="5">
        <v>0</v>
      </c>
      <c r="W168" s="5">
        <v>0</v>
      </c>
      <c r="X168" s="114">
        <v>1053.4629625050629</v>
      </c>
      <c r="Y168" s="114">
        <v>57.695431318695171</v>
      </c>
      <c r="Z168" s="114">
        <v>-976.53703749493707</v>
      </c>
      <c r="AA168" s="166">
        <v>6647.35</v>
      </c>
      <c r="AB168" s="166">
        <v>12784.06</v>
      </c>
      <c r="AC168" s="167">
        <v>1.9269780450304572</v>
      </c>
      <c r="AD168" s="168"/>
      <c r="AE168" s="168"/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84"/>
      <c r="BJ168" s="185"/>
    </row>
    <row r="169" spans="1:62" ht="12.75" customHeight="1" x14ac:dyDescent="0.35">
      <c r="A169" s="105"/>
      <c r="B169" s="163" t="s">
        <v>21</v>
      </c>
      <c r="C169" s="5" t="s">
        <v>5</v>
      </c>
      <c r="D169" s="5" t="s">
        <v>396</v>
      </c>
      <c r="E169" s="5" t="s">
        <v>307</v>
      </c>
      <c r="F169" s="5">
        <v>1063071</v>
      </c>
      <c r="G169" s="7" t="s">
        <v>444</v>
      </c>
      <c r="H169" s="164">
        <v>1345.3491299603775</v>
      </c>
      <c r="I169" s="164">
        <v>672.67456498018873</v>
      </c>
      <c r="J169" s="114">
        <v>0</v>
      </c>
      <c r="K169" s="114">
        <v>25</v>
      </c>
      <c r="L169" s="165">
        <v>12.5</v>
      </c>
      <c r="M169" s="115">
        <v>3.9394978462996388E-2</v>
      </c>
      <c r="N169" s="165">
        <v>660.17456498018873</v>
      </c>
      <c r="O169" s="165">
        <v>11.543119741450344</v>
      </c>
      <c r="P169" s="115">
        <v>2.3800587935810782</v>
      </c>
      <c r="Q169" s="5">
        <v>2768</v>
      </c>
      <c r="R169" s="5">
        <v>28</v>
      </c>
      <c r="S169" s="5">
        <v>2740</v>
      </c>
      <c r="T169" s="5">
        <v>0</v>
      </c>
      <c r="U169" s="5">
        <v>0</v>
      </c>
      <c r="V169" s="5">
        <v>0</v>
      </c>
      <c r="W169" s="5">
        <v>0</v>
      </c>
      <c r="X169" s="114">
        <v>1345.3491299603775</v>
      </c>
      <c r="Y169" s="114">
        <v>61.099381691666096</v>
      </c>
      <c r="Z169" s="114">
        <v>-1447.6508700396225</v>
      </c>
      <c r="AA169" s="166">
        <v>6753.65</v>
      </c>
      <c r="AB169" s="166">
        <v>13754.8</v>
      </c>
      <c r="AC169" s="167">
        <v>2.0760410348518663</v>
      </c>
      <c r="AD169" s="168"/>
      <c r="AE169" s="168">
        <v>23.728842851009016</v>
      </c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86" t="s">
        <v>1</v>
      </c>
      <c r="BJ169" s="185"/>
    </row>
    <row r="170" spans="1:62" ht="12.75" customHeight="1" x14ac:dyDescent="0.35">
      <c r="A170" s="105"/>
      <c r="B170" s="163" t="s">
        <v>21</v>
      </c>
      <c r="C170" s="5" t="s">
        <v>5</v>
      </c>
      <c r="D170" s="5" t="s">
        <v>308</v>
      </c>
      <c r="E170" s="5" t="s">
        <v>395</v>
      </c>
      <c r="F170" s="5">
        <v>1069126</v>
      </c>
      <c r="G170" s="7" t="s">
        <v>556</v>
      </c>
      <c r="H170" s="164">
        <v>1477.3257592771777</v>
      </c>
      <c r="I170" s="164">
        <v>738.66287963858883</v>
      </c>
      <c r="J170" s="114">
        <v>0</v>
      </c>
      <c r="K170" s="114">
        <v>2</v>
      </c>
      <c r="L170" s="165">
        <v>1</v>
      </c>
      <c r="M170" s="115">
        <v>2.9783546197372345E-2</v>
      </c>
      <c r="N170" s="165">
        <v>737.66287963858883</v>
      </c>
      <c r="O170" s="165">
        <v>2.8972805725521855</v>
      </c>
      <c r="P170" s="115">
        <v>1.3280653504551148</v>
      </c>
      <c r="Q170" s="5">
        <v>3217</v>
      </c>
      <c r="R170" s="5">
        <v>42</v>
      </c>
      <c r="S170" s="5">
        <v>3175</v>
      </c>
      <c r="T170" s="5">
        <v>0</v>
      </c>
      <c r="U170" s="5">
        <v>0</v>
      </c>
      <c r="V170" s="5">
        <v>0</v>
      </c>
      <c r="W170" s="5">
        <v>0</v>
      </c>
      <c r="X170" s="114">
        <v>1477.3257592771777</v>
      </c>
      <c r="Y170" s="114">
        <v>64.474608529538997</v>
      </c>
      <c r="Z170" s="114">
        <v>-1741.6742407228223</v>
      </c>
      <c r="AA170" s="166">
        <v>23001.96</v>
      </c>
      <c r="AB170" s="166">
        <v>49434.75</v>
      </c>
      <c r="AC170" s="167">
        <v>2.1789371638486723</v>
      </c>
      <c r="AD170" s="168"/>
      <c r="AE170" s="168">
        <v>40.312352692310292</v>
      </c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86" t="s">
        <v>1</v>
      </c>
      <c r="BJ170" s="185"/>
    </row>
    <row r="171" spans="1:62" ht="12.75" customHeight="1" x14ac:dyDescent="0.35">
      <c r="A171" s="105"/>
      <c r="B171" s="163" t="s">
        <v>1</v>
      </c>
      <c r="C171" s="5" t="s">
        <v>2</v>
      </c>
      <c r="D171" s="5" t="s">
        <v>310</v>
      </c>
      <c r="E171" s="5" t="s">
        <v>311</v>
      </c>
      <c r="F171" s="125">
        <v>1080744</v>
      </c>
      <c r="G171" s="127" t="s">
        <v>765</v>
      </c>
      <c r="H171" s="164">
        <v>13079.949881909937</v>
      </c>
      <c r="I171" s="164">
        <v>1961.9924822864905</v>
      </c>
      <c r="J171" s="114">
        <v>0</v>
      </c>
      <c r="K171" s="114">
        <v>19</v>
      </c>
      <c r="L171" s="165">
        <v>2.85</v>
      </c>
      <c r="M171" s="115">
        <v>3.2874743701786363E-3</v>
      </c>
      <c r="N171" s="165">
        <v>1959.1424822864906</v>
      </c>
      <c r="O171" s="165">
        <v>0</v>
      </c>
      <c r="P171" s="115">
        <v>0.82598849144078978</v>
      </c>
      <c r="Q171" s="5">
        <v>28808</v>
      </c>
      <c r="R171" s="5">
        <v>24</v>
      </c>
      <c r="S171" s="5">
        <v>28784</v>
      </c>
      <c r="T171" s="5">
        <v>0</v>
      </c>
      <c r="U171" s="5">
        <v>0</v>
      </c>
      <c r="V171" s="5">
        <v>0</v>
      </c>
      <c r="W171" s="5">
        <v>0</v>
      </c>
      <c r="X171" s="114">
        <v>13079.949881909937</v>
      </c>
      <c r="Y171" s="114">
        <v>66.018601584573403</v>
      </c>
      <c r="Z171" s="114">
        <v>-15747.050118090063</v>
      </c>
      <c r="AA171" s="166">
        <v>32830.67</v>
      </c>
      <c r="AB171" s="166">
        <v>72247.839999999997</v>
      </c>
      <c r="AC171" s="167">
        <v>2.2039075271892918</v>
      </c>
      <c r="AD171" s="168"/>
      <c r="AE171" s="168">
        <v>21.992222251817914</v>
      </c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84" t="s">
        <v>1</v>
      </c>
      <c r="BJ171" s="185"/>
    </row>
    <row r="172" spans="1:62" ht="12.75" customHeight="1" x14ac:dyDescent="0.35">
      <c r="A172" s="105"/>
      <c r="B172" s="163" t="s">
        <v>1</v>
      </c>
      <c r="C172" s="5" t="s">
        <v>24</v>
      </c>
      <c r="D172" s="5" t="s">
        <v>316</v>
      </c>
      <c r="E172" s="5" t="s">
        <v>317</v>
      </c>
      <c r="F172" s="5">
        <v>1032134</v>
      </c>
      <c r="G172" s="7" t="s">
        <v>25</v>
      </c>
      <c r="H172" s="164">
        <v>1693.0831373013559</v>
      </c>
      <c r="I172" s="164">
        <v>287.82413334123055</v>
      </c>
      <c r="J172" s="114">
        <v>0</v>
      </c>
      <c r="K172" s="114">
        <v>5</v>
      </c>
      <c r="L172" s="165">
        <v>0.85000000000000009</v>
      </c>
      <c r="M172" s="115">
        <v>6.0835760353844207E-2</v>
      </c>
      <c r="N172" s="165">
        <v>286.97413334123053</v>
      </c>
      <c r="O172" s="165">
        <v>0</v>
      </c>
      <c r="P172" s="115">
        <v>0.86561696750038608</v>
      </c>
      <c r="Q172" s="5">
        <v>3827</v>
      </c>
      <c r="R172" s="5">
        <v>98</v>
      </c>
      <c r="S172" s="5">
        <v>3729</v>
      </c>
      <c r="T172" s="5">
        <v>0</v>
      </c>
      <c r="U172" s="5">
        <v>0</v>
      </c>
      <c r="V172" s="5">
        <v>0</v>
      </c>
      <c r="W172" s="5">
        <v>0</v>
      </c>
      <c r="X172" s="114">
        <v>1693.0831373013559</v>
      </c>
      <c r="Y172" s="114">
        <v>66.074723405675257</v>
      </c>
      <c r="Z172" s="114">
        <v>-2138.9168626986439</v>
      </c>
      <c r="AA172" s="166">
        <v>19605.900000000001</v>
      </c>
      <c r="AB172" s="166">
        <v>43181.82</v>
      </c>
      <c r="AC172" s="167">
        <v>2.2633265405430194</v>
      </c>
      <c r="AD172" s="168"/>
      <c r="AE172" s="168"/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86" t="s">
        <v>1</v>
      </c>
      <c r="BJ172" s="185"/>
    </row>
    <row r="173" spans="1:62" ht="12.75" customHeight="1" x14ac:dyDescent="0.35">
      <c r="A173" s="105"/>
      <c r="B173" s="163">
        <v>0</v>
      </c>
      <c r="C173" s="5" t="s">
        <v>2</v>
      </c>
      <c r="D173" s="5" t="s">
        <v>310</v>
      </c>
      <c r="E173" s="5" t="s">
        <v>311</v>
      </c>
      <c r="F173" s="160">
        <v>1080421</v>
      </c>
      <c r="G173" s="162" t="s">
        <v>805</v>
      </c>
      <c r="H173" s="164">
        <v>3702.6126115304191</v>
      </c>
      <c r="I173" s="164">
        <v>2221.5675669182515</v>
      </c>
      <c r="J173" s="114">
        <v>0</v>
      </c>
      <c r="K173" s="114">
        <v>7</v>
      </c>
      <c r="L173" s="165">
        <v>4.2</v>
      </c>
      <c r="M173" s="115">
        <v>5.8067106272598416E-2</v>
      </c>
      <c r="N173" s="165">
        <v>2217.3675669182517</v>
      </c>
      <c r="O173" s="165">
        <v>0</v>
      </c>
      <c r="P173" s="115">
        <v>0.49484540311454628</v>
      </c>
      <c r="Q173" s="5">
        <v>8392</v>
      </c>
      <c r="R173" s="5">
        <v>208</v>
      </c>
      <c r="S173" s="5">
        <v>8184</v>
      </c>
      <c r="T173" s="5">
        <v>0</v>
      </c>
      <c r="U173" s="5">
        <v>0</v>
      </c>
      <c r="V173" s="5">
        <v>0</v>
      </c>
      <c r="W173" s="5">
        <v>1218</v>
      </c>
      <c r="X173" s="114">
        <v>3702.6126115304191</v>
      </c>
      <c r="Y173" s="114">
        <v>66.309934567666801</v>
      </c>
      <c r="Z173" s="114">
        <v>-4696.3873884695804</v>
      </c>
      <c r="AA173" s="166">
        <v>23585.64</v>
      </c>
      <c r="AB173" s="166">
        <v>59890.74</v>
      </c>
      <c r="AC173" s="167">
        <v>2.2683982585281584</v>
      </c>
      <c r="AD173" s="168"/>
      <c r="AE173" s="168"/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86"/>
      <c r="BJ173" s="185" t="s">
        <v>875</v>
      </c>
    </row>
    <row r="174" spans="1:62" ht="12.75" customHeight="1" x14ac:dyDescent="0.35">
      <c r="A174" s="105"/>
      <c r="B174" s="163" t="s">
        <v>21</v>
      </c>
      <c r="C174" s="5" t="s">
        <v>5</v>
      </c>
      <c r="D174" s="5" t="s">
        <v>396</v>
      </c>
      <c r="E174" s="5" t="s">
        <v>397</v>
      </c>
      <c r="F174" s="5">
        <v>1042368</v>
      </c>
      <c r="G174" s="7" t="s">
        <v>134</v>
      </c>
      <c r="H174" s="164">
        <v>245.46584160474697</v>
      </c>
      <c r="I174" s="164">
        <v>2356.4720794055706</v>
      </c>
      <c r="J174" s="114">
        <v>0</v>
      </c>
      <c r="K174" s="114">
        <v>6</v>
      </c>
      <c r="L174" s="165">
        <v>57.599999999999994</v>
      </c>
      <c r="M174" s="115">
        <v>2.4443319529815866E-2</v>
      </c>
      <c r="N174" s="165">
        <v>2298.8720794055707</v>
      </c>
      <c r="O174" s="165">
        <v>0.67636600991891171</v>
      </c>
      <c r="P174" s="115">
        <v>0.84526831589683571</v>
      </c>
      <c r="Q174" s="5">
        <v>567</v>
      </c>
      <c r="R174" s="5">
        <v>0</v>
      </c>
      <c r="S174" s="5">
        <v>567</v>
      </c>
      <c r="T174" s="5">
        <v>0</v>
      </c>
      <c r="U174" s="5">
        <v>0</v>
      </c>
      <c r="V174" s="5">
        <v>0</v>
      </c>
      <c r="W174" s="5">
        <v>9</v>
      </c>
      <c r="X174" s="114">
        <v>245.46584160474697</v>
      </c>
      <c r="Y174" s="114">
        <v>69.296810867027986</v>
      </c>
      <c r="Z174" s="114">
        <v>-327.53415839525303</v>
      </c>
      <c r="AA174" s="166">
        <v>22693.32</v>
      </c>
      <c r="AB174" s="166">
        <v>53251.199999999997</v>
      </c>
      <c r="AC174" s="167">
        <v>2.3343370150974154</v>
      </c>
      <c r="AD174" s="168"/>
      <c r="AE174" s="168"/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84" t="s">
        <v>1</v>
      </c>
      <c r="BJ174" s="185"/>
    </row>
    <row r="175" spans="1:62" ht="12.75" customHeight="1" x14ac:dyDescent="0.35">
      <c r="A175" s="105"/>
      <c r="B175" s="163" t="s">
        <v>1</v>
      </c>
      <c r="C175" s="5" t="s">
        <v>50</v>
      </c>
      <c r="D175" s="5" t="s">
        <v>310</v>
      </c>
      <c r="E175" s="5" t="s">
        <v>403</v>
      </c>
      <c r="F175" s="5">
        <v>1076303</v>
      </c>
      <c r="G175" s="7" t="s">
        <v>693</v>
      </c>
      <c r="H175" s="164">
        <v>5649.7101311142296</v>
      </c>
      <c r="I175" s="164">
        <v>209.03927485122648</v>
      </c>
      <c r="J175" s="114">
        <v>0</v>
      </c>
      <c r="K175" s="114">
        <v>0</v>
      </c>
      <c r="L175" s="165">
        <v>0</v>
      </c>
      <c r="M175" s="115">
        <v>6.7968088820207828E-2</v>
      </c>
      <c r="N175" s="165">
        <v>209.03927485122648</v>
      </c>
      <c r="O175" s="165">
        <v>0</v>
      </c>
      <c r="P175" s="115">
        <v>0.75941919102496136</v>
      </c>
      <c r="Q175" s="5">
        <v>13609</v>
      </c>
      <c r="R175" s="5">
        <v>384</v>
      </c>
      <c r="S175" s="5">
        <v>13225</v>
      </c>
      <c r="T175" s="5">
        <v>0</v>
      </c>
      <c r="U175" s="5">
        <v>0</v>
      </c>
      <c r="V175" s="5">
        <v>0</v>
      </c>
      <c r="W175" s="5">
        <v>0</v>
      </c>
      <c r="X175" s="114">
        <v>5649.7101311142296</v>
      </c>
      <c r="Y175" s="114">
        <v>70.224841769316299</v>
      </c>
      <c r="Z175" s="114">
        <v>-7959.2898688857704</v>
      </c>
      <c r="AA175" s="166">
        <v>12768.34</v>
      </c>
      <c r="AB175" s="166">
        <v>29888.5</v>
      </c>
      <c r="AC175" s="167">
        <v>2.4087961477974176</v>
      </c>
      <c r="AD175" s="168"/>
      <c r="AE175" s="168"/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86"/>
      <c r="BJ175" s="185"/>
    </row>
    <row r="176" spans="1:62" ht="12.75" customHeight="1" x14ac:dyDescent="0.35">
      <c r="A176" s="105"/>
      <c r="B176" s="163" t="s">
        <v>21</v>
      </c>
      <c r="C176" s="5" t="s">
        <v>5</v>
      </c>
      <c r="D176" s="5" t="s">
        <v>308</v>
      </c>
      <c r="E176" s="5" t="s">
        <v>395</v>
      </c>
      <c r="F176" s="5">
        <v>1069121</v>
      </c>
      <c r="G176" s="7" t="s">
        <v>558</v>
      </c>
      <c r="H176" s="164">
        <v>192.23968708906878</v>
      </c>
      <c r="I176" s="164">
        <v>153.79174967125505</v>
      </c>
      <c r="J176" s="114">
        <v>0</v>
      </c>
      <c r="K176" s="114">
        <v>0</v>
      </c>
      <c r="L176" s="165">
        <v>0</v>
      </c>
      <c r="M176" s="115">
        <v>0</v>
      </c>
      <c r="N176" s="165">
        <v>153.79174967125505</v>
      </c>
      <c r="O176" s="165">
        <v>0</v>
      </c>
      <c r="P176" s="115">
        <v>0.65560441070368092</v>
      </c>
      <c r="Q176" s="5">
        <v>456</v>
      </c>
      <c r="R176" s="5">
        <v>0</v>
      </c>
      <c r="S176" s="5">
        <v>456</v>
      </c>
      <c r="T176" s="5">
        <v>0</v>
      </c>
      <c r="U176" s="5">
        <v>0</v>
      </c>
      <c r="V176" s="5">
        <v>0</v>
      </c>
      <c r="W176" s="5">
        <v>0</v>
      </c>
      <c r="X176" s="114">
        <v>192.23968708906878</v>
      </c>
      <c r="Y176" s="114">
        <v>71.161164518863174</v>
      </c>
      <c r="Z176" s="114">
        <v>-263.76031291093125</v>
      </c>
      <c r="AA176" s="166">
        <v>7641.53</v>
      </c>
      <c r="AB176" s="166">
        <v>18126</v>
      </c>
      <c r="AC176" s="167">
        <v>2.3720388172954392</v>
      </c>
      <c r="AD176" s="168"/>
      <c r="AE176" s="168"/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86" t="s">
        <v>1</v>
      </c>
      <c r="BJ176" s="185"/>
    </row>
    <row r="177" spans="1:62" ht="12.75" customHeight="1" x14ac:dyDescent="0.35">
      <c r="A177" s="105"/>
      <c r="B177" s="163" t="s">
        <v>1</v>
      </c>
      <c r="C177" s="5" t="s">
        <v>24</v>
      </c>
      <c r="D177" s="5" t="s">
        <v>316</v>
      </c>
      <c r="E177" s="5" t="s">
        <v>317</v>
      </c>
      <c r="F177" s="5">
        <v>1003496</v>
      </c>
      <c r="G177" s="7" t="s">
        <v>280</v>
      </c>
      <c r="H177" s="164">
        <v>4619.5509283756292</v>
      </c>
      <c r="I177" s="164">
        <v>230.97754641878146</v>
      </c>
      <c r="J177" s="114">
        <v>0</v>
      </c>
      <c r="K177" s="114">
        <v>480</v>
      </c>
      <c r="L177" s="165">
        <v>24</v>
      </c>
      <c r="M177" s="115">
        <v>0.10390620375058451</v>
      </c>
      <c r="N177" s="165">
        <v>206.97754641878146</v>
      </c>
      <c r="O177" s="165">
        <v>0</v>
      </c>
      <c r="P177" s="115">
        <v>1.5039396664097928</v>
      </c>
      <c r="Q177" s="5">
        <v>11847</v>
      </c>
      <c r="R177" s="5">
        <v>0</v>
      </c>
      <c r="S177" s="5">
        <v>11847</v>
      </c>
      <c r="T177" s="5">
        <v>0</v>
      </c>
      <c r="U177" s="5">
        <v>0</v>
      </c>
      <c r="V177" s="5">
        <v>0</v>
      </c>
      <c r="W177" s="5">
        <v>1</v>
      </c>
      <c r="X177" s="114">
        <v>4619.5509283756292</v>
      </c>
      <c r="Y177" s="114">
        <v>76.93604973957342</v>
      </c>
      <c r="Z177" s="114">
        <v>-7707.4490716243708</v>
      </c>
      <c r="AA177" s="166">
        <v>19956.46</v>
      </c>
      <c r="AB177" s="166">
        <v>51183.360000000001</v>
      </c>
      <c r="AC177" s="167">
        <v>2.6684411950696987</v>
      </c>
      <c r="AD177" s="168"/>
      <c r="AE177" s="168" t="s">
        <v>574</v>
      </c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86" t="s">
        <v>1</v>
      </c>
      <c r="BJ177" s="185"/>
    </row>
    <row r="178" spans="1:62" ht="12.75" customHeight="1" x14ac:dyDescent="0.35">
      <c r="A178" s="105"/>
      <c r="B178" s="163" t="s">
        <v>21</v>
      </c>
      <c r="C178" s="5" t="s">
        <v>5</v>
      </c>
      <c r="D178" s="5" t="s">
        <v>308</v>
      </c>
      <c r="E178" s="5" t="s">
        <v>395</v>
      </c>
      <c r="F178" s="55">
        <v>1069936</v>
      </c>
      <c r="G178" s="64" t="s">
        <v>610</v>
      </c>
      <c r="H178" s="164">
        <v>255.069321854912</v>
      </c>
      <c r="I178" s="164">
        <v>48.463171152433283</v>
      </c>
      <c r="J178" s="114">
        <v>0</v>
      </c>
      <c r="K178" s="114">
        <v>7</v>
      </c>
      <c r="L178" s="165">
        <v>1.33</v>
      </c>
      <c r="M178" s="115">
        <v>2.7443519859992122E-2</v>
      </c>
      <c r="N178" s="165">
        <v>47.133171152433285</v>
      </c>
      <c r="O178" s="165">
        <v>0</v>
      </c>
      <c r="P178" s="115">
        <v>2.3405401937736139</v>
      </c>
      <c r="Q178" s="5">
        <v>676</v>
      </c>
      <c r="R178" s="5">
        <v>0</v>
      </c>
      <c r="S178" s="5">
        <v>676</v>
      </c>
      <c r="T178" s="5">
        <v>0</v>
      </c>
      <c r="U178" s="5">
        <v>0</v>
      </c>
      <c r="V178" s="5">
        <v>0</v>
      </c>
      <c r="W178" s="5">
        <v>0</v>
      </c>
      <c r="X178" s="114">
        <v>255.069321854912</v>
      </c>
      <c r="Y178" s="114">
        <v>79.50779753723431</v>
      </c>
      <c r="Z178" s="114">
        <v>-427.930678145088</v>
      </c>
      <c r="AA178" s="166">
        <v>2083.92</v>
      </c>
      <c r="AB178" s="166">
        <v>5522.92</v>
      </c>
      <c r="AC178" s="167">
        <v>2.6777034377678026</v>
      </c>
      <c r="AD178" s="168"/>
      <c r="AE178" s="168">
        <v>33.495568685376661</v>
      </c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86" t="s">
        <v>1</v>
      </c>
      <c r="BJ178" s="185"/>
    </row>
    <row r="179" spans="1:62" x14ac:dyDescent="0.35">
      <c r="A179" s="105"/>
      <c r="B179" s="163" t="s">
        <v>9</v>
      </c>
      <c r="C179" s="5" t="s">
        <v>5</v>
      </c>
      <c r="D179" s="5" t="s">
        <v>308</v>
      </c>
      <c r="E179" s="5" t="s">
        <v>315</v>
      </c>
      <c r="F179" s="120">
        <v>1080402</v>
      </c>
      <c r="G179" s="121" t="s">
        <v>742</v>
      </c>
      <c r="H179" s="164">
        <v>4878.6758260354336</v>
      </c>
      <c r="I179" s="164">
        <v>975.73516520708677</v>
      </c>
      <c r="J179" s="114">
        <v>0</v>
      </c>
      <c r="K179" s="114">
        <v>106</v>
      </c>
      <c r="L179" s="165">
        <v>21.200000000000003</v>
      </c>
      <c r="M179" s="115">
        <v>3.320573159123924E-2</v>
      </c>
      <c r="N179" s="165">
        <v>954.53516520708672</v>
      </c>
      <c r="O179" s="165">
        <v>0</v>
      </c>
      <c r="P179" s="115">
        <v>0.26668117366311922</v>
      </c>
      <c r="Q179" s="5">
        <v>13405</v>
      </c>
      <c r="R179" s="5">
        <v>56</v>
      </c>
      <c r="S179" s="5">
        <v>13349</v>
      </c>
      <c r="T179" s="5">
        <v>0</v>
      </c>
      <c r="U179" s="5">
        <v>0</v>
      </c>
      <c r="V179" s="5">
        <v>0</v>
      </c>
      <c r="W179" s="5">
        <v>0</v>
      </c>
      <c r="X179" s="114">
        <v>4878.6758260354336</v>
      </c>
      <c r="Y179" s="114">
        <v>82.0857983354542</v>
      </c>
      <c r="Z179" s="114">
        <v>-8632.3241739645673</v>
      </c>
      <c r="AA179" s="166">
        <v>31760.18</v>
      </c>
      <c r="AB179" s="166">
        <v>86901.99</v>
      </c>
      <c r="AC179" s="167">
        <v>2.7693990094397125</v>
      </c>
      <c r="AD179" s="168"/>
      <c r="AE179" s="168"/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84"/>
      <c r="BJ179" s="185"/>
    </row>
    <row r="180" spans="1:62" ht="12.75" customHeight="1" x14ac:dyDescent="0.35">
      <c r="A180" s="105"/>
      <c r="B180" s="163" t="s">
        <v>27</v>
      </c>
      <c r="C180" s="5" t="s">
        <v>5</v>
      </c>
      <c r="D180" s="5" t="s">
        <v>312</v>
      </c>
      <c r="E180" s="5" t="s">
        <v>319</v>
      </c>
      <c r="F180" s="5">
        <v>1030816</v>
      </c>
      <c r="G180" s="7" t="s">
        <v>61</v>
      </c>
      <c r="H180" s="164">
        <v>2500</v>
      </c>
      <c r="I180" s="164">
        <v>480</v>
      </c>
      <c r="J180" s="114">
        <v>0</v>
      </c>
      <c r="K180" s="114">
        <v>144</v>
      </c>
      <c r="L180" s="165">
        <v>27.648</v>
      </c>
      <c r="M180" s="115">
        <v>5.7599999999999998E-2</v>
      </c>
      <c r="N180" s="165">
        <v>452.35199999999998</v>
      </c>
      <c r="O180" s="165">
        <v>0.33600000000000296</v>
      </c>
      <c r="P180" s="115">
        <v>1.1200000000000001</v>
      </c>
      <c r="Q180" s="5">
        <v>7328</v>
      </c>
      <c r="R180" s="5">
        <v>0</v>
      </c>
      <c r="S180" s="5">
        <v>7328</v>
      </c>
      <c r="T180" s="5">
        <v>0</v>
      </c>
      <c r="U180" s="5">
        <v>0</v>
      </c>
      <c r="V180" s="5">
        <v>0</v>
      </c>
      <c r="W180" s="5">
        <v>0</v>
      </c>
      <c r="X180" s="114">
        <v>2500</v>
      </c>
      <c r="Y180" s="114">
        <v>87.936000000000007</v>
      </c>
      <c r="Z180" s="114">
        <v>-4972</v>
      </c>
      <c r="AA180" s="166">
        <v>5600</v>
      </c>
      <c r="AB180" s="166">
        <v>16414.72</v>
      </c>
      <c r="AC180" s="167">
        <v>2.9887999999999999</v>
      </c>
      <c r="AD180" s="168"/>
      <c r="AE180" s="168"/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86"/>
      <c r="BJ180" s="185"/>
    </row>
    <row r="181" spans="1:62" ht="12.75" customHeight="1" x14ac:dyDescent="0.35">
      <c r="A181" s="105"/>
      <c r="B181" s="163" t="s">
        <v>15</v>
      </c>
      <c r="C181" s="5" t="s">
        <v>5</v>
      </c>
      <c r="D181" s="5" t="s">
        <v>308</v>
      </c>
      <c r="E181" s="5" t="s">
        <v>315</v>
      </c>
      <c r="F181" s="5">
        <v>1078734</v>
      </c>
      <c r="G181" s="7" t="s">
        <v>707</v>
      </c>
      <c r="H181" s="164">
        <v>571.18035853958872</v>
      </c>
      <c r="I181" s="164">
        <v>138.22564676658047</v>
      </c>
      <c r="J181" s="114">
        <v>0</v>
      </c>
      <c r="K181" s="114">
        <v>0</v>
      </c>
      <c r="L181" s="165">
        <v>0</v>
      </c>
      <c r="M181" s="115">
        <v>0</v>
      </c>
      <c r="N181" s="165">
        <v>138.22564676658047</v>
      </c>
      <c r="O181" s="165">
        <v>0</v>
      </c>
      <c r="P181" s="115">
        <v>0.54971845854882051</v>
      </c>
      <c r="Q181" s="5">
        <v>1748</v>
      </c>
      <c r="R181" s="5">
        <v>0</v>
      </c>
      <c r="S181" s="5">
        <v>1748</v>
      </c>
      <c r="T181" s="5">
        <v>0</v>
      </c>
      <c r="U181" s="5">
        <v>0</v>
      </c>
      <c r="V181" s="5">
        <v>0</v>
      </c>
      <c r="W181" s="5">
        <v>0</v>
      </c>
      <c r="X181" s="114">
        <v>571.18035853958872</v>
      </c>
      <c r="Y181" s="114">
        <v>91.809879692082177</v>
      </c>
      <c r="Z181" s="114">
        <v>-1176.8196414604113</v>
      </c>
      <c r="AA181" s="166">
        <v>2427.52</v>
      </c>
      <c r="AB181" s="166">
        <v>7429</v>
      </c>
      <c r="AC181" s="167">
        <v>3.0603293230694057</v>
      </c>
      <c r="AD181" s="168"/>
      <c r="AE181" s="168"/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86" t="s">
        <v>1</v>
      </c>
      <c r="BJ181" s="185"/>
    </row>
    <row r="182" spans="1:62" ht="14.5" x14ac:dyDescent="0.35">
      <c r="A182" s="105"/>
      <c r="B182" s="163" t="s">
        <v>27</v>
      </c>
      <c r="C182" s="5" t="s">
        <v>5</v>
      </c>
      <c r="D182" s="5" t="s">
        <v>312</v>
      </c>
      <c r="E182" s="5" t="s">
        <v>319</v>
      </c>
      <c r="F182" s="137">
        <v>1079532</v>
      </c>
      <c r="G182" s="138" t="s">
        <v>804</v>
      </c>
      <c r="H182" s="164">
        <v>2700</v>
      </c>
      <c r="I182" s="164">
        <v>518.4</v>
      </c>
      <c r="J182" s="114">
        <v>0</v>
      </c>
      <c r="K182" s="114">
        <v>16</v>
      </c>
      <c r="L182" s="165">
        <v>3.0720000000000001</v>
      </c>
      <c r="M182" s="115">
        <v>5.9259259259259256E-3</v>
      </c>
      <c r="N182" s="165">
        <v>515.32799999999997</v>
      </c>
      <c r="O182" s="165">
        <v>0</v>
      </c>
      <c r="P182" s="115">
        <v>0.39407407407407408</v>
      </c>
      <c r="Q182" s="5">
        <v>8580</v>
      </c>
      <c r="R182" s="5">
        <v>0</v>
      </c>
      <c r="S182" s="5">
        <v>8580</v>
      </c>
      <c r="T182" s="5">
        <v>0</v>
      </c>
      <c r="U182" s="5">
        <v>0</v>
      </c>
      <c r="V182" s="5">
        <v>0</v>
      </c>
      <c r="W182" s="5">
        <v>0</v>
      </c>
      <c r="X182" s="114">
        <v>2700</v>
      </c>
      <c r="Y182" s="114">
        <v>95.333333333333329</v>
      </c>
      <c r="Z182" s="114">
        <v>-5896</v>
      </c>
      <c r="AA182" s="166">
        <v>6102</v>
      </c>
      <c r="AB182" s="166">
        <v>19390.8</v>
      </c>
      <c r="AC182" s="167">
        <v>3.1837037037037037</v>
      </c>
      <c r="AD182" s="168"/>
      <c r="AE182" s="168">
        <v>29.223956228478066</v>
      </c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86" t="s">
        <v>1</v>
      </c>
      <c r="BJ182" s="185"/>
    </row>
    <row r="183" spans="1:62" x14ac:dyDescent="0.35">
      <c r="A183" s="105"/>
      <c r="B183" s="163" t="s">
        <v>1</v>
      </c>
      <c r="C183" s="5" t="s">
        <v>24</v>
      </c>
      <c r="D183" s="5" t="s">
        <v>316</v>
      </c>
      <c r="E183" s="5" t="s">
        <v>317</v>
      </c>
      <c r="F183" s="5">
        <v>1034632</v>
      </c>
      <c r="G183" s="7" t="s">
        <v>57</v>
      </c>
      <c r="H183" s="164">
        <v>3825.2610732163466</v>
      </c>
      <c r="I183" s="164">
        <v>650.29438244677897</v>
      </c>
      <c r="J183" s="114">
        <v>0</v>
      </c>
      <c r="K183" s="114">
        <v>170</v>
      </c>
      <c r="L183" s="165">
        <v>28.900000000000002</v>
      </c>
      <c r="M183" s="115">
        <v>6.3002235765665784E-2</v>
      </c>
      <c r="N183" s="165">
        <v>621.39438244677899</v>
      </c>
      <c r="O183" s="165">
        <v>0</v>
      </c>
      <c r="P183" s="115">
        <v>0.6683210256045673</v>
      </c>
      <c r="Q183" s="5">
        <v>12662</v>
      </c>
      <c r="R183" s="5">
        <v>71</v>
      </c>
      <c r="S183" s="5">
        <v>12591</v>
      </c>
      <c r="T183" s="5">
        <v>0</v>
      </c>
      <c r="U183" s="5">
        <v>0</v>
      </c>
      <c r="V183" s="5">
        <v>0</v>
      </c>
      <c r="W183" s="5">
        <v>0</v>
      </c>
      <c r="X183" s="114">
        <v>3825.2610732163466</v>
      </c>
      <c r="Y183" s="114">
        <v>98.746201310227946</v>
      </c>
      <c r="Z183" s="114">
        <v>-9006.7389267836534</v>
      </c>
      <c r="AA183" s="166">
        <v>40203.49</v>
      </c>
      <c r="AB183" s="166">
        <v>132331.41</v>
      </c>
      <c r="AC183" s="167">
        <v>3.3545422794399311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86"/>
      <c r="BJ183" s="185"/>
    </row>
    <row r="184" spans="1:62" ht="12.75" customHeight="1" x14ac:dyDescent="0.35">
      <c r="A184" s="105"/>
      <c r="B184" s="163" t="s">
        <v>1</v>
      </c>
      <c r="C184" s="5" t="s">
        <v>2</v>
      </c>
      <c r="D184" s="5" t="s">
        <v>306</v>
      </c>
      <c r="E184" s="5" t="s">
        <v>401</v>
      </c>
      <c r="F184" s="5">
        <v>1077615</v>
      </c>
      <c r="G184" s="7" t="s">
        <v>725</v>
      </c>
      <c r="H184" s="164">
        <v>2677.2957743228999</v>
      </c>
      <c r="I184" s="164">
        <v>1472.512675877595</v>
      </c>
      <c r="J184" s="114">
        <v>0</v>
      </c>
      <c r="K184" s="114">
        <v>72</v>
      </c>
      <c r="L184" s="165">
        <v>39.6</v>
      </c>
      <c r="M184" s="115">
        <v>6.7232018862586382E-2</v>
      </c>
      <c r="N184" s="165">
        <v>1432.9126758775951</v>
      </c>
      <c r="O184" s="165">
        <v>17.869197430161496</v>
      </c>
      <c r="P184" s="115">
        <v>2.17</v>
      </c>
      <c r="Q184" s="5">
        <v>9672</v>
      </c>
      <c r="R184" s="5">
        <v>108</v>
      </c>
      <c r="S184" s="5">
        <v>9564</v>
      </c>
      <c r="T184" s="5">
        <v>0</v>
      </c>
      <c r="U184" s="5">
        <v>0</v>
      </c>
      <c r="V184" s="5">
        <v>0</v>
      </c>
      <c r="W184" s="5">
        <v>12</v>
      </c>
      <c r="X184" s="114">
        <v>2677.2957743228999</v>
      </c>
      <c r="Y184" s="114">
        <v>107.16783806696269</v>
      </c>
      <c r="Z184" s="114">
        <v>-7066.7042256771001</v>
      </c>
      <c r="AA184" s="166">
        <v>17027.599999999999</v>
      </c>
      <c r="AB184" s="166">
        <v>60903.360000000001</v>
      </c>
      <c r="AC184" s="167">
        <v>3.6394932877613426</v>
      </c>
      <c r="AD184" s="168"/>
      <c r="AE184" s="168">
        <v>25.413523318326849</v>
      </c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86" t="s">
        <v>1</v>
      </c>
      <c r="BJ184" s="185"/>
    </row>
    <row r="185" spans="1:62" ht="12.75" customHeight="1" x14ac:dyDescent="0.35">
      <c r="A185" s="105"/>
      <c r="B185" s="163" t="s">
        <v>31</v>
      </c>
      <c r="C185" s="5" t="s">
        <v>5</v>
      </c>
      <c r="D185" s="5" t="s">
        <v>396</v>
      </c>
      <c r="E185" s="5" t="s">
        <v>397</v>
      </c>
      <c r="F185" s="5">
        <v>1071794</v>
      </c>
      <c r="G185" s="7" t="s">
        <v>660</v>
      </c>
      <c r="H185" s="164">
        <v>368.01306084017551</v>
      </c>
      <c r="I185" s="164">
        <v>184.00653042008776</v>
      </c>
      <c r="J185" s="114">
        <v>0</v>
      </c>
      <c r="K185" s="114">
        <v>-7</v>
      </c>
      <c r="L185" s="165">
        <v>-3.5</v>
      </c>
      <c r="M185" s="115">
        <v>-1.902106404598513E-2</v>
      </c>
      <c r="N185" s="165">
        <v>187.50653042008776</v>
      </c>
      <c r="O185" s="165">
        <v>10.107272188391498</v>
      </c>
      <c r="P185" s="115">
        <v>2.1558640029856919</v>
      </c>
      <c r="Q185" s="5">
        <v>1367</v>
      </c>
      <c r="R185" s="5">
        <v>0</v>
      </c>
      <c r="S185" s="5">
        <v>1367</v>
      </c>
      <c r="T185" s="5">
        <v>0</v>
      </c>
      <c r="U185" s="5">
        <v>0</v>
      </c>
      <c r="V185" s="5">
        <v>0</v>
      </c>
      <c r="W185" s="5">
        <v>0</v>
      </c>
      <c r="X185" s="114">
        <v>368.01306084017551</v>
      </c>
      <c r="Y185" s="114">
        <v>111.43626236083574</v>
      </c>
      <c r="Z185" s="114">
        <v>-991.98693915982449</v>
      </c>
      <c r="AA185" s="166">
        <v>2498.81</v>
      </c>
      <c r="AB185" s="166">
        <v>9281.93</v>
      </c>
      <c r="AC185" s="167">
        <v>3.6955210146485391</v>
      </c>
      <c r="AD185" s="168"/>
      <c r="AE185" s="168"/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86"/>
      <c r="BJ185" s="185"/>
    </row>
    <row r="186" spans="1:62" ht="12.75" customHeight="1" x14ac:dyDescent="0.35">
      <c r="A186" s="105"/>
      <c r="B186" s="163" t="s">
        <v>148</v>
      </c>
      <c r="C186" s="5" t="s">
        <v>5</v>
      </c>
      <c r="D186" s="5" t="s">
        <v>318</v>
      </c>
      <c r="E186" s="5" t="s">
        <v>319</v>
      </c>
      <c r="F186" s="112">
        <v>1065299</v>
      </c>
      <c r="G186" s="113" t="s">
        <v>506</v>
      </c>
      <c r="H186" s="164">
        <v>145825</v>
      </c>
      <c r="I186" s="164">
        <v>116660</v>
      </c>
      <c r="J186" s="114">
        <v>0</v>
      </c>
      <c r="K186" s="114">
        <v>0</v>
      </c>
      <c r="L186" s="165">
        <v>0</v>
      </c>
      <c r="M186" s="115">
        <v>0</v>
      </c>
      <c r="N186" s="165">
        <v>116660</v>
      </c>
      <c r="O186" s="165">
        <v>0.87742156694668116</v>
      </c>
      <c r="P186" s="115">
        <v>0.93767570877013229</v>
      </c>
      <c r="Q186" s="5">
        <v>557394</v>
      </c>
      <c r="R186" s="5">
        <v>0</v>
      </c>
      <c r="S186" s="5">
        <v>557394</v>
      </c>
      <c r="T186" s="5">
        <v>0</v>
      </c>
      <c r="U186" s="5">
        <v>0</v>
      </c>
      <c r="V186" s="5">
        <v>0</v>
      </c>
      <c r="W186" s="5">
        <v>0</v>
      </c>
      <c r="X186" s="114">
        <v>145825</v>
      </c>
      <c r="Y186" s="114">
        <v>114.67046116920967</v>
      </c>
      <c r="Z186" s="114">
        <v>-411569</v>
      </c>
      <c r="AA186" s="166">
        <v>1067439</v>
      </c>
      <c r="AB186" s="166">
        <v>4080124.08</v>
      </c>
      <c r="AC186" s="167">
        <v>3.8223487056403225</v>
      </c>
      <c r="AD186" s="168"/>
      <c r="AE186" s="168"/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86" t="s">
        <v>1</v>
      </c>
      <c r="BJ186" s="185"/>
    </row>
    <row r="187" spans="1:62" ht="12.75" customHeight="1" x14ac:dyDescent="0.35">
      <c r="A187" s="105"/>
      <c r="B187" s="163" t="s">
        <v>21</v>
      </c>
      <c r="C187" s="5" t="s">
        <v>5</v>
      </c>
      <c r="D187" s="5" t="s">
        <v>308</v>
      </c>
      <c r="E187" s="5" t="s">
        <v>395</v>
      </c>
      <c r="F187" s="5">
        <v>1069938</v>
      </c>
      <c r="G187" s="7" t="s">
        <v>567</v>
      </c>
      <c r="H187" s="164">
        <v>1065.4557589531519</v>
      </c>
      <c r="I187" s="164">
        <v>202.43659420109887</v>
      </c>
      <c r="J187" s="114">
        <v>0</v>
      </c>
      <c r="K187" s="114">
        <v>68</v>
      </c>
      <c r="L187" s="165">
        <v>12.92</v>
      </c>
      <c r="M187" s="115">
        <v>9.1979417424416079E-2</v>
      </c>
      <c r="N187" s="165">
        <v>189.51659420109888</v>
      </c>
      <c r="O187" s="165">
        <v>0</v>
      </c>
      <c r="P187" s="115">
        <v>1.3360634617101308</v>
      </c>
      <c r="Q187" s="5">
        <v>4155</v>
      </c>
      <c r="R187" s="5">
        <v>30</v>
      </c>
      <c r="S187" s="5">
        <v>4125</v>
      </c>
      <c r="T187" s="5">
        <v>0</v>
      </c>
      <c r="U187" s="5">
        <v>30</v>
      </c>
      <c r="V187" s="5">
        <v>0</v>
      </c>
      <c r="W187" s="5">
        <v>0</v>
      </c>
      <c r="X187" s="114">
        <v>1065.4557589531519</v>
      </c>
      <c r="Y187" s="114">
        <v>116.14747863542337</v>
      </c>
      <c r="Z187" s="114">
        <v>-3157.5442410468481</v>
      </c>
      <c r="AA187" s="166">
        <v>8385.14</v>
      </c>
      <c r="AB187" s="166">
        <v>32699.85</v>
      </c>
      <c r="AC187" s="167">
        <v>3.9635620386051951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84"/>
      <c r="BJ187" s="185"/>
    </row>
    <row r="188" spans="1:62" ht="12.75" customHeight="1" x14ac:dyDescent="0.35">
      <c r="A188" s="105"/>
      <c r="B188" s="163">
        <v>0</v>
      </c>
      <c r="C188" s="5" t="s">
        <v>2</v>
      </c>
      <c r="D188" s="5" t="s">
        <v>308</v>
      </c>
      <c r="E188" s="5" t="s">
        <v>395</v>
      </c>
      <c r="F188" s="160">
        <v>1080732</v>
      </c>
      <c r="G188" s="162" t="s">
        <v>787</v>
      </c>
      <c r="H188" s="164">
        <v>1320</v>
      </c>
      <c r="I188" s="164">
        <v>123.42</v>
      </c>
      <c r="J188" s="114">
        <v>0</v>
      </c>
      <c r="K188" s="114">
        <v>0</v>
      </c>
      <c r="L188" s="165">
        <v>0</v>
      </c>
      <c r="M188" s="115">
        <v>0</v>
      </c>
      <c r="N188" s="165">
        <v>123.42</v>
      </c>
      <c r="O188" s="165">
        <v>0</v>
      </c>
      <c r="P188" s="115">
        <v>-0.1950509461426492</v>
      </c>
      <c r="Q188" s="5">
        <v>5112</v>
      </c>
      <c r="R188" s="5">
        <v>0</v>
      </c>
      <c r="S188" s="5">
        <v>5112</v>
      </c>
      <c r="T188" s="5">
        <v>0</v>
      </c>
      <c r="U188" s="5">
        <v>0</v>
      </c>
      <c r="V188" s="5">
        <v>0</v>
      </c>
      <c r="W188" s="5">
        <v>0</v>
      </c>
      <c r="X188" s="114">
        <v>1320</v>
      </c>
      <c r="Y188" s="114">
        <v>116.18181818181817</v>
      </c>
      <c r="Z188" s="114">
        <v>-3792</v>
      </c>
      <c r="AA188" s="166">
        <v>14493.6</v>
      </c>
      <c r="AB188" s="166">
        <v>56129.760000000002</v>
      </c>
      <c r="AC188" s="167">
        <v>3.8727272727272726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84" t="s">
        <v>1</v>
      </c>
      <c r="BJ188" s="169"/>
    </row>
    <row r="189" spans="1:62" ht="12.75" customHeight="1" x14ac:dyDescent="0.35">
      <c r="A189" s="105"/>
      <c r="B189" s="163">
        <v>0</v>
      </c>
      <c r="C189" s="5" t="s">
        <v>2</v>
      </c>
      <c r="D189" s="5" t="s">
        <v>308</v>
      </c>
      <c r="E189" s="5" t="s">
        <v>395</v>
      </c>
      <c r="F189" s="160">
        <v>1080731</v>
      </c>
      <c r="G189" s="162" t="s">
        <v>786</v>
      </c>
      <c r="H189" s="164">
        <v>5690.000500000001</v>
      </c>
      <c r="I189" s="164">
        <v>464.87304085000005</v>
      </c>
      <c r="J189" s="114">
        <v>0</v>
      </c>
      <c r="K189" s="114">
        <v>0</v>
      </c>
      <c r="L189" s="165">
        <v>0</v>
      </c>
      <c r="M189" s="115">
        <v>0</v>
      </c>
      <c r="N189" s="165">
        <v>464.87304085000005</v>
      </c>
      <c r="O189" s="165">
        <v>0</v>
      </c>
      <c r="P189" s="115">
        <v>9.7912159977526267E-2</v>
      </c>
      <c r="Q189" s="5">
        <v>23648</v>
      </c>
      <c r="R189" s="5">
        <v>0</v>
      </c>
      <c r="S189" s="5">
        <v>23648</v>
      </c>
      <c r="T189" s="5">
        <v>0</v>
      </c>
      <c r="U189" s="5">
        <v>0</v>
      </c>
      <c r="V189" s="5">
        <v>0</v>
      </c>
      <c r="W189" s="5">
        <v>11</v>
      </c>
      <c r="X189" s="114">
        <v>5690.0005000000001</v>
      </c>
      <c r="Y189" s="114">
        <v>124.68188711055474</v>
      </c>
      <c r="Z189" s="114">
        <v>-17957.999499999998</v>
      </c>
      <c r="AA189" s="166">
        <v>70612.91</v>
      </c>
      <c r="AB189" s="166">
        <v>293608.19</v>
      </c>
      <c r="AC189" s="167">
        <v>4.1560629036851573</v>
      </c>
      <c r="AD189" s="168"/>
      <c r="AE189" s="168"/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84" t="s">
        <v>1</v>
      </c>
      <c r="BJ189" s="169"/>
    </row>
    <row r="190" spans="1:62" ht="12.75" customHeight="1" x14ac:dyDescent="0.35">
      <c r="A190" s="105"/>
      <c r="B190" s="163" t="s">
        <v>1</v>
      </c>
      <c r="C190" s="5" t="s">
        <v>50</v>
      </c>
      <c r="D190" s="5" t="s">
        <v>320</v>
      </c>
      <c r="E190" s="5" t="s">
        <v>402</v>
      </c>
      <c r="F190" s="120">
        <v>1060961</v>
      </c>
      <c r="G190" s="121" t="s">
        <v>726</v>
      </c>
      <c r="H190" s="164">
        <v>9190.2774808386876</v>
      </c>
      <c r="I190" s="164">
        <v>1654.2499465509636</v>
      </c>
      <c r="J190" s="114">
        <v>0</v>
      </c>
      <c r="K190" s="114">
        <v>320</v>
      </c>
      <c r="L190" s="165">
        <v>57.599999999999994</v>
      </c>
      <c r="M190" s="115">
        <v>3.5145837617355992E-2</v>
      </c>
      <c r="N190" s="165">
        <v>1596.6499465509637</v>
      </c>
      <c r="O190" s="165">
        <v>0</v>
      </c>
      <c r="P190" s="115">
        <v>0.41532201498262467</v>
      </c>
      <c r="Q190" s="5">
        <v>40824</v>
      </c>
      <c r="R190" s="5">
        <v>3</v>
      </c>
      <c r="S190" s="5">
        <v>40821</v>
      </c>
      <c r="T190" s="5">
        <v>0</v>
      </c>
      <c r="U190" s="5">
        <v>0</v>
      </c>
      <c r="V190" s="5">
        <v>0</v>
      </c>
      <c r="W190" s="5">
        <v>0</v>
      </c>
      <c r="X190" s="114">
        <v>9190.2774808386876</v>
      </c>
      <c r="Y190" s="114">
        <v>133.25277746545717</v>
      </c>
      <c r="Z190" s="114">
        <v>-31953.722519161311</v>
      </c>
      <c r="AA190" s="166">
        <v>62677.69</v>
      </c>
      <c r="AB190" s="166">
        <v>278399.21999999997</v>
      </c>
      <c r="AC190" s="167">
        <v>4.4769050864659281</v>
      </c>
      <c r="AD190" s="168"/>
      <c r="AE190" s="168"/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86"/>
      <c r="BJ190" s="185"/>
    </row>
    <row r="191" spans="1:62" ht="12.75" customHeight="1" x14ac:dyDescent="0.35">
      <c r="A191" s="105"/>
      <c r="B191" s="163" t="s">
        <v>1</v>
      </c>
      <c r="C191" s="5" t="s">
        <v>2</v>
      </c>
      <c r="D191" s="5" t="s">
        <v>310</v>
      </c>
      <c r="E191" s="5" t="s">
        <v>311</v>
      </c>
      <c r="F191" s="122">
        <v>1068294</v>
      </c>
      <c r="G191" s="123" t="s">
        <v>565</v>
      </c>
      <c r="H191" s="164">
        <v>728.1032508723456</v>
      </c>
      <c r="I191" s="164">
        <v>109.21548763085184</v>
      </c>
      <c r="J191" s="114">
        <v>0</v>
      </c>
      <c r="K191" s="114">
        <v>21</v>
      </c>
      <c r="L191" s="165">
        <v>3.15</v>
      </c>
      <c r="M191" s="115">
        <v>2.8842063230509894E-2</v>
      </c>
      <c r="N191" s="165">
        <v>106.06548763085183</v>
      </c>
      <c r="O191" s="165">
        <v>49.933718095984567</v>
      </c>
      <c r="P191" s="115">
        <v>2.6961398295143773</v>
      </c>
      <c r="Q191" s="5">
        <v>3252</v>
      </c>
      <c r="R191" s="5">
        <v>0</v>
      </c>
      <c r="S191" s="5">
        <v>3252</v>
      </c>
      <c r="T191" s="5">
        <v>0</v>
      </c>
      <c r="U191" s="5">
        <v>0</v>
      </c>
      <c r="V191" s="5">
        <v>0</v>
      </c>
      <c r="W191" s="5">
        <v>0</v>
      </c>
      <c r="X191" s="114">
        <v>728.10325087234548</v>
      </c>
      <c r="Y191" s="114">
        <v>133.99198517945456</v>
      </c>
      <c r="Z191" s="114">
        <v>-2544.8967491276544</v>
      </c>
      <c r="AA191" s="166">
        <v>1485.33</v>
      </c>
      <c r="AB191" s="166">
        <v>6634.08</v>
      </c>
      <c r="AC191" s="167">
        <v>4.495241569212328</v>
      </c>
      <c r="AD191" s="168"/>
      <c r="AE191" s="168">
        <v>16.66190502303137</v>
      </c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86" t="s">
        <v>1</v>
      </c>
      <c r="BJ191" s="185"/>
    </row>
    <row r="192" spans="1:62" ht="12.75" customHeight="1" x14ac:dyDescent="0.35">
      <c r="A192" s="105"/>
      <c r="B192" s="163" t="s">
        <v>1</v>
      </c>
      <c r="C192" s="5" t="s">
        <v>2</v>
      </c>
      <c r="D192" s="5" t="s">
        <v>310</v>
      </c>
      <c r="E192" s="5" t="s">
        <v>311</v>
      </c>
      <c r="F192" s="5">
        <v>1080400</v>
      </c>
      <c r="G192" s="7" t="s">
        <v>753</v>
      </c>
      <c r="H192" s="164">
        <v>3133.2</v>
      </c>
      <c r="I192" s="164">
        <v>0</v>
      </c>
      <c r="J192" s="114">
        <v>0</v>
      </c>
      <c r="K192" s="114">
        <v>145</v>
      </c>
      <c r="L192" s="165">
        <v>0</v>
      </c>
      <c r="M192" s="115">
        <v>8.7450529809779146E-2</v>
      </c>
      <c r="N192" s="165">
        <v>0</v>
      </c>
      <c r="O192" s="165">
        <v>0</v>
      </c>
      <c r="P192" s="115">
        <v>0.51011940808663159</v>
      </c>
      <c r="Q192" s="5">
        <v>14499</v>
      </c>
      <c r="R192" s="5">
        <v>129</v>
      </c>
      <c r="S192" s="5">
        <v>14370</v>
      </c>
      <c r="T192" s="5">
        <v>0</v>
      </c>
      <c r="U192" s="5">
        <v>7</v>
      </c>
      <c r="V192" s="5">
        <v>0</v>
      </c>
      <c r="W192" s="5">
        <v>4140</v>
      </c>
      <c r="X192" s="114">
        <v>3133.2</v>
      </c>
      <c r="Y192" s="114">
        <v>137.59096131750289</v>
      </c>
      <c r="Z192" s="114">
        <v>-11510.8</v>
      </c>
      <c r="AA192" s="166">
        <v>21587.75</v>
      </c>
      <c r="AB192" s="166">
        <v>127582.13</v>
      </c>
      <c r="AC192" s="167">
        <v>4.6738159070598755</v>
      </c>
      <c r="AD192" s="168"/>
      <c r="AE192" s="168"/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84"/>
      <c r="BJ192" s="185"/>
    </row>
    <row r="193" spans="1:62" ht="12.75" customHeight="1" x14ac:dyDescent="0.35">
      <c r="A193" s="105"/>
      <c r="B193" s="163" t="s">
        <v>1</v>
      </c>
      <c r="C193" s="5" t="s">
        <v>2</v>
      </c>
      <c r="D193" s="5" t="s">
        <v>396</v>
      </c>
      <c r="E193" s="5" t="s">
        <v>397</v>
      </c>
      <c r="F193" s="5">
        <v>1043305</v>
      </c>
      <c r="G193" s="7" t="s">
        <v>128</v>
      </c>
      <c r="H193" s="164">
        <v>2053.023340704045</v>
      </c>
      <c r="I193" s="164">
        <v>2053.023340704045</v>
      </c>
      <c r="J193" s="114">
        <v>0</v>
      </c>
      <c r="K193" s="114">
        <v>110</v>
      </c>
      <c r="L193" s="165">
        <v>110</v>
      </c>
      <c r="M193" s="115">
        <v>0.20214090691130851</v>
      </c>
      <c r="N193" s="165">
        <v>1943.023340704045</v>
      </c>
      <c r="O193" s="165">
        <v>0</v>
      </c>
      <c r="P193" s="115">
        <v>0.36368153197935904</v>
      </c>
      <c r="Q193" s="5">
        <v>15813</v>
      </c>
      <c r="R193" s="5">
        <v>305</v>
      </c>
      <c r="S193" s="5">
        <v>15508</v>
      </c>
      <c r="T193" s="5">
        <v>0</v>
      </c>
      <c r="U193" s="5">
        <v>0</v>
      </c>
      <c r="V193" s="5">
        <v>0</v>
      </c>
      <c r="W193" s="5">
        <v>0</v>
      </c>
      <c r="X193" s="114">
        <v>3320</v>
      </c>
      <c r="Y193" s="114">
        <v>140.13253012048193</v>
      </c>
      <c r="Z193" s="114">
        <v>-13869.976659295955</v>
      </c>
      <c r="AA193" s="166">
        <v>61344.34</v>
      </c>
      <c r="AB193" s="166">
        <v>463379.04</v>
      </c>
      <c r="AC193" s="167">
        <v>7.7558787005994354</v>
      </c>
      <c r="AD193" s="168"/>
      <c r="AE193" s="168">
        <v>75.108571428571437</v>
      </c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86" t="s">
        <v>1</v>
      </c>
      <c r="BJ193" s="185"/>
    </row>
    <row r="194" spans="1:62" ht="12.75" customHeight="1" x14ac:dyDescent="0.35">
      <c r="A194" s="105"/>
      <c r="B194" s="163" t="s">
        <v>1</v>
      </c>
      <c r="C194" s="5" t="s">
        <v>24</v>
      </c>
      <c r="D194" s="5" t="s">
        <v>316</v>
      </c>
      <c r="E194" s="5" t="s">
        <v>317</v>
      </c>
      <c r="F194" s="5">
        <v>1059902</v>
      </c>
      <c r="G194" s="7" t="s">
        <v>766</v>
      </c>
      <c r="H194" s="164">
        <v>1521.2947518924948</v>
      </c>
      <c r="I194" s="164">
        <v>76.064737594624745</v>
      </c>
      <c r="J194" s="114">
        <v>0</v>
      </c>
      <c r="K194" s="114">
        <v>0</v>
      </c>
      <c r="L194" s="165">
        <v>0</v>
      </c>
      <c r="M194" s="115">
        <v>3.9440088730576268E-3</v>
      </c>
      <c r="N194" s="165">
        <v>76.064737594624745</v>
      </c>
      <c r="O194" s="165">
        <v>0</v>
      </c>
      <c r="P194" s="115">
        <v>0.12347266881028938</v>
      </c>
      <c r="Q194" s="5">
        <v>7272</v>
      </c>
      <c r="R194" s="5">
        <v>6</v>
      </c>
      <c r="S194" s="5">
        <v>7266</v>
      </c>
      <c r="T194" s="5">
        <v>0</v>
      </c>
      <c r="U194" s="5">
        <v>0</v>
      </c>
      <c r="V194" s="5">
        <v>0</v>
      </c>
      <c r="W194" s="5">
        <v>0</v>
      </c>
      <c r="X194" s="114">
        <v>1521.2947518924948</v>
      </c>
      <c r="Y194" s="114">
        <v>143.28584235818357</v>
      </c>
      <c r="Z194" s="114">
        <v>-5750.7052481075052</v>
      </c>
      <c r="AA194" s="166">
        <v>7606.47</v>
      </c>
      <c r="AB194" s="166">
        <v>36330</v>
      </c>
      <c r="AC194" s="167">
        <v>4.7801387541458435</v>
      </c>
      <c r="AD194" s="168"/>
      <c r="AE194" s="168"/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86"/>
      <c r="BJ194" s="185"/>
    </row>
    <row r="195" spans="1:62" ht="12.75" customHeight="1" x14ac:dyDescent="0.35">
      <c r="A195" s="105"/>
      <c r="B195" s="163" t="s">
        <v>1</v>
      </c>
      <c r="C195" s="5" t="s">
        <v>24</v>
      </c>
      <c r="D195" s="5" t="s">
        <v>316</v>
      </c>
      <c r="E195" s="5" t="s">
        <v>317</v>
      </c>
      <c r="F195" s="5">
        <v>1032132</v>
      </c>
      <c r="G195" s="7" t="s">
        <v>96</v>
      </c>
      <c r="H195" s="164">
        <v>2870.7492789714947</v>
      </c>
      <c r="I195" s="164">
        <v>143.53746394857475</v>
      </c>
      <c r="J195" s="114">
        <v>0</v>
      </c>
      <c r="K195" s="114">
        <v>144</v>
      </c>
      <c r="L195" s="165">
        <v>7.2</v>
      </c>
      <c r="M195" s="115">
        <v>5.1206143663185308E-2</v>
      </c>
      <c r="N195" s="165">
        <v>136.33746394857477</v>
      </c>
      <c r="O195" s="165">
        <v>0</v>
      </c>
      <c r="P195" s="115">
        <v>0.63560216823393823</v>
      </c>
      <c r="Q195" s="5">
        <v>14391</v>
      </c>
      <c r="R195" s="5">
        <v>3</v>
      </c>
      <c r="S195" s="5">
        <v>14388</v>
      </c>
      <c r="T195" s="5">
        <v>0</v>
      </c>
      <c r="U195" s="5">
        <v>0</v>
      </c>
      <c r="V195" s="5">
        <v>0</v>
      </c>
      <c r="W195" s="5">
        <v>2</v>
      </c>
      <c r="X195" s="114">
        <v>2870.7492789714947</v>
      </c>
      <c r="Y195" s="114">
        <v>150.3579581685531</v>
      </c>
      <c r="Z195" s="114">
        <v>-11664.250721028506</v>
      </c>
      <c r="AA195" s="166">
        <v>12459.05</v>
      </c>
      <c r="AB195" s="166">
        <v>62452.6</v>
      </c>
      <c r="AC195" s="167">
        <v>5.0631380826149561</v>
      </c>
      <c r="AD195" s="168"/>
      <c r="AE195" s="168"/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84"/>
      <c r="BJ195" s="185"/>
    </row>
    <row r="196" spans="1:62" ht="12.75" customHeight="1" x14ac:dyDescent="0.35">
      <c r="A196" s="105"/>
      <c r="B196" s="163" t="s">
        <v>1</v>
      </c>
      <c r="C196" s="5" t="s">
        <v>50</v>
      </c>
      <c r="D196" s="5" t="s">
        <v>320</v>
      </c>
      <c r="E196" s="5" t="s">
        <v>402</v>
      </c>
      <c r="F196" s="120">
        <v>1060962</v>
      </c>
      <c r="G196" s="121" t="s">
        <v>727</v>
      </c>
      <c r="H196" s="164">
        <v>8569.5035837426894</v>
      </c>
      <c r="I196" s="164">
        <v>1542.5106450736841</v>
      </c>
      <c r="J196" s="114">
        <v>0</v>
      </c>
      <c r="K196" s="114">
        <v>0</v>
      </c>
      <c r="L196" s="165">
        <v>0</v>
      </c>
      <c r="M196" s="115">
        <v>3.5007862132076554E-4</v>
      </c>
      <c r="N196" s="165">
        <v>1542.5106450736841</v>
      </c>
      <c r="O196" s="165">
        <v>0</v>
      </c>
      <c r="P196" s="115">
        <v>0.40695971944757536</v>
      </c>
      <c r="Q196" s="5">
        <v>45103</v>
      </c>
      <c r="R196" s="5">
        <v>3</v>
      </c>
      <c r="S196" s="5">
        <v>45100</v>
      </c>
      <c r="T196" s="5">
        <v>0</v>
      </c>
      <c r="U196" s="5">
        <v>0</v>
      </c>
      <c r="V196" s="5">
        <v>0</v>
      </c>
      <c r="W196" s="5">
        <v>0</v>
      </c>
      <c r="X196" s="114">
        <v>8569.5035837426894</v>
      </c>
      <c r="Y196" s="114">
        <v>157.88545821566524</v>
      </c>
      <c r="Z196" s="114">
        <v>-36533.496416257309</v>
      </c>
      <c r="AA196" s="166">
        <v>58444.01</v>
      </c>
      <c r="AB196" s="166">
        <v>307582</v>
      </c>
      <c r="AC196" s="167">
        <v>5.2631986858101625</v>
      </c>
      <c r="AD196" s="168"/>
      <c r="AE196" s="168"/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84"/>
      <c r="BJ196" s="185"/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310</v>
      </c>
      <c r="E197" s="5" t="s">
        <v>311</v>
      </c>
      <c r="F197" s="5">
        <v>1080399</v>
      </c>
      <c r="G197" s="7" t="s">
        <v>752</v>
      </c>
      <c r="H197" s="164">
        <v>5863.2</v>
      </c>
      <c r="I197" s="164">
        <v>0</v>
      </c>
      <c r="J197" s="114">
        <v>0</v>
      </c>
      <c r="K197" s="114">
        <v>3</v>
      </c>
      <c r="L197" s="165">
        <v>0</v>
      </c>
      <c r="M197" s="115">
        <v>4.604993860008187E-3</v>
      </c>
      <c r="N197" s="165">
        <v>0</v>
      </c>
      <c r="O197" s="165">
        <v>0</v>
      </c>
      <c r="P197" s="115">
        <v>0.23034843444077668</v>
      </c>
      <c r="Q197" s="5">
        <v>31454</v>
      </c>
      <c r="R197" s="5">
        <v>24</v>
      </c>
      <c r="S197" s="5">
        <v>31430</v>
      </c>
      <c r="T197" s="5">
        <v>0</v>
      </c>
      <c r="U197" s="5">
        <v>300</v>
      </c>
      <c r="V197" s="5">
        <v>0</v>
      </c>
      <c r="W197" s="5">
        <v>5797</v>
      </c>
      <c r="X197" s="114">
        <v>5863.2</v>
      </c>
      <c r="Y197" s="114">
        <v>160.8166189111748</v>
      </c>
      <c r="Z197" s="114">
        <v>-25593.8</v>
      </c>
      <c r="AA197" s="166">
        <v>13133.57</v>
      </c>
      <c r="AB197" s="166">
        <v>84060.479999999996</v>
      </c>
      <c r="AC197" s="167">
        <v>5.3651589575658347</v>
      </c>
      <c r="AD197" s="168"/>
      <c r="AE197" s="168">
        <v>0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86" t="s">
        <v>1</v>
      </c>
      <c r="BJ197" s="185"/>
    </row>
    <row r="198" spans="1:62" ht="12.75" customHeight="1" x14ac:dyDescent="0.35">
      <c r="A198" s="105"/>
      <c r="B198" s="163">
        <v>0</v>
      </c>
      <c r="C198" s="5" t="s">
        <v>2</v>
      </c>
      <c r="D198" s="5" t="s">
        <v>308</v>
      </c>
      <c r="E198" s="5" t="s">
        <v>395</v>
      </c>
      <c r="F198" s="160">
        <v>1080733</v>
      </c>
      <c r="G198" s="162" t="s">
        <v>806</v>
      </c>
      <c r="H198" s="164">
        <v>1100</v>
      </c>
      <c r="I198" s="164">
        <v>103.95</v>
      </c>
      <c r="J198" s="114">
        <v>0</v>
      </c>
      <c r="K198" s="114">
        <v>0</v>
      </c>
      <c r="L198" s="165">
        <v>0</v>
      </c>
      <c r="M198" s="115">
        <v>0</v>
      </c>
      <c r="N198" s="165">
        <v>103.95</v>
      </c>
      <c r="O198" s="165">
        <v>0</v>
      </c>
      <c r="P198" s="115">
        <v>0.34920634920634919</v>
      </c>
      <c r="Q198" s="5">
        <v>7056</v>
      </c>
      <c r="R198" s="5">
        <v>0</v>
      </c>
      <c r="S198" s="5">
        <v>7056</v>
      </c>
      <c r="T198" s="5">
        <v>0</v>
      </c>
      <c r="U198" s="5">
        <v>0</v>
      </c>
      <c r="V198" s="5">
        <v>0</v>
      </c>
      <c r="W198" s="5">
        <v>0</v>
      </c>
      <c r="X198" s="114">
        <v>1100</v>
      </c>
      <c r="Y198" s="114">
        <v>192.43636363636364</v>
      </c>
      <c r="Z198" s="114">
        <v>-5956</v>
      </c>
      <c r="AA198" s="166">
        <v>8943</v>
      </c>
      <c r="AB198" s="166">
        <v>57365.279999999999</v>
      </c>
      <c r="AC198" s="167">
        <v>6.4145454545454541</v>
      </c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86" t="s">
        <v>1</v>
      </c>
      <c r="BJ198" s="185"/>
    </row>
    <row r="199" spans="1:62" ht="12.75" customHeight="1" x14ac:dyDescent="0.35">
      <c r="A199" s="105"/>
      <c r="B199" s="163" t="s">
        <v>1</v>
      </c>
      <c r="C199" s="5" t="s">
        <v>2</v>
      </c>
      <c r="D199" s="5" t="s">
        <v>396</v>
      </c>
      <c r="E199" s="5" t="s">
        <v>397</v>
      </c>
      <c r="F199" s="5">
        <v>1067716</v>
      </c>
      <c r="G199" s="7" t="s">
        <v>639</v>
      </c>
      <c r="H199" s="164">
        <v>210.29317762295742</v>
      </c>
      <c r="I199" s="164">
        <v>105.14658881147871</v>
      </c>
      <c r="J199" s="114">
        <v>0</v>
      </c>
      <c r="K199" s="114">
        <v>0</v>
      </c>
      <c r="L199" s="165">
        <v>0</v>
      </c>
      <c r="M199" s="115">
        <v>2.3776330057481414E-2</v>
      </c>
      <c r="N199" s="165">
        <v>105.14658881147871</v>
      </c>
      <c r="O199" s="165">
        <v>0</v>
      </c>
      <c r="P199" s="115">
        <v>0.55873668338943372</v>
      </c>
      <c r="Q199" s="5">
        <v>1554</v>
      </c>
      <c r="R199" s="5">
        <v>5</v>
      </c>
      <c r="S199" s="5">
        <v>1549</v>
      </c>
      <c r="T199" s="5">
        <v>0</v>
      </c>
      <c r="U199" s="5">
        <v>0</v>
      </c>
      <c r="V199" s="5">
        <v>0</v>
      </c>
      <c r="W199" s="5">
        <v>0</v>
      </c>
      <c r="X199" s="114">
        <v>210.29317762295742</v>
      </c>
      <c r="Y199" s="114">
        <v>220.97721155423224</v>
      </c>
      <c r="Z199" s="114">
        <v>-1343.7068223770425</v>
      </c>
      <c r="AA199" s="166">
        <v>3185.94</v>
      </c>
      <c r="AB199" s="166">
        <v>23467.35</v>
      </c>
      <c r="AC199" s="167">
        <v>7.3896833818652228</v>
      </c>
      <c r="AD199" s="168"/>
      <c r="AE199" s="168">
        <v>31.022079772079774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86" t="s">
        <v>1</v>
      </c>
      <c r="BJ199" s="185"/>
    </row>
    <row r="200" spans="1:62" ht="12.75" customHeight="1" x14ac:dyDescent="0.35">
      <c r="A200" s="105"/>
      <c r="B200" s="163" t="s">
        <v>148</v>
      </c>
      <c r="C200" s="5" t="s">
        <v>5</v>
      </c>
      <c r="D200" s="5" t="s">
        <v>318</v>
      </c>
      <c r="E200" s="5" t="s">
        <v>307</v>
      </c>
      <c r="F200" s="112">
        <v>1072129</v>
      </c>
      <c r="G200" s="113" t="s">
        <v>603</v>
      </c>
      <c r="H200" s="164">
        <v>537</v>
      </c>
      <c r="I200" s="164">
        <v>268.5</v>
      </c>
      <c r="J200" s="114">
        <v>0</v>
      </c>
      <c r="K200" s="114">
        <v>7</v>
      </c>
      <c r="L200" s="165">
        <v>3.5</v>
      </c>
      <c r="M200" s="115">
        <v>6.8901303538175043E-2</v>
      </c>
      <c r="N200" s="165">
        <v>265</v>
      </c>
      <c r="O200" s="165">
        <v>0</v>
      </c>
      <c r="P200" s="115">
        <v>0.24422858584584331</v>
      </c>
      <c r="Q200" s="5">
        <v>6372</v>
      </c>
      <c r="R200" s="5">
        <v>30</v>
      </c>
      <c r="S200" s="5">
        <v>6342</v>
      </c>
      <c r="T200" s="5">
        <v>0</v>
      </c>
      <c r="U200" s="5">
        <v>0</v>
      </c>
      <c r="V200" s="5">
        <v>0</v>
      </c>
      <c r="W200" s="5">
        <v>0</v>
      </c>
      <c r="X200" s="114">
        <v>537</v>
      </c>
      <c r="Y200" s="114">
        <v>354.30167597765364</v>
      </c>
      <c r="Z200" s="114">
        <v>-5842</v>
      </c>
      <c r="AA200" s="166">
        <v>4720.2299999999996</v>
      </c>
      <c r="AB200" s="166">
        <v>55746.18</v>
      </c>
      <c r="AC200" s="167">
        <v>11.878957169459962</v>
      </c>
      <c r="AD200" s="168"/>
      <c r="AE200" s="168"/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86" t="s">
        <v>1</v>
      </c>
      <c r="BJ200" s="185"/>
    </row>
    <row r="201" spans="1:62" ht="12.75" customHeight="1" x14ac:dyDescent="0.35">
      <c r="A201" s="105"/>
      <c r="B201" s="163" t="s">
        <v>1</v>
      </c>
      <c r="C201" s="5" t="s">
        <v>24</v>
      </c>
      <c r="D201" s="5" t="s">
        <v>316</v>
      </c>
      <c r="E201" s="5" t="s">
        <v>317</v>
      </c>
      <c r="F201" s="5">
        <v>1064331</v>
      </c>
      <c r="G201" s="7" t="s">
        <v>596</v>
      </c>
      <c r="H201" s="164">
        <v>104.99410119375361</v>
      </c>
      <c r="I201" s="164">
        <v>8.9244986014690575</v>
      </c>
      <c r="J201" s="114">
        <v>0</v>
      </c>
      <c r="K201" s="114">
        <v>0</v>
      </c>
      <c r="L201" s="165">
        <v>0</v>
      </c>
      <c r="M201" s="115">
        <v>6.6670412150891853E-2</v>
      </c>
      <c r="N201" s="165">
        <v>8.9244986014690575</v>
      </c>
      <c r="O201" s="165">
        <v>88.578090182657661</v>
      </c>
      <c r="P201" s="115">
        <v>4.8386721453482346</v>
      </c>
      <c r="Q201" s="5">
        <v>2527</v>
      </c>
      <c r="R201" s="5">
        <v>7</v>
      </c>
      <c r="S201" s="5">
        <v>2520</v>
      </c>
      <c r="T201" s="5">
        <v>0</v>
      </c>
      <c r="U201" s="5">
        <v>0</v>
      </c>
      <c r="V201" s="5">
        <v>0</v>
      </c>
      <c r="W201" s="5">
        <v>0</v>
      </c>
      <c r="X201" s="114">
        <v>104.99410119375361</v>
      </c>
      <c r="Y201" s="114">
        <v>720.04045122963203</v>
      </c>
      <c r="Z201" s="114">
        <v>-2422.0058988062465</v>
      </c>
      <c r="AA201" s="166">
        <v>690.86</v>
      </c>
      <c r="AB201" s="166">
        <v>16581.599999999999</v>
      </c>
      <c r="AC201" s="167">
        <v>24.068018786471963</v>
      </c>
      <c r="AD201" s="168"/>
      <c r="AE201" s="168">
        <v>105.57129340524175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86" t="s">
        <v>1</v>
      </c>
      <c r="BJ201" s="185"/>
    </row>
    <row r="202" spans="1:62" ht="12.75" customHeight="1" x14ac:dyDescent="0.35">
      <c r="A202" s="105"/>
      <c r="B202" s="163" t="s">
        <v>15</v>
      </c>
      <c r="C202" s="5" t="s">
        <v>5</v>
      </c>
      <c r="D202" s="5" t="s">
        <v>312</v>
      </c>
      <c r="E202" s="5" t="s">
        <v>315</v>
      </c>
      <c r="F202" s="5">
        <v>1078686</v>
      </c>
      <c r="G202" s="7" t="s">
        <v>720</v>
      </c>
      <c r="H202" s="164">
        <v>30.001300000000001</v>
      </c>
      <c r="I202" s="164">
        <v>3.1501364999999999</v>
      </c>
      <c r="J202" s="114">
        <v>0</v>
      </c>
      <c r="K202" s="114">
        <v>-23</v>
      </c>
      <c r="L202" s="165">
        <v>-2.415</v>
      </c>
      <c r="M202" s="115">
        <v>-0.76663344588401172</v>
      </c>
      <c r="N202" s="165">
        <v>5.5651364999999995</v>
      </c>
      <c r="O202" s="165">
        <v>1668.9263798568729</v>
      </c>
      <c r="P202" s="115">
        <v>1.0579260599607541</v>
      </c>
      <c r="Q202" s="5">
        <v>4242</v>
      </c>
      <c r="R202" s="5">
        <v>0</v>
      </c>
      <c r="S202" s="5">
        <v>4242</v>
      </c>
      <c r="T202" s="5">
        <v>0</v>
      </c>
      <c r="U202" s="5">
        <v>0</v>
      </c>
      <c r="V202" s="5">
        <v>0</v>
      </c>
      <c r="W202" s="5">
        <v>0</v>
      </c>
      <c r="X202" s="114">
        <v>30.001300000000001</v>
      </c>
      <c r="Y202" s="114">
        <v>4241.816187965188</v>
      </c>
      <c r="Z202" s="114">
        <v>-4188.9987000000001</v>
      </c>
      <c r="AA202" s="166">
        <v>42</v>
      </c>
      <c r="AB202" s="166">
        <v>5938.8</v>
      </c>
      <c r="AC202" s="167">
        <v>140.62723948628891</v>
      </c>
      <c r="AD202" s="168"/>
      <c r="AE202" s="168">
        <v>104.89112227805695</v>
      </c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86" t="s">
        <v>1</v>
      </c>
      <c r="BJ202" s="185"/>
    </row>
    <row r="203" spans="1:62" ht="12.75" customHeight="1" x14ac:dyDescent="0.35">
      <c r="A203" s="105"/>
      <c r="B203" s="163" t="s">
        <v>15</v>
      </c>
      <c r="C203" s="5" t="s">
        <v>5</v>
      </c>
      <c r="D203" s="5" t="s">
        <v>308</v>
      </c>
      <c r="E203" s="5" t="s">
        <v>315</v>
      </c>
      <c r="F203" s="125">
        <v>1082605</v>
      </c>
      <c r="G203" s="127" t="s">
        <v>771</v>
      </c>
      <c r="H203" s="164">
        <v>1.0000000000000001E-5</v>
      </c>
      <c r="I203" s="164">
        <v>3.6400000000000003E-6</v>
      </c>
      <c r="J203" s="114">
        <v>0</v>
      </c>
      <c r="K203" s="114">
        <v>0</v>
      </c>
      <c r="L203" s="165">
        <v>0</v>
      </c>
      <c r="M203" s="115">
        <v>0</v>
      </c>
      <c r="N203" s="165">
        <v>3.6400000000000003E-6</v>
      </c>
      <c r="O203" s="165">
        <v>38318999970</v>
      </c>
      <c r="P203" s="115">
        <v>0.53704752665289601</v>
      </c>
      <c r="Q203" s="5">
        <v>11</v>
      </c>
      <c r="R203" s="5">
        <v>0</v>
      </c>
      <c r="S203" s="5">
        <v>11</v>
      </c>
      <c r="T203" s="5">
        <v>0</v>
      </c>
      <c r="U203" s="5">
        <v>0</v>
      </c>
      <c r="V203" s="5">
        <v>0</v>
      </c>
      <c r="W203" s="5">
        <v>90</v>
      </c>
      <c r="X203" s="114">
        <v>1.0000000000000001E-5</v>
      </c>
      <c r="Y203" s="114">
        <v>33000000</v>
      </c>
      <c r="Z203" s="114">
        <v>-10.99999</v>
      </c>
      <c r="AA203" s="166">
        <v>0</v>
      </c>
      <c r="AB203" s="166">
        <v>591.86</v>
      </c>
      <c r="AC203" s="167">
        <v>1100000</v>
      </c>
      <c r="AD203" s="168"/>
      <c r="AE203" s="168"/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84"/>
      <c r="BJ203" s="185" t="s">
        <v>876</v>
      </c>
    </row>
    <row r="204" spans="1:62" ht="12.75" customHeight="1" x14ac:dyDescent="0.35">
      <c r="A204" s="105"/>
      <c r="B204" s="163" t="s">
        <v>148</v>
      </c>
      <c r="C204" s="5" t="s">
        <v>5</v>
      </c>
      <c r="D204" s="5" t="s">
        <v>318</v>
      </c>
      <c r="E204" s="5" t="s">
        <v>307</v>
      </c>
      <c r="F204" s="112">
        <v>1079367</v>
      </c>
      <c r="G204" s="113" t="s">
        <v>722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3.0339999999999998</v>
      </c>
      <c r="Q204" s="5">
        <v>144</v>
      </c>
      <c r="R204" s="5">
        <v>144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86" t="s">
        <v>1</v>
      </c>
      <c r="BJ204" s="185" t="s">
        <v>877</v>
      </c>
    </row>
    <row r="205" spans="1:62" ht="12.75" customHeight="1" x14ac:dyDescent="0.35">
      <c r="A205" s="105"/>
      <c r="B205" s="163" t="s">
        <v>148</v>
      </c>
      <c r="C205" s="5" t="s">
        <v>5</v>
      </c>
      <c r="D205" s="5" t="s">
        <v>318</v>
      </c>
      <c r="E205" s="5" t="s">
        <v>319</v>
      </c>
      <c r="F205" s="112">
        <v>1054530</v>
      </c>
      <c r="G205" s="113" t="s">
        <v>361</v>
      </c>
      <c r="H205" s="164">
        <v>0</v>
      </c>
      <c r="I205" s="164">
        <v>0</v>
      </c>
      <c r="J205" s="114">
        <v>0</v>
      </c>
      <c r="K205" s="114">
        <v>0</v>
      </c>
      <c r="L205" s="165">
        <v>0</v>
      </c>
      <c r="M205" s="115">
        <v>0</v>
      </c>
      <c r="N205" s="165">
        <v>0</v>
      </c>
      <c r="O205" s="165">
        <v>0</v>
      </c>
      <c r="P205" s="115">
        <v>1.002</v>
      </c>
      <c r="Q205" s="5">
        <v>72</v>
      </c>
      <c r="R205" s="5">
        <v>0</v>
      </c>
      <c r="S205" s="5">
        <v>72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608.4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86"/>
      <c r="BJ205" s="185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1072126</v>
      </c>
      <c r="G206" s="113" t="s">
        <v>761</v>
      </c>
      <c r="H206" s="164">
        <v>0</v>
      </c>
      <c r="I206" s="164">
        <v>0</v>
      </c>
      <c r="J206" s="114">
        <v>0</v>
      </c>
      <c r="K206" s="114">
        <v>0</v>
      </c>
      <c r="L206" s="165">
        <v>0</v>
      </c>
      <c r="M206" s="115">
        <v>0</v>
      </c>
      <c r="N206" s="165">
        <v>0</v>
      </c>
      <c r="O206" s="165">
        <v>0</v>
      </c>
      <c r="P206" s="115">
        <v>0.28031250000000002</v>
      </c>
      <c r="Q206" s="5">
        <v>13902</v>
      </c>
      <c r="R206" s="5">
        <v>0</v>
      </c>
      <c r="S206" s="5">
        <v>13902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106211.28</v>
      </c>
      <c r="AC206" s="167"/>
      <c r="AD206" s="168"/>
      <c r="AE206" s="168" t="s">
        <v>574</v>
      </c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84" t="s">
        <v>1</v>
      </c>
      <c r="BJ206" s="185"/>
    </row>
    <row r="207" spans="1:62" ht="12.75" customHeight="1" x14ac:dyDescent="0.35">
      <c r="A207" s="105"/>
      <c r="B207" s="163" t="s">
        <v>15</v>
      </c>
      <c r="C207" s="5" t="s">
        <v>5</v>
      </c>
      <c r="D207" s="5" t="s">
        <v>308</v>
      </c>
      <c r="E207" s="5" t="s">
        <v>315</v>
      </c>
      <c r="F207" s="139">
        <v>1074229</v>
      </c>
      <c r="G207" s="140" t="s">
        <v>760</v>
      </c>
      <c r="H207" s="164">
        <v>0</v>
      </c>
      <c r="I207" s="164">
        <v>0</v>
      </c>
      <c r="J207" s="114">
        <v>0</v>
      </c>
      <c r="K207" s="114">
        <v>-96</v>
      </c>
      <c r="L207" s="165">
        <v>-46.08</v>
      </c>
      <c r="M207" s="115">
        <v>0</v>
      </c>
      <c r="N207" s="165">
        <v>46.08</v>
      </c>
      <c r="O207" s="165">
        <v>0</v>
      </c>
      <c r="P207" s="11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1062</v>
      </c>
      <c r="X207" s="114">
        <v>0</v>
      </c>
      <c r="Y207" s="114" t="s">
        <v>574</v>
      </c>
      <c r="Z207" s="114"/>
      <c r="AA207" s="166">
        <v>0</v>
      </c>
      <c r="AB207" s="166">
        <v>7529.58</v>
      </c>
      <c r="AC207" s="167"/>
      <c r="AD207" s="168"/>
      <c r="AE207" s="168">
        <v>33.010210690745616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86" t="s">
        <v>1</v>
      </c>
      <c r="BJ207" s="185"/>
    </row>
    <row r="208" spans="1:62" ht="12.75" customHeight="1" x14ac:dyDescent="0.35">
      <c r="A208" s="105"/>
      <c r="B208" s="163" t="s">
        <v>1</v>
      </c>
      <c r="C208" s="5" t="s">
        <v>50</v>
      </c>
      <c r="D208" s="5" t="s">
        <v>316</v>
      </c>
      <c r="E208" s="5" t="s">
        <v>408</v>
      </c>
      <c r="F208" s="139">
        <v>1060289</v>
      </c>
      <c r="G208" s="140" t="s">
        <v>259</v>
      </c>
      <c r="H208" s="164">
        <v>0</v>
      </c>
      <c r="I208" s="164">
        <v>0</v>
      </c>
      <c r="J208" s="114">
        <v>0</v>
      </c>
      <c r="K208" s="114">
        <v>0</v>
      </c>
      <c r="L208" s="165">
        <v>0</v>
      </c>
      <c r="M208" s="115">
        <v>0</v>
      </c>
      <c r="N208" s="165">
        <v>0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14">
        <v>0</v>
      </c>
      <c r="Y208" s="114" t="s">
        <v>574</v>
      </c>
      <c r="Z208" s="114"/>
      <c r="AA208" s="166">
        <v>0</v>
      </c>
      <c r="AB208" s="166">
        <v>0</v>
      </c>
      <c r="AC208" s="167"/>
      <c r="AD208" s="168"/>
      <c r="AE208" s="168">
        <v>45.093708609271523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86" t="s">
        <v>1</v>
      </c>
      <c r="BJ208" s="185"/>
    </row>
    <row r="209" spans="1:62" ht="12.75" customHeight="1" x14ac:dyDescent="0.35">
      <c r="A209" s="105"/>
      <c r="B209" s="163" t="s">
        <v>31</v>
      </c>
      <c r="C209" s="5" t="s">
        <v>5</v>
      </c>
      <c r="D209" s="5" t="s">
        <v>306</v>
      </c>
      <c r="E209" s="5" t="s">
        <v>307</v>
      </c>
      <c r="F209" s="5">
        <v>1071167</v>
      </c>
      <c r="G209" s="7" t="s">
        <v>599</v>
      </c>
      <c r="H209" s="164">
        <v>0</v>
      </c>
      <c r="I209" s="164">
        <v>0</v>
      </c>
      <c r="J209" s="114">
        <v>0</v>
      </c>
      <c r="K209" s="114">
        <v>0</v>
      </c>
      <c r="L209" s="165">
        <v>0</v>
      </c>
      <c r="M209" s="115">
        <v>0</v>
      </c>
      <c r="N209" s="165">
        <v>0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/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84" t="s">
        <v>1</v>
      </c>
      <c r="BJ209" s="185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1056628</v>
      </c>
      <c r="G210" s="7" t="s">
        <v>222</v>
      </c>
      <c r="H210" s="164">
        <v>0</v>
      </c>
      <c r="I210" s="164">
        <v>0</v>
      </c>
      <c r="J210" s="114">
        <v>0</v>
      </c>
      <c r="K210" s="114">
        <v>-5</v>
      </c>
      <c r="L210" s="165">
        <v>-2.5</v>
      </c>
      <c r="M210" s="115">
        <v>0</v>
      </c>
      <c r="N210" s="165">
        <v>2.5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4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46.72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84"/>
      <c r="BJ210" s="185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1058893</v>
      </c>
      <c r="G211" s="7" t="s">
        <v>261</v>
      </c>
      <c r="H211" s="164">
        <v>0</v>
      </c>
      <c r="I211" s="164">
        <v>0</v>
      </c>
      <c r="J211" s="114">
        <v>0</v>
      </c>
      <c r="K211" s="114">
        <v>0</v>
      </c>
      <c r="L211" s="165">
        <v>0</v>
      </c>
      <c r="M211" s="115">
        <v>0</v>
      </c>
      <c r="N211" s="165">
        <v>0</v>
      </c>
      <c r="O211" s="165">
        <v>0</v>
      </c>
      <c r="P211" s="115">
        <v>0</v>
      </c>
      <c r="Q211" s="5">
        <v>8</v>
      </c>
      <c r="R211" s="5">
        <v>0</v>
      </c>
      <c r="S211" s="5">
        <v>8</v>
      </c>
      <c r="T211" s="5">
        <v>0</v>
      </c>
      <c r="U211" s="5">
        <v>0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58.56</v>
      </c>
      <c r="AC211" s="167"/>
      <c r="AD211" s="168"/>
      <c r="AE211" s="168">
        <v>26.635199999999998</v>
      </c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86" t="s">
        <v>1</v>
      </c>
      <c r="BJ211" s="185"/>
    </row>
    <row r="212" spans="1:62" ht="12.75" customHeight="1" x14ac:dyDescent="0.35">
      <c r="A212" s="105"/>
      <c r="B212" s="163" t="s">
        <v>148</v>
      </c>
      <c r="C212" s="5" t="s">
        <v>5</v>
      </c>
      <c r="D212" s="5" t="s">
        <v>318</v>
      </c>
      <c r="E212" s="5" t="s">
        <v>307</v>
      </c>
      <c r="F212" s="112">
        <v>1072127</v>
      </c>
      <c r="G212" s="113" t="s">
        <v>762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0</v>
      </c>
      <c r="AC212" s="167"/>
      <c r="AD212" s="168"/>
      <c r="AE212" s="168">
        <v>45.489298158287703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86" t="s">
        <v>1</v>
      </c>
      <c r="BJ212" s="185"/>
    </row>
    <row r="213" spans="1:62" ht="12.75" customHeight="1" x14ac:dyDescent="0.35">
      <c r="A213" s="105"/>
      <c r="B213" s="163" t="s">
        <v>1</v>
      </c>
      <c r="C213" s="5" t="s">
        <v>2</v>
      </c>
      <c r="D213" s="5" t="s">
        <v>310</v>
      </c>
      <c r="E213" s="5" t="s">
        <v>311</v>
      </c>
      <c r="F213" s="139">
        <v>1068804</v>
      </c>
      <c r="G213" s="140" t="s">
        <v>563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5</v>
      </c>
      <c r="R213" s="5">
        <v>0</v>
      </c>
      <c r="S213" s="5">
        <v>5</v>
      </c>
      <c r="T213" s="5">
        <v>0</v>
      </c>
      <c r="U213" s="5">
        <v>0</v>
      </c>
      <c r="V213" s="5">
        <v>0</v>
      </c>
      <c r="W213" s="5">
        <v>160</v>
      </c>
      <c r="X213" s="114">
        <v>0</v>
      </c>
      <c r="Y213" s="114" t="s">
        <v>574</v>
      </c>
      <c r="Z213" s="114"/>
      <c r="AA213" s="166">
        <v>0</v>
      </c>
      <c r="AB213" s="166">
        <v>1303.5</v>
      </c>
      <c r="AC213" s="167"/>
      <c r="AD213" s="168"/>
      <c r="AE213" s="168"/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84" t="s">
        <v>1</v>
      </c>
      <c r="BJ213" s="169"/>
    </row>
    <row r="214" spans="1:62" ht="12.75" customHeight="1" x14ac:dyDescent="0.35">
      <c r="A214" s="105"/>
      <c r="B214" s="163" t="s">
        <v>27</v>
      </c>
      <c r="C214" s="5" t="s">
        <v>5</v>
      </c>
      <c r="D214" s="5" t="s">
        <v>312</v>
      </c>
      <c r="E214" s="5" t="s">
        <v>313</v>
      </c>
      <c r="F214" s="122">
        <v>1080361</v>
      </c>
      <c r="G214" s="123" t="s">
        <v>741</v>
      </c>
      <c r="H214" s="164">
        <v>0</v>
      </c>
      <c r="I214" s="164">
        <v>0</v>
      </c>
      <c r="J214" s="114">
        <v>0</v>
      </c>
      <c r="K214" s="114">
        <v>0</v>
      </c>
      <c r="L214" s="165">
        <v>0</v>
      </c>
      <c r="M214" s="115">
        <v>0</v>
      </c>
      <c r="N214" s="165">
        <v>0</v>
      </c>
      <c r="O214" s="165">
        <v>0</v>
      </c>
      <c r="P214" s="115">
        <v>0</v>
      </c>
      <c r="Q214" s="5">
        <v>43</v>
      </c>
      <c r="R214" s="5">
        <v>0</v>
      </c>
      <c r="S214" s="5">
        <v>43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21.93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86"/>
      <c r="BJ214" s="185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32">
        <v>1082951</v>
      </c>
      <c r="G215" s="133" t="s">
        <v>783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20490</v>
      </c>
      <c r="R215" s="5">
        <v>0</v>
      </c>
      <c r="S215" s="5">
        <v>20490</v>
      </c>
      <c r="T215" s="5">
        <v>0</v>
      </c>
      <c r="U215" s="5">
        <v>0</v>
      </c>
      <c r="V215" s="5">
        <v>0</v>
      </c>
      <c r="W215" s="5">
        <v>0</v>
      </c>
      <c r="X215" s="114">
        <v>0</v>
      </c>
      <c r="Y215" s="114" t="s">
        <v>574</v>
      </c>
      <c r="Z215" s="114"/>
      <c r="AA215" s="166">
        <v>0</v>
      </c>
      <c r="AB215" s="166">
        <v>123759.6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86"/>
      <c r="BJ215" s="185"/>
    </row>
    <row r="216" spans="1:62" ht="12.75" customHeight="1" x14ac:dyDescent="0.3">
      <c r="A216" s="105"/>
      <c r="B216" s="163">
        <v>0</v>
      </c>
      <c r="C216" s="5" t="s">
        <v>5</v>
      </c>
      <c r="D216" s="5" t="s">
        <v>308</v>
      </c>
      <c r="E216" s="5" t="s">
        <v>315</v>
      </c>
      <c r="F216" s="5">
        <v>1083108</v>
      </c>
      <c r="G216" s="134" t="s">
        <v>778</v>
      </c>
      <c r="H216" s="164">
        <v>0</v>
      </c>
      <c r="I216" s="164">
        <v>0</v>
      </c>
      <c r="J216" s="114">
        <v>0</v>
      </c>
      <c r="K216" s="114">
        <v>1</v>
      </c>
      <c r="L216" s="165">
        <v>0.16</v>
      </c>
      <c r="M216" s="115">
        <v>0</v>
      </c>
      <c r="N216" s="165">
        <v>0.16</v>
      </c>
      <c r="O216" s="165">
        <v>0</v>
      </c>
      <c r="P216" s="115">
        <v>0</v>
      </c>
      <c r="Q216" s="5">
        <v>9366</v>
      </c>
      <c r="R216" s="5">
        <v>0</v>
      </c>
      <c r="S216" s="5">
        <v>9366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32312.7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86"/>
      <c r="BJ216" s="185"/>
    </row>
    <row r="217" spans="1:62" ht="12.75" customHeight="1" x14ac:dyDescent="0.35">
      <c r="A217" s="105"/>
      <c r="B217" s="163" t="s">
        <v>4</v>
      </c>
      <c r="C217" s="5" t="s">
        <v>5</v>
      </c>
      <c r="D217" s="5" t="s">
        <v>308</v>
      </c>
      <c r="E217" s="5" t="s">
        <v>314</v>
      </c>
      <c r="F217" s="128">
        <v>1083252</v>
      </c>
      <c r="G217" s="129" t="s">
        <v>776</v>
      </c>
      <c r="H217" s="164">
        <v>0</v>
      </c>
      <c r="I217" s="164">
        <v>0</v>
      </c>
      <c r="J217" s="114">
        <v>0</v>
      </c>
      <c r="K217" s="114">
        <v>0</v>
      </c>
      <c r="L217" s="165">
        <v>0</v>
      </c>
      <c r="M217" s="115">
        <v>0</v>
      </c>
      <c r="N217" s="165">
        <v>0</v>
      </c>
      <c r="O217" s="165">
        <v>0</v>
      </c>
      <c r="P217" s="11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61080</v>
      </c>
      <c r="X217" s="114">
        <v>0</v>
      </c>
      <c r="Y217" s="114" t="s">
        <v>574</v>
      </c>
      <c r="Z217" s="114"/>
      <c r="AA217" s="166">
        <v>0</v>
      </c>
      <c r="AB217" s="166">
        <v>134376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86"/>
      <c r="BJ217" s="185"/>
    </row>
    <row r="218" spans="1:62" ht="12.75" customHeight="1" x14ac:dyDescent="0.35">
      <c r="A218" s="105"/>
      <c r="B218" s="163" t="s">
        <v>21</v>
      </c>
      <c r="C218" s="5" t="s">
        <v>2</v>
      </c>
      <c r="D218" s="5" t="s">
        <v>308</v>
      </c>
      <c r="E218" s="5" t="s">
        <v>395</v>
      </c>
      <c r="F218" s="139">
        <v>1070484</v>
      </c>
      <c r="G218" s="140" t="s">
        <v>615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14">
        <v>0</v>
      </c>
      <c r="Y218" s="114" t="s">
        <v>574</v>
      </c>
      <c r="Z218" s="114"/>
      <c r="AA218" s="166">
        <v>0</v>
      </c>
      <c r="AB218" s="166">
        <v>0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86" t="s">
        <v>1</v>
      </c>
      <c r="BJ218" s="185"/>
    </row>
    <row r="219" spans="1:62" ht="12.75" customHeight="1" x14ac:dyDescent="0.35">
      <c r="A219" s="105"/>
      <c r="B219" s="163" t="s">
        <v>9</v>
      </c>
      <c r="C219" s="5" t="s">
        <v>5</v>
      </c>
      <c r="D219" s="5" t="s">
        <v>308</v>
      </c>
      <c r="E219" s="5" t="s">
        <v>797</v>
      </c>
      <c r="F219" s="5">
        <v>1079783</v>
      </c>
      <c r="G219" s="117" t="s">
        <v>798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1782</v>
      </c>
      <c r="R219" s="5">
        <v>0</v>
      </c>
      <c r="S219" s="5">
        <v>1782</v>
      </c>
      <c r="T219" s="5">
        <v>768</v>
      </c>
      <c r="U219" s="5">
        <v>110</v>
      </c>
      <c r="V219" s="5">
        <v>0</v>
      </c>
      <c r="W219" s="5">
        <v>1</v>
      </c>
      <c r="X219" s="114">
        <v>0</v>
      </c>
      <c r="Y219" s="114" t="s">
        <v>574</v>
      </c>
      <c r="Z219" s="114"/>
      <c r="AA219" s="166">
        <v>0</v>
      </c>
      <c r="AB219" s="166">
        <v>56040.66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84"/>
      <c r="BJ219" s="185"/>
    </row>
    <row r="220" spans="1:62" ht="12.75" customHeight="1" x14ac:dyDescent="0.35">
      <c r="A220" s="105"/>
      <c r="B220" s="163" t="s">
        <v>21</v>
      </c>
      <c r="C220" s="5" t="s">
        <v>5</v>
      </c>
      <c r="D220" s="5" t="s">
        <v>308</v>
      </c>
      <c r="E220" s="5" t="s">
        <v>372</v>
      </c>
      <c r="F220" s="122">
        <v>1059111</v>
      </c>
      <c r="G220" s="123" t="s">
        <v>525</v>
      </c>
      <c r="H220" s="164">
        <v>0</v>
      </c>
      <c r="I220" s="164">
        <v>0</v>
      </c>
      <c r="J220" s="114">
        <v>0</v>
      </c>
      <c r="K220" s="114">
        <v>1</v>
      </c>
      <c r="L220" s="165">
        <v>0.432</v>
      </c>
      <c r="M220" s="115">
        <v>0</v>
      </c>
      <c r="N220" s="165">
        <v>0.432</v>
      </c>
      <c r="O220" s="165">
        <v>0</v>
      </c>
      <c r="P220" s="115">
        <v>0</v>
      </c>
      <c r="Q220" s="5">
        <v>16</v>
      </c>
      <c r="R220" s="5">
        <v>0</v>
      </c>
      <c r="S220" s="5">
        <v>16</v>
      </c>
      <c r="T220" s="5">
        <v>0</v>
      </c>
      <c r="U220" s="5">
        <v>0</v>
      </c>
      <c r="V220" s="5">
        <v>0</v>
      </c>
      <c r="W220" s="5">
        <v>0</v>
      </c>
      <c r="X220" s="114">
        <v>0</v>
      </c>
      <c r="Y220" s="114" t="s">
        <v>574</v>
      </c>
      <c r="Z220" s="114"/>
      <c r="AA220" s="166">
        <v>0</v>
      </c>
      <c r="AB220" s="166">
        <v>114.08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84"/>
      <c r="BJ220" s="185"/>
    </row>
    <row r="221" spans="1:62" ht="12.75" customHeight="1" x14ac:dyDescent="0.35">
      <c r="A221" s="105"/>
      <c r="B221" s="163" t="s">
        <v>9</v>
      </c>
      <c r="C221" s="5" t="s">
        <v>5</v>
      </c>
      <c r="D221" s="5" t="s">
        <v>308</v>
      </c>
      <c r="E221" s="5" t="s">
        <v>797</v>
      </c>
      <c r="F221" s="5">
        <v>1079784</v>
      </c>
      <c r="G221" s="117" t="s">
        <v>801</v>
      </c>
      <c r="H221" s="164">
        <v>0</v>
      </c>
      <c r="I221" s="164">
        <v>0</v>
      </c>
      <c r="J221" s="114">
        <v>0</v>
      </c>
      <c r="K221" s="114">
        <v>0</v>
      </c>
      <c r="L221" s="165">
        <v>0</v>
      </c>
      <c r="M221" s="115">
        <v>0</v>
      </c>
      <c r="N221" s="165">
        <v>0</v>
      </c>
      <c r="O221" s="165">
        <v>0</v>
      </c>
      <c r="P221" s="115">
        <v>0</v>
      </c>
      <c r="Q221" s="5">
        <v>1</v>
      </c>
      <c r="R221" s="5">
        <v>0</v>
      </c>
      <c r="S221" s="5">
        <v>1</v>
      </c>
      <c r="T221" s="5">
        <v>0</v>
      </c>
      <c r="U221" s="5">
        <v>0</v>
      </c>
      <c r="V221" s="5">
        <v>2784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65920.95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84"/>
      <c r="BJ221" s="185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1079785</v>
      </c>
      <c r="G222" s="117" t="s">
        <v>800</v>
      </c>
      <c r="H222" s="164">
        <v>0</v>
      </c>
      <c r="I222" s="164">
        <v>0</v>
      </c>
      <c r="J222" s="114">
        <v>0</v>
      </c>
      <c r="K222" s="114">
        <v>0</v>
      </c>
      <c r="L222" s="165">
        <v>0</v>
      </c>
      <c r="M222" s="115">
        <v>0</v>
      </c>
      <c r="N222" s="165">
        <v>0</v>
      </c>
      <c r="O222" s="165">
        <v>0</v>
      </c>
      <c r="P222" s="115">
        <v>0</v>
      </c>
      <c r="Q222" s="5">
        <v>2582</v>
      </c>
      <c r="R222" s="5">
        <v>0</v>
      </c>
      <c r="S222" s="5">
        <v>2582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58095</v>
      </c>
      <c r="AC222" s="167"/>
      <c r="AD222" s="168"/>
      <c r="AE222" s="168" t="s">
        <v>574</v>
      </c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84" t="s">
        <v>1</v>
      </c>
      <c r="BJ222" s="185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1079786</v>
      </c>
      <c r="G223" s="117" t="s">
        <v>799</v>
      </c>
      <c r="H223" s="164">
        <v>0</v>
      </c>
      <c r="I223" s="164">
        <v>0</v>
      </c>
      <c r="J223" s="114">
        <v>0</v>
      </c>
      <c r="K223" s="114">
        <v>0</v>
      </c>
      <c r="L223" s="165">
        <v>0</v>
      </c>
      <c r="M223" s="115">
        <v>0</v>
      </c>
      <c r="N223" s="165">
        <v>0</v>
      </c>
      <c r="O223" s="165">
        <v>0</v>
      </c>
      <c r="P223" s="11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0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84" t="s">
        <v>1</v>
      </c>
      <c r="BJ223" s="185"/>
    </row>
    <row r="224" spans="1:62" ht="12.75" customHeight="1" x14ac:dyDescent="0.35">
      <c r="A224" s="105"/>
      <c r="B224" s="163" t="s">
        <v>31</v>
      </c>
      <c r="C224" s="5" t="s">
        <v>5</v>
      </c>
      <c r="D224" s="5" t="s">
        <v>306</v>
      </c>
      <c r="E224" s="5" t="s">
        <v>307</v>
      </c>
      <c r="F224" s="141">
        <v>1074078</v>
      </c>
      <c r="G224" s="142" t="s">
        <v>680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>
        <v>64.281292984869324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86" t="s">
        <v>1</v>
      </c>
      <c r="BJ224" s="185"/>
    </row>
    <row r="225" spans="1:62" ht="12.75" customHeight="1" x14ac:dyDescent="0.35">
      <c r="A225" s="105"/>
      <c r="B225" s="163" t="s">
        <v>1</v>
      </c>
      <c r="C225" s="5" t="s">
        <v>11</v>
      </c>
      <c r="D225" s="5" t="s">
        <v>396</v>
      </c>
      <c r="E225" s="5" t="s">
        <v>307</v>
      </c>
      <c r="F225" s="141">
        <v>1057511</v>
      </c>
      <c r="G225" s="142" t="s">
        <v>246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 t="s">
        <v>574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84" t="s">
        <v>1</v>
      </c>
      <c r="BJ225" s="185"/>
    </row>
    <row r="226" spans="1:62" ht="12.75" customHeight="1" x14ac:dyDescent="0.35">
      <c r="A226" s="105"/>
      <c r="B226" s="163" t="s">
        <v>1</v>
      </c>
      <c r="C226" s="5" t="s">
        <v>5</v>
      </c>
      <c r="D226" s="5" t="s">
        <v>396</v>
      </c>
      <c r="E226" s="5" t="s">
        <v>307</v>
      </c>
      <c r="F226" s="143">
        <v>1067888</v>
      </c>
      <c r="G226" s="144" t="s">
        <v>541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84" t="s">
        <v>1</v>
      </c>
      <c r="BJ226" s="185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39">
        <v>2014940</v>
      </c>
      <c r="G227" s="140" t="s">
        <v>176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/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84"/>
      <c r="BJ227" s="185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2014937</v>
      </c>
      <c r="G228" s="140" t="s">
        <v>175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 t="s">
        <v>574</v>
      </c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84" t="s">
        <v>1</v>
      </c>
      <c r="BJ228" s="185"/>
    </row>
    <row r="229" spans="1:62" ht="12.75" customHeight="1" x14ac:dyDescent="0.35">
      <c r="A229" s="105"/>
      <c r="B229" s="163" t="s">
        <v>1</v>
      </c>
      <c r="C229" s="5" t="s">
        <v>2</v>
      </c>
      <c r="D229" s="5" t="s">
        <v>310</v>
      </c>
      <c r="E229" s="5" t="s">
        <v>311</v>
      </c>
      <c r="F229" s="139">
        <v>1034575</v>
      </c>
      <c r="G229" s="140" t="s">
        <v>99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>
        <v>6.2969006244473675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86" t="s">
        <v>1</v>
      </c>
      <c r="BJ229" s="185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1032787</v>
      </c>
      <c r="G230" s="140" t="s">
        <v>53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/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84" t="s">
        <v>1</v>
      </c>
      <c r="BJ230" s="185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1042466</v>
      </c>
      <c r="G231" s="140" t="s">
        <v>114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20</v>
      </c>
      <c r="X231" s="114">
        <v>0</v>
      </c>
      <c r="Y231" s="114" t="s">
        <v>574</v>
      </c>
      <c r="Z231" s="114"/>
      <c r="AA231" s="166">
        <v>0</v>
      </c>
      <c r="AB231" s="166">
        <v>300.39999999999998</v>
      </c>
      <c r="AC231" s="167"/>
      <c r="AD231" s="168"/>
      <c r="AE231" s="168" t="s">
        <v>574</v>
      </c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84" t="s">
        <v>1</v>
      </c>
      <c r="BJ231" s="185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1057891</v>
      </c>
      <c r="G232" s="140" t="s">
        <v>250</v>
      </c>
      <c r="H232" s="164">
        <v>0</v>
      </c>
      <c r="I232" s="164">
        <v>0</v>
      </c>
      <c r="J232" s="114">
        <v>0</v>
      </c>
      <c r="K232" s="114">
        <v>0</v>
      </c>
      <c r="L232" s="165">
        <v>0</v>
      </c>
      <c r="M232" s="115">
        <v>0</v>
      </c>
      <c r="N232" s="165">
        <v>0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84" t="s">
        <v>1</v>
      </c>
      <c r="BJ232" s="185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1059918</v>
      </c>
      <c r="G233" s="140" t="s">
        <v>347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84" t="s">
        <v>1</v>
      </c>
      <c r="BJ233" s="185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1051338</v>
      </c>
      <c r="G234" s="140" t="s">
        <v>218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84" t="s">
        <v>1</v>
      </c>
      <c r="BJ234" s="185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1037104</v>
      </c>
      <c r="G235" s="140" t="s">
        <v>55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/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86" t="s">
        <v>1</v>
      </c>
      <c r="BJ235" s="185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1049606</v>
      </c>
      <c r="G236" s="140" t="s">
        <v>125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84"/>
      <c r="BJ236" s="185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1042467</v>
      </c>
      <c r="G237" s="140" t="s">
        <v>92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86"/>
      <c r="BJ237" s="185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1042079</v>
      </c>
      <c r="G238" s="140" t="s">
        <v>295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40</v>
      </c>
      <c r="X238" s="114">
        <v>0</v>
      </c>
      <c r="Y238" s="114" t="s">
        <v>574</v>
      </c>
      <c r="Z238" s="114"/>
      <c r="AA238" s="166">
        <v>0</v>
      </c>
      <c r="AB238" s="166">
        <v>494.4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86"/>
      <c r="BJ238" s="185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1051339</v>
      </c>
      <c r="G239" s="140" t="s">
        <v>215</v>
      </c>
      <c r="H239" s="164">
        <v>0</v>
      </c>
      <c r="I239" s="164">
        <v>0</v>
      </c>
      <c r="J239" s="114">
        <v>0</v>
      </c>
      <c r="K239" s="114">
        <v>0</v>
      </c>
      <c r="L239" s="165">
        <v>0</v>
      </c>
      <c r="M239" s="115">
        <v>0</v>
      </c>
      <c r="N239" s="165">
        <v>0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 t="s">
        <v>574</v>
      </c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84" t="s">
        <v>1</v>
      </c>
      <c r="BJ239" s="185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1042076</v>
      </c>
      <c r="G240" s="140" t="s">
        <v>294</v>
      </c>
      <c r="H240" s="164">
        <v>0</v>
      </c>
      <c r="I240" s="164">
        <v>0</v>
      </c>
      <c r="J240" s="114">
        <v>0</v>
      </c>
      <c r="K240" s="114">
        <v>0</v>
      </c>
      <c r="L240" s="165">
        <v>0</v>
      </c>
      <c r="M240" s="115">
        <v>0</v>
      </c>
      <c r="N240" s="165">
        <v>0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71"/>
      <c r="AE240" s="171" t="s">
        <v>574</v>
      </c>
      <c r="AF240" s="171"/>
      <c r="AG240" s="171"/>
      <c r="AH240" s="171"/>
      <c r="AI240" s="171"/>
      <c r="AJ240" s="171"/>
      <c r="AK240" s="171"/>
      <c r="AL240" s="171"/>
      <c r="AM240" s="171"/>
      <c r="AN240" s="171"/>
      <c r="AO240" s="171"/>
      <c r="AP240" s="171"/>
      <c r="AQ240" s="168"/>
      <c r="AR240" s="168"/>
      <c r="AS240" s="171"/>
      <c r="AT240" s="171"/>
      <c r="AU240" s="171"/>
      <c r="AV240" s="171"/>
      <c r="AW240" s="171"/>
      <c r="AX240" s="171"/>
      <c r="AY240" s="171"/>
      <c r="AZ240" s="171"/>
      <c r="BA240" s="171"/>
      <c r="BB240" s="171"/>
      <c r="BC240" s="171"/>
      <c r="BD240" s="171"/>
      <c r="BE240" s="168"/>
      <c r="BF240" s="168"/>
      <c r="BG240" s="168"/>
      <c r="BH240" s="171"/>
      <c r="BI240" s="184" t="s">
        <v>1</v>
      </c>
      <c r="BJ240" s="185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1042077</v>
      </c>
      <c r="G241" s="140" t="s">
        <v>510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1"/>
      <c r="AE241" s="171">
        <v>26.157817326077367</v>
      </c>
      <c r="AF241" s="171"/>
      <c r="AG241" s="171"/>
      <c r="AH241" s="171"/>
      <c r="AI241" s="171"/>
      <c r="AJ241" s="171"/>
      <c r="AK241" s="171"/>
      <c r="AL241" s="171"/>
      <c r="AM241" s="171"/>
      <c r="AN241" s="171"/>
      <c r="AO241" s="171"/>
      <c r="AP241" s="171"/>
      <c r="AQ241" s="168"/>
      <c r="AR241" s="168"/>
      <c r="AS241" s="171"/>
      <c r="AT241" s="171"/>
      <c r="AU241" s="171"/>
      <c r="AV241" s="171"/>
      <c r="AW241" s="171"/>
      <c r="AX241" s="171"/>
      <c r="AY241" s="171"/>
      <c r="AZ241" s="171"/>
      <c r="BA241" s="171"/>
      <c r="BB241" s="171"/>
      <c r="BC241" s="171"/>
      <c r="BD241" s="171"/>
      <c r="BE241" s="168"/>
      <c r="BF241" s="168"/>
      <c r="BG241" s="168"/>
      <c r="BH241" s="171"/>
      <c r="BI241" s="186" t="s">
        <v>1</v>
      </c>
      <c r="BJ241" s="185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1042080</v>
      </c>
      <c r="G242" s="140" t="s">
        <v>296</v>
      </c>
      <c r="H242" s="164">
        <v>0</v>
      </c>
      <c r="I242" s="164">
        <v>0</v>
      </c>
      <c r="J242" s="114">
        <v>0</v>
      </c>
      <c r="K242" s="114">
        <v>-4</v>
      </c>
      <c r="L242" s="165">
        <v>-2.4000000000000004</v>
      </c>
      <c r="M242" s="115">
        <v>0</v>
      </c>
      <c r="N242" s="165">
        <v>2.4000000000000004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1"/>
      <c r="AE242" s="171"/>
      <c r="AF242" s="171"/>
      <c r="AG242" s="171"/>
      <c r="AH242" s="171"/>
      <c r="AI242" s="171"/>
      <c r="AJ242" s="171"/>
      <c r="AK242" s="171"/>
      <c r="AL242" s="171"/>
      <c r="AM242" s="171"/>
      <c r="AN242" s="171"/>
      <c r="AO242" s="171"/>
      <c r="AP242" s="171"/>
      <c r="AQ242" s="168"/>
      <c r="AR242" s="168"/>
      <c r="AS242" s="171"/>
      <c r="AT242" s="171"/>
      <c r="AU242" s="171"/>
      <c r="AV242" s="171"/>
      <c r="AW242" s="171"/>
      <c r="AX242" s="171"/>
      <c r="AY242" s="171"/>
      <c r="AZ242" s="171"/>
      <c r="BA242" s="171"/>
      <c r="BB242" s="171"/>
      <c r="BC242" s="171"/>
      <c r="BD242" s="171"/>
      <c r="BE242" s="168"/>
      <c r="BF242" s="168"/>
      <c r="BG242" s="168"/>
      <c r="BH242" s="171"/>
      <c r="BI242" s="186" t="s">
        <v>1</v>
      </c>
      <c r="BJ242" s="185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1042081</v>
      </c>
      <c r="G243" s="140" t="s">
        <v>297</v>
      </c>
      <c r="H243" s="164">
        <v>0</v>
      </c>
      <c r="I243" s="164">
        <v>0</v>
      </c>
      <c r="J243" s="114">
        <v>0</v>
      </c>
      <c r="K243" s="114">
        <v>0</v>
      </c>
      <c r="L243" s="165">
        <v>0</v>
      </c>
      <c r="M243" s="115">
        <v>0</v>
      </c>
      <c r="N243" s="165">
        <v>0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68"/>
      <c r="AE243" s="168">
        <v>58.967959527824618</v>
      </c>
      <c r="AF243" s="168"/>
      <c r="AG243" s="168"/>
      <c r="AH243" s="168"/>
      <c r="AI243" s="168"/>
      <c r="AJ243" s="168"/>
      <c r="AK243" s="168"/>
      <c r="AL243" s="168"/>
      <c r="AM243" s="168"/>
      <c r="AN243" s="168"/>
      <c r="AO243" s="168"/>
      <c r="AP243" s="168"/>
      <c r="AQ243" s="168"/>
      <c r="AR243" s="168"/>
      <c r="AS243" s="168"/>
      <c r="AT243" s="168"/>
      <c r="AU243" s="168"/>
      <c r="AV243" s="168"/>
      <c r="AW243" s="168"/>
      <c r="AX243" s="168"/>
      <c r="AY243" s="168"/>
      <c r="AZ243" s="168"/>
      <c r="BA243" s="168"/>
      <c r="BB243" s="168"/>
      <c r="BC243" s="168"/>
      <c r="BD243" s="168"/>
      <c r="BE243" s="168"/>
      <c r="BF243" s="168"/>
      <c r="BG243" s="168"/>
      <c r="BH243" s="168"/>
      <c r="BI243" s="184" t="s">
        <v>1</v>
      </c>
      <c r="BJ243" s="185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1041921</v>
      </c>
      <c r="G244" s="140" t="s">
        <v>110</v>
      </c>
      <c r="H244" s="164">
        <v>0</v>
      </c>
      <c r="I244" s="164">
        <v>0</v>
      </c>
      <c r="J244" s="114">
        <v>0</v>
      </c>
      <c r="K244" s="114">
        <v>1</v>
      </c>
      <c r="L244" s="165">
        <v>0.18</v>
      </c>
      <c r="M244" s="115">
        <v>0</v>
      </c>
      <c r="N244" s="165">
        <v>0.18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29</v>
      </c>
      <c r="X244" s="114">
        <v>0</v>
      </c>
      <c r="Y244" s="114" t="s">
        <v>574</v>
      </c>
      <c r="Z244" s="114"/>
      <c r="AA244" s="166">
        <v>0</v>
      </c>
      <c r="AB244" s="166">
        <v>70.760000000000005</v>
      </c>
      <c r="AC244" s="167"/>
      <c r="AD244" s="168"/>
      <c r="AE244" s="168"/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84" t="s">
        <v>1</v>
      </c>
      <c r="BJ244" s="185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1048121</v>
      </c>
      <c r="G245" s="140" t="s">
        <v>135</v>
      </c>
      <c r="H245" s="164">
        <v>0</v>
      </c>
      <c r="I245" s="164">
        <v>0</v>
      </c>
      <c r="J245" s="114">
        <v>0</v>
      </c>
      <c r="K245" s="114">
        <v>0</v>
      </c>
      <c r="L245" s="165">
        <v>0</v>
      </c>
      <c r="M245" s="115">
        <v>0</v>
      </c>
      <c r="N245" s="165">
        <v>0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14">
        <v>0</v>
      </c>
      <c r="Y245" s="114" t="s">
        <v>574</v>
      </c>
      <c r="Z245" s="114"/>
      <c r="AA245" s="166">
        <v>0</v>
      </c>
      <c r="AB245" s="166">
        <v>0</v>
      </c>
      <c r="AC245" s="167"/>
      <c r="AD245" s="171"/>
      <c r="AE245" s="171">
        <v>28.21</v>
      </c>
      <c r="AF245" s="171"/>
      <c r="AG245" s="171"/>
      <c r="AH245" s="171"/>
      <c r="AI245" s="171"/>
      <c r="AJ245" s="171"/>
      <c r="AK245" s="171"/>
      <c r="AL245" s="171"/>
      <c r="AM245" s="171"/>
      <c r="AN245" s="171"/>
      <c r="AO245" s="171"/>
      <c r="AP245" s="171"/>
      <c r="AQ245" s="168"/>
      <c r="AR245" s="168"/>
      <c r="AS245" s="171"/>
      <c r="AT245" s="171"/>
      <c r="AU245" s="171"/>
      <c r="AV245" s="171"/>
      <c r="AW245" s="171"/>
      <c r="AX245" s="171"/>
      <c r="AY245" s="171"/>
      <c r="AZ245" s="171"/>
      <c r="BA245" s="171"/>
      <c r="BB245" s="171"/>
      <c r="BC245" s="171"/>
      <c r="BD245" s="171"/>
      <c r="BE245" s="168"/>
      <c r="BF245" s="168"/>
      <c r="BG245" s="168"/>
      <c r="BH245" s="171"/>
      <c r="BI245" s="186" t="s">
        <v>1</v>
      </c>
      <c r="BJ245" s="185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1059078</v>
      </c>
      <c r="G246" s="140" t="s">
        <v>411</v>
      </c>
      <c r="H246" s="164">
        <v>0</v>
      </c>
      <c r="I246" s="164">
        <v>0</v>
      </c>
      <c r="J246" s="114">
        <v>0</v>
      </c>
      <c r="K246" s="114">
        <v>0</v>
      </c>
      <c r="L246" s="165">
        <v>0</v>
      </c>
      <c r="M246" s="115">
        <v>0</v>
      </c>
      <c r="N246" s="165">
        <v>0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68"/>
      <c r="AE246" s="168"/>
      <c r="AF246" s="168"/>
      <c r="AG246" s="168"/>
      <c r="AH246" s="168"/>
      <c r="AI246" s="168"/>
      <c r="AJ246" s="168"/>
      <c r="AK246" s="168"/>
      <c r="AL246" s="168"/>
      <c r="AM246" s="168"/>
      <c r="AN246" s="168"/>
      <c r="AO246" s="168"/>
      <c r="AP246" s="168"/>
      <c r="AQ246" s="168"/>
      <c r="AR246" s="168"/>
      <c r="AS246" s="168"/>
      <c r="AT246" s="168"/>
      <c r="AU246" s="168"/>
      <c r="AV246" s="168"/>
      <c r="AW246" s="168"/>
      <c r="AX246" s="168"/>
      <c r="AY246" s="168"/>
      <c r="AZ246" s="168"/>
      <c r="BA246" s="168"/>
      <c r="BB246" s="168"/>
      <c r="BC246" s="168"/>
      <c r="BD246" s="168"/>
      <c r="BE246" s="168"/>
      <c r="BF246" s="168"/>
      <c r="BG246" s="168"/>
      <c r="BH246" s="168"/>
      <c r="BI246" s="184"/>
      <c r="BJ246" s="185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20">
        <v>1049607</v>
      </c>
      <c r="G247" s="140" t="s">
        <v>136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71"/>
      <c r="AE247" s="171" t="s">
        <v>574</v>
      </c>
      <c r="AF247" s="171"/>
      <c r="AG247" s="171"/>
      <c r="AH247" s="171"/>
      <c r="AI247" s="171"/>
      <c r="AJ247" s="171"/>
      <c r="AK247" s="171"/>
      <c r="AL247" s="171"/>
      <c r="AM247" s="171"/>
      <c r="AN247" s="171"/>
      <c r="AO247" s="171"/>
      <c r="AP247" s="171"/>
      <c r="AQ247" s="168"/>
      <c r="AR247" s="168"/>
      <c r="AS247" s="171"/>
      <c r="AT247" s="171"/>
      <c r="AU247" s="171"/>
      <c r="AV247" s="171"/>
      <c r="AW247" s="171"/>
      <c r="AX247" s="171"/>
      <c r="AY247" s="171"/>
      <c r="AZ247" s="171"/>
      <c r="BA247" s="171"/>
      <c r="BB247" s="171"/>
      <c r="BC247" s="171"/>
      <c r="BD247" s="171"/>
      <c r="BE247" s="168"/>
      <c r="BF247" s="168"/>
      <c r="BG247" s="168"/>
      <c r="BH247" s="171"/>
      <c r="BI247" s="186" t="s">
        <v>1</v>
      </c>
      <c r="BJ247" s="185"/>
    </row>
    <row r="248" spans="1:62" ht="12.75" customHeight="1" x14ac:dyDescent="0.35">
      <c r="A248" s="105"/>
      <c r="B248" s="163" t="s">
        <v>1</v>
      </c>
      <c r="C248" s="5" t="s">
        <v>50</v>
      </c>
      <c r="D248" s="5" t="s">
        <v>310</v>
      </c>
      <c r="E248" s="5" t="s">
        <v>403</v>
      </c>
      <c r="F248" s="139">
        <v>1061341</v>
      </c>
      <c r="G248" s="140" t="s">
        <v>440</v>
      </c>
      <c r="H248" s="164">
        <v>0</v>
      </c>
      <c r="I248" s="164">
        <v>0</v>
      </c>
      <c r="J248" s="114">
        <v>0</v>
      </c>
      <c r="K248" s="114">
        <v>0</v>
      </c>
      <c r="L248" s="165">
        <v>0</v>
      </c>
      <c r="M248" s="115">
        <v>0</v>
      </c>
      <c r="N248" s="165">
        <v>0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63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142.38</v>
      </c>
      <c r="AC248" s="167"/>
      <c r="AD248" s="171"/>
      <c r="AE248" s="171" t="s">
        <v>574</v>
      </c>
      <c r="AF248" s="171"/>
      <c r="AG248" s="171"/>
      <c r="AH248" s="171"/>
      <c r="AI248" s="171"/>
      <c r="AJ248" s="171"/>
      <c r="AK248" s="171"/>
      <c r="AL248" s="171"/>
      <c r="AM248" s="171"/>
      <c r="AN248" s="171"/>
      <c r="AO248" s="171"/>
      <c r="AP248" s="171"/>
      <c r="AQ248" s="168"/>
      <c r="AR248" s="168"/>
      <c r="AS248" s="171"/>
      <c r="AT248" s="171"/>
      <c r="AU248" s="171"/>
      <c r="AV248" s="171"/>
      <c r="AW248" s="171"/>
      <c r="AX248" s="171"/>
      <c r="AY248" s="171"/>
      <c r="AZ248" s="171"/>
      <c r="BA248" s="171"/>
      <c r="BB248" s="171"/>
      <c r="BC248" s="171"/>
      <c r="BD248" s="171"/>
      <c r="BE248" s="168"/>
      <c r="BF248" s="168"/>
      <c r="BG248" s="168"/>
      <c r="BH248" s="171"/>
      <c r="BI248" s="186" t="s">
        <v>1</v>
      </c>
      <c r="BJ248" s="185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1061338</v>
      </c>
      <c r="G249" s="140" t="s">
        <v>438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0</v>
      </c>
      <c r="AC249" s="167"/>
      <c r="AD249" s="171"/>
      <c r="AE249" s="171"/>
      <c r="AF249" s="171"/>
      <c r="AG249" s="171"/>
      <c r="AH249" s="171"/>
      <c r="AI249" s="171"/>
      <c r="AJ249" s="171"/>
      <c r="AK249" s="171"/>
      <c r="AL249" s="171"/>
      <c r="AM249" s="171"/>
      <c r="AN249" s="171"/>
      <c r="AO249" s="171"/>
      <c r="AP249" s="171"/>
      <c r="AQ249" s="168"/>
      <c r="AR249" s="168"/>
      <c r="AS249" s="171"/>
      <c r="AT249" s="171"/>
      <c r="AU249" s="171"/>
      <c r="AV249" s="171"/>
      <c r="AW249" s="171"/>
      <c r="AX249" s="171"/>
      <c r="AY249" s="171"/>
      <c r="AZ249" s="171"/>
      <c r="BA249" s="171"/>
      <c r="BB249" s="171"/>
      <c r="BC249" s="171"/>
      <c r="BD249" s="171"/>
      <c r="BE249" s="168"/>
      <c r="BF249" s="168"/>
      <c r="BG249" s="168"/>
      <c r="BH249" s="171"/>
      <c r="BI249" s="186" t="s">
        <v>1</v>
      </c>
      <c r="BJ249" s="185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43">
        <v>1061343</v>
      </c>
      <c r="G250" s="144" t="s">
        <v>441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20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45.2</v>
      </c>
      <c r="AC250" s="167"/>
      <c r="AD250" s="168"/>
      <c r="AE250" s="168" t="s">
        <v>574</v>
      </c>
      <c r="AF250" s="168"/>
      <c r="AG250" s="168"/>
      <c r="AH250" s="168"/>
      <c r="AI250" s="168"/>
      <c r="AJ250" s="168"/>
      <c r="AK250" s="168"/>
      <c r="AL250" s="168"/>
      <c r="AM250" s="168"/>
      <c r="AN250" s="168"/>
      <c r="AO250" s="168"/>
      <c r="AP250" s="168"/>
      <c r="AQ250" s="168"/>
      <c r="AR250" s="168"/>
      <c r="AS250" s="168"/>
      <c r="AT250" s="168"/>
      <c r="AU250" s="168"/>
      <c r="AV250" s="168"/>
      <c r="AW250" s="168"/>
      <c r="AX250" s="168"/>
      <c r="AY250" s="168"/>
      <c r="AZ250" s="168"/>
      <c r="BA250" s="168"/>
      <c r="BB250" s="168"/>
      <c r="BC250" s="168"/>
      <c r="BD250" s="168"/>
      <c r="BE250" s="168"/>
      <c r="BF250" s="168"/>
      <c r="BG250" s="168"/>
      <c r="BH250" s="168"/>
      <c r="BI250" s="184" t="s">
        <v>1</v>
      </c>
      <c r="BJ250" s="185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39">
        <v>1061340</v>
      </c>
      <c r="G251" s="140" t="s">
        <v>439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0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84" t="s">
        <v>1</v>
      </c>
      <c r="BJ251" s="185"/>
    </row>
    <row r="252" spans="1:62" ht="12.75" customHeight="1" x14ac:dyDescent="0.35">
      <c r="A252" s="105"/>
      <c r="B252" s="163" t="s">
        <v>148</v>
      </c>
      <c r="C252" s="5" t="s">
        <v>5</v>
      </c>
      <c r="D252" s="5" t="s">
        <v>318</v>
      </c>
      <c r="E252" s="5" t="s">
        <v>319</v>
      </c>
      <c r="F252" s="139">
        <v>1054528</v>
      </c>
      <c r="G252" s="140" t="s">
        <v>202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71"/>
      <c r="AE252" s="171"/>
      <c r="AF252" s="171"/>
      <c r="AG252" s="171"/>
      <c r="AH252" s="171"/>
      <c r="AI252" s="171"/>
      <c r="AJ252" s="171"/>
      <c r="AK252" s="171"/>
      <c r="AL252" s="171"/>
      <c r="AM252" s="171"/>
      <c r="AN252" s="171"/>
      <c r="AO252" s="171"/>
      <c r="AP252" s="171"/>
      <c r="AQ252" s="168"/>
      <c r="AR252" s="168"/>
      <c r="AS252" s="171"/>
      <c r="AT252" s="171"/>
      <c r="AU252" s="171"/>
      <c r="AV252" s="171"/>
      <c r="AW252" s="171"/>
      <c r="AX252" s="171"/>
      <c r="AY252" s="171"/>
      <c r="AZ252" s="171"/>
      <c r="BA252" s="171"/>
      <c r="BB252" s="171"/>
      <c r="BC252" s="171"/>
      <c r="BD252" s="171"/>
      <c r="BE252" s="168"/>
      <c r="BF252" s="168"/>
      <c r="BG252" s="168"/>
      <c r="BH252" s="171"/>
      <c r="BI252" s="186" t="s">
        <v>1</v>
      </c>
      <c r="BJ252" s="185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12">
        <v>1065707</v>
      </c>
      <c r="G253" s="113" t="s">
        <v>528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68"/>
      <c r="AE253" s="168" t="s">
        <v>574</v>
      </c>
      <c r="AF253" s="168"/>
      <c r="AG253" s="168"/>
      <c r="AH253" s="168"/>
      <c r="AI253" s="168"/>
      <c r="AJ253" s="168"/>
      <c r="AK253" s="168"/>
      <c r="AL253" s="168"/>
      <c r="AM253" s="168"/>
      <c r="AN253" s="168"/>
      <c r="AO253" s="168"/>
      <c r="AP253" s="168"/>
      <c r="AQ253" s="168"/>
      <c r="AR253" s="168"/>
      <c r="AS253" s="168"/>
      <c r="AT253" s="168"/>
      <c r="AU253" s="168"/>
      <c r="AV253" s="168"/>
      <c r="AW253" s="168"/>
      <c r="AX253" s="168"/>
      <c r="AY253" s="168"/>
      <c r="AZ253" s="168"/>
      <c r="BA253" s="168"/>
      <c r="BB253" s="168"/>
      <c r="BC253" s="168"/>
      <c r="BD253" s="168"/>
      <c r="BE253" s="168"/>
      <c r="BF253" s="168"/>
      <c r="BG253" s="168"/>
      <c r="BH253" s="168"/>
      <c r="BI253" s="184" t="s">
        <v>1</v>
      </c>
      <c r="BJ253" s="185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1069658</v>
      </c>
      <c r="G254" s="113" t="s">
        <v>659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84" t="s">
        <v>1</v>
      </c>
      <c r="BJ254" s="185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39">
        <v>1010485</v>
      </c>
      <c r="G255" s="140" t="s">
        <v>147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/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84" t="s">
        <v>1</v>
      </c>
      <c r="BJ255" s="185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1010130</v>
      </c>
      <c r="G256" s="140" t="s">
        <v>179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>
        <v>9.4777635624128784</v>
      </c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86" t="s">
        <v>1</v>
      </c>
      <c r="BJ256" s="185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307</v>
      </c>
      <c r="F257" s="139">
        <v>1058894</v>
      </c>
      <c r="G257" s="140" t="s">
        <v>252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71"/>
      <c r="AE257" s="171">
        <v>9.6050294151574587</v>
      </c>
      <c r="AF257" s="171"/>
      <c r="AG257" s="171"/>
      <c r="AH257" s="171"/>
      <c r="AI257" s="171"/>
      <c r="AJ257" s="171"/>
      <c r="AK257" s="171"/>
      <c r="AL257" s="171"/>
      <c r="AM257" s="171"/>
      <c r="AN257" s="171"/>
      <c r="AO257" s="171"/>
      <c r="AP257" s="171"/>
      <c r="AQ257" s="168"/>
      <c r="AR257" s="168"/>
      <c r="AS257" s="171"/>
      <c r="AT257" s="171"/>
      <c r="AU257" s="171"/>
      <c r="AV257" s="171"/>
      <c r="AW257" s="171"/>
      <c r="AX257" s="171"/>
      <c r="AY257" s="171"/>
      <c r="AZ257" s="171"/>
      <c r="BA257" s="171"/>
      <c r="BB257" s="171"/>
      <c r="BC257" s="171"/>
      <c r="BD257" s="171"/>
      <c r="BE257" s="168"/>
      <c r="BF257" s="168"/>
      <c r="BG257" s="168"/>
      <c r="BH257" s="171"/>
      <c r="BI257" s="184" t="s">
        <v>1</v>
      </c>
      <c r="BJ257" s="185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12">
        <v>1072790</v>
      </c>
      <c r="G258" s="113" t="s">
        <v>617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1"/>
      <c r="AE258" s="171" t="s">
        <v>574</v>
      </c>
      <c r="AF258" s="171"/>
      <c r="AG258" s="171"/>
      <c r="AH258" s="171"/>
      <c r="AI258" s="171"/>
      <c r="AJ258" s="171"/>
      <c r="AK258" s="171"/>
      <c r="AL258" s="171"/>
      <c r="AM258" s="171"/>
      <c r="AN258" s="171"/>
      <c r="AO258" s="171"/>
      <c r="AP258" s="171"/>
      <c r="AQ258" s="168"/>
      <c r="AR258" s="168"/>
      <c r="AS258" s="171"/>
      <c r="AT258" s="171"/>
      <c r="AU258" s="171"/>
      <c r="AV258" s="171"/>
      <c r="AW258" s="171"/>
      <c r="AX258" s="171"/>
      <c r="AY258" s="171"/>
      <c r="AZ258" s="171"/>
      <c r="BA258" s="171"/>
      <c r="BB258" s="171"/>
      <c r="BC258" s="171"/>
      <c r="BD258" s="171"/>
      <c r="BE258" s="168"/>
      <c r="BF258" s="168"/>
      <c r="BG258" s="168"/>
      <c r="BH258" s="171"/>
      <c r="BI258" s="184" t="s">
        <v>1</v>
      </c>
      <c r="BJ258" s="185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28">
        <v>1058429</v>
      </c>
      <c r="G259" s="129" t="s">
        <v>254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1"/>
      <c r="AE259" s="171" t="s">
        <v>574</v>
      </c>
      <c r="AF259" s="171"/>
      <c r="AG259" s="171"/>
      <c r="AH259" s="171"/>
      <c r="AI259" s="171"/>
      <c r="AJ259" s="171"/>
      <c r="AK259" s="171"/>
      <c r="AL259" s="171"/>
      <c r="AM259" s="171"/>
      <c r="AN259" s="171"/>
      <c r="AO259" s="171"/>
      <c r="AP259" s="171"/>
      <c r="AQ259" s="168"/>
      <c r="AR259" s="168"/>
      <c r="AS259" s="171"/>
      <c r="AT259" s="171"/>
      <c r="AU259" s="171"/>
      <c r="AV259" s="171"/>
      <c r="AW259" s="171"/>
      <c r="AX259" s="171"/>
      <c r="AY259" s="171"/>
      <c r="AZ259" s="171"/>
      <c r="BA259" s="171"/>
      <c r="BB259" s="171"/>
      <c r="BC259" s="171"/>
      <c r="BD259" s="171"/>
      <c r="BE259" s="168"/>
      <c r="BF259" s="168"/>
      <c r="BG259" s="168"/>
      <c r="BH259" s="171"/>
      <c r="BI259" s="186" t="s">
        <v>1</v>
      </c>
      <c r="BJ259" s="185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39">
        <v>1058428</v>
      </c>
      <c r="G260" s="140" t="s">
        <v>354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1"/>
      <c r="AE260" s="171">
        <v>32.839033816425115</v>
      </c>
      <c r="AF260" s="171"/>
      <c r="AG260" s="171"/>
      <c r="AH260" s="171"/>
      <c r="AI260" s="171"/>
      <c r="AJ260" s="171"/>
      <c r="AK260" s="171"/>
      <c r="AL260" s="171"/>
      <c r="AM260" s="171"/>
      <c r="AN260" s="171"/>
      <c r="AO260" s="171"/>
      <c r="AP260" s="171"/>
      <c r="AQ260" s="168"/>
      <c r="AR260" s="168"/>
      <c r="AS260" s="171"/>
      <c r="AT260" s="171"/>
      <c r="AU260" s="171"/>
      <c r="AV260" s="171"/>
      <c r="AW260" s="171"/>
      <c r="AX260" s="171"/>
      <c r="AY260" s="171"/>
      <c r="AZ260" s="171"/>
      <c r="BA260" s="171"/>
      <c r="BB260" s="171"/>
      <c r="BC260" s="171"/>
      <c r="BD260" s="171"/>
      <c r="BE260" s="168"/>
      <c r="BF260" s="168"/>
      <c r="BG260" s="168"/>
      <c r="BH260" s="171"/>
      <c r="BI260" s="186" t="s">
        <v>1</v>
      </c>
      <c r="BJ260" s="185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28">
        <v>1058427</v>
      </c>
      <c r="G261" s="129" t="s">
        <v>348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3"/>
      <c r="AE261" s="173"/>
      <c r="AF261" s="173"/>
      <c r="AG261" s="173"/>
      <c r="AH261" s="173"/>
      <c r="AI261" s="173"/>
      <c r="AJ261" s="173"/>
      <c r="AK261" s="173"/>
      <c r="AL261" s="173"/>
      <c r="AM261" s="173"/>
      <c r="AN261" s="173"/>
      <c r="AO261" s="173"/>
      <c r="AP261" s="173"/>
      <c r="AQ261" s="168"/>
      <c r="AR261" s="168"/>
      <c r="AS261" s="173"/>
      <c r="AT261" s="173"/>
      <c r="AU261" s="173"/>
      <c r="AV261" s="173"/>
      <c r="AW261" s="173"/>
      <c r="AX261" s="173"/>
      <c r="AY261" s="173"/>
      <c r="AZ261" s="173"/>
      <c r="BA261" s="173"/>
      <c r="BB261" s="173"/>
      <c r="BC261" s="173"/>
      <c r="BD261" s="173"/>
      <c r="BE261" s="168"/>
      <c r="BF261" s="168"/>
      <c r="BG261" s="168"/>
      <c r="BH261" s="173"/>
      <c r="BI261" s="186"/>
      <c r="BJ261" s="185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170" t="s">
        <v>307</v>
      </c>
      <c r="F262" s="112">
        <v>1072751</v>
      </c>
      <c r="G262" s="113" t="s">
        <v>759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7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71"/>
      <c r="AR262" s="171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71"/>
      <c r="BF262" s="171"/>
      <c r="BG262" s="171"/>
      <c r="BH262" s="171"/>
      <c r="BI262" s="186"/>
      <c r="BJ262" s="185"/>
    </row>
    <row r="263" spans="1:62" ht="12.75" customHeight="1" x14ac:dyDescent="0.35">
      <c r="A263" s="105"/>
      <c r="B263" s="163">
        <v>0</v>
      </c>
      <c r="C263" s="5" t="s">
        <v>5</v>
      </c>
      <c r="D263" s="5" t="s">
        <v>318</v>
      </c>
      <c r="E263" s="170" t="s">
        <v>307</v>
      </c>
      <c r="F263" s="112">
        <v>1072788</v>
      </c>
      <c r="G263" s="113" t="s">
        <v>540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14" t="s">
        <v>574</v>
      </c>
      <c r="Z263" s="114"/>
      <c r="AA263" s="166">
        <v>0</v>
      </c>
      <c r="AB263" s="166">
        <v>0</v>
      </c>
      <c r="AC263" s="167"/>
      <c r="AD263" s="168"/>
      <c r="AE263" s="168"/>
      <c r="AF263" s="168"/>
      <c r="AG263" s="168"/>
      <c r="AH263" s="168"/>
      <c r="AI263" s="168"/>
      <c r="AJ263" s="168"/>
      <c r="AK263" s="168"/>
      <c r="AL263" s="168"/>
      <c r="AM263" s="168"/>
      <c r="AN263" s="168"/>
      <c r="AO263" s="168"/>
      <c r="AP263" s="168"/>
      <c r="AQ263" s="168"/>
      <c r="AR263" s="168"/>
      <c r="AS263" s="168"/>
      <c r="AT263" s="168"/>
      <c r="AU263" s="168"/>
      <c r="AV263" s="168"/>
      <c r="AW263" s="168"/>
      <c r="AX263" s="168"/>
      <c r="AY263" s="168"/>
      <c r="AZ263" s="168"/>
      <c r="BA263" s="168"/>
      <c r="BB263" s="168"/>
      <c r="BC263" s="168"/>
      <c r="BD263" s="168"/>
      <c r="BE263" s="168"/>
      <c r="BF263" s="168"/>
      <c r="BG263" s="168"/>
      <c r="BH263" s="168"/>
      <c r="BI263" s="186" t="s">
        <v>1</v>
      </c>
      <c r="BJ263" s="185"/>
    </row>
    <row r="264" spans="1:62" ht="12.75" customHeight="1" x14ac:dyDescent="0.35">
      <c r="A264" s="105"/>
      <c r="B264" s="163" t="s">
        <v>148</v>
      </c>
      <c r="C264" s="5" t="s">
        <v>5</v>
      </c>
      <c r="D264" s="5" t="s">
        <v>318</v>
      </c>
      <c r="E264" s="170" t="s">
        <v>307</v>
      </c>
      <c r="F264" s="112">
        <v>1065129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74" t="s">
        <v>574</v>
      </c>
      <c r="Z264" s="114"/>
      <c r="AA264" s="166">
        <v>0</v>
      </c>
      <c r="AB264" s="166">
        <v>0</v>
      </c>
      <c r="AC264" s="167"/>
      <c r="AD264" s="171"/>
      <c r="AE264" s="171"/>
      <c r="AF264" s="171"/>
      <c r="AG264" s="171"/>
      <c r="AH264" s="171"/>
      <c r="AI264" s="171"/>
      <c r="AJ264" s="171"/>
      <c r="AK264" s="171"/>
      <c r="AL264" s="171"/>
      <c r="AM264" s="171"/>
      <c r="AN264" s="171"/>
      <c r="AO264" s="171"/>
      <c r="AP264" s="171"/>
      <c r="AQ264" s="171"/>
      <c r="AR264" s="171"/>
      <c r="AS264" s="171"/>
      <c r="AT264" s="171"/>
      <c r="AU264" s="171"/>
      <c r="AV264" s="171"/>
      <c r="AW264" s="171"/>
      <c r="AX264" s="171"/>
      <c r="AY264" s="171"/>
      <c r="AZ264" s="171"/>
      <c r="BA264" s="171"/>
      <c r="BB264" s="171"/>
      <c r="BC264" s="171"/>
      <c r="BD264" s="171"/>
      <c r="BE264" s="171"/>
      <c r="BF264" s="171"/>
      <c r="BG264" s="171"/>
      <c r="BH264" s="171"/>
      <c r="BI264" s="186" t="s">
        <v>1</v>
      </c>
      <c r="BJ264" s="185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70" t="s">
        <v>307</v>
      </c>
      <c r="F265" s="112">
        <v>1060034</v>
      </c>
      <c r="G265" s="113" t="s">
        <v>350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4" t="s">
        <v>574</v>
      </c>
      <c r="Z265" s="114"/>
      <c r="AA265" s="166">
        <v>0</v>
      </c>
      <c r="AB265" s="166">
        <v>0</v>
      </c>
      <c r="AC265" s="167"/>
      <c r="AD265" s="171"/>
      <c r="AE265" s="171">
        <v>32.727317554240635</v>
      </c>
      <c r="AF265" s="171"/>
      <c r="AG265" s="171"/>
      <c r="AH265" s="171"/>
      <c r="AI265" s="171"/>
      <c r="AJ265" s="171"/>
      <c r="AK265" s="171"/>
      <c r="AL265" s="171"/>
      <c r="AM265" s="171"/>
      <c r="AN265" s="171"/>
      <c r="AO265" s="171"/>
      <c r="AP265" s="171"/>
      <c r="AQ265" s="171"/>
      <c r="AR265" s="171"/>
      <c r="AS265" s="171"/>
      <c r="AT265" s="171"/>
      <c r="AU265" s="171"/>
      <c r="AV265" s="171"/>
      <c r="AW265" s="171"/>
      <c r="AX265" s="171"/>
      <c r="AY265" s="171"/>
      <c r="AZ265" s="171"/>
      <c r="BA265" s="171"/>
      <c r="BB265" s="171"/>
      <c r="BC265" s="171"/>
      <c r="BD265" s="171"/>
      <c r="BE265" s="171"/>
      <c r="BF265" s="171"/>
      <c r="BG265" s="171"/>
      <c r="BH265" s="171"/>
      <c r="BI265" s="186" t="s">
        <v>1</v>
      </c>
      <c r="BJ265" s="185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70" t="s">
        <v>307</v>
      </c>
      <c r="F266" s="112">
        <v>1072430</v>
      </c>
      <c r="G266" s="113" t="s">
        <v>618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60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4" t="s">
        <v>574</v>
      </c>
      <c r="Z266" s="114"/>
      <c r="AA266" s="166">
        <v>0</v>
      </c>
      <c r="AB266" s="166">
        <v>0</v>
      </c>
      <c r="AC266" s="167"/>
      <c r="AD266" s="171"/>
      <c r="AE266" s="171"/>
      <c r="AF266" s="171"/>
      <c r="AG266" s="171"/>
      <c r="AH266" s="171"/>
      <c r="AI266" s="171"/>
      <c r="AJ266" s="171"/>
      <c r="AK266" s="171"/>
      <c r="AL266" s="171"/>
      <c r="AM266" s="171"/>
      <c r="AN266" s="171"/>
      <c r="AO266" s="171"/>
      <c r="AP266" s="171"/>
      <c r="AQ266" s="171"/>
      <c r="AR266" s="171"/>
      <c r="AS266" s="171"/>
      <c r="AT266" s="171"/>
      <c r="AU266" s="171"/>
      <c r="AV266" s="171"/>
      <c r="AW266" s="171"/>
      <c r="AX266" s="171"/>
      <c r="AY266" s="171"/>
      <c r="AZ266" s="171"/>
      <c r="BA266" s="171"/>
      <c r="BB266" s="171"/>
      <c r="BC266" s="171"/>
      <c r="BD266" s="171"/>
      <c r="BE266" s="171"/>
      <c r="BF266" s="171"/>
      <c r="BG266" s="171"/>
      <c r="BH266" s="171"/>
      <c r="BI266" s="186"/>
      <c r="BJ266" s="185"/>
    </row>
    <row r="267" spans="1:62" x14ac:dyDescent="0.35">
      <c r="A267" s="105"/>
      <c r="B267" s="163" t="s">
        <v>148</v>
      </c>
      <c r="C267" s="5" t="s">
        <v>5</v>
      </c>
      <c r="D267" s="5" t="s">
        <v>318</v>
      </c>
      <c r="E267" s="170" t="s">
        <v>307</v>
      </c>
      <c r="F267" s="112">
        <v>1072429</v>
      </c>
      <c r="G267" s="113" t="s">
        <v>607</v>
      </c>
      <c r="H267" s="164">
        <v>0</v>
      </c>
      <c r="I267" s="164">
        <v>0</v>
      </c>
      <c r="J267" s="114">
        <v>0</v>
      </c>
      <c r="K267" s="114">
        <v>0</v>
      </c>
      <c r="L267" s="165">
        <v>0</v>
      </c>
      <c r="M267" s="115">
        <v>0</v>
      </c>
      <c r="N267" s="165">
        <v>0</v>
      </c>
      <c r="O267" s="165">
        <v>0</v>
      </c>
      <c r="P267" s="11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14" t="s">
        <v>574</v>
      </c>
      <c r="Z267" s="114"/>
      <c r="AA267" s="166">
        <v>0</v>
      </c>
      <c r="AB267" s="166">
        <v>0</v>
      </c>
      <c r="AC267" s="167"/>
      <c r="AD267" s="168"/>
      <c r="AE267" s="168"/>
      <c r="AF267" s="168"/>
      <c r="AG267" s="168"/>
      <c r="AH267" s="168"/>
      <c r="AI267" s="168"/>
      <c r="AJ267" s="168"/>
      <c r="AK267" s="168"/>
      <c r="AL267" s="168"/>
      <c r="AM267" s="168"/>
      <c r="AN267" s="168"/>
      <c r="AO267" s="168"/>
      <c r="AP267" s="168"/>
      <c r="AQ267" s="168"/>
      <c r="AR267" s="168"/>
      <c r="AS267" s="168"/>
      <c r="AT267" s="168"/>
      <c r="AU267" s="168"/>
      <c r="AV267" s="168"/>
      <c r="AW267" s="168"/>
      <c r="AX267" s="168"/>
      <c r="AY267" s="168"/>
      <c r="AZ267" s="168"/>
      <c r="BA267" s="168"/>
      <c r="BB267" s="168"/>
      <c r="BC267" s="168"/>
      <c r="BD267" s="168"/>
      <c r="BE267" s="168"/>
      <c r="BF267" s="168"/>
      <c r="BG267" s="168"/>
      <c r="BH267" s="168"/>
      <c r="BI267" s="184" t="s">
        <v>1</v>
      </c>
      <c r="BJ267" s="185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70" t="s">
        <v>307</v>
      </c>
      <c r="F268" s="112">
        <v>1066815</v>
      </c>
      <c r="G268" s="113" t="s">
        <v>545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>
        <v>36.487577639751557</v>
      </c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86" t="s">
        <v>1</v>
      </c>
      <c r="BJ268" s="185"/>
    </row>
    <row r="269" spans="1:62" x14ac:dyDescent="0.35">
      <c r="A269" s="105"/>
      <c r="B269" s="163" t="s">
        <v>148</v>
      </c>
      <c r="C269" s="5" t="s">
        <v>5</v>
      </c>
      <c r="D269" s="5" t="s">
        <v>318</v>
      </c>
      <c r="E269" s="170" t="s">
        <v>307</v>
      </c>
      <c r="F269" s="128">
        <v>1067789</v>
      </c>
      <c r="G269" s="129" t="s">
        <v>526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7.8971472187768352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86" t="s">
        <v>1</v>
      </c>
      <c r="BJ269" s="185"/>
    </row>
    <row r="270" spans="1:62" x14ac:dyDescent="0.35">
      <c r="A270" s="105"/>
      <c r="B270" s="163" t="s">
        <v>148</v>
      </c>
      <c r="C270" s="5" t="s">
        <v>5</v>
      </c>
      <c r="D270" s="5" t="s">
        <v>318</v>
      </c>
      <c r="E270" s="170" t="s">
        <v>307</v>
      </c>
      <c r="F270" s="139">
        <v>1065857</v>
      </c>
      <c r="G270" s="140" t="s">
        <v>514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/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84" t="s">
        <v>1</v>
      </c>
      <c r="BJ270" s="185"/>
    </row>
    <row r="271" spans="1:62" x14ac:dyDescent="0.35">
      <c r="A271" s="105"/>
      <c r="B271" s="163" t="s">
        <v>148</v>
      </c>
      <c r="C271" s="5" t="s">
        <v>5</v>
      </c>
      <c r="D271" s="5" t="s">
        <v>318</v>
      </c>
      <c r="E271" s="170" t="s">
        <v>307</v>
      </c>
      <c r="F271" s="145">
        <v>1065856</v>
      </c>
      <c r="G271" s="146" t="s">
        <v>508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74" t="s">
        <v>574</v>
      </c>
      <c r="Z271" s="114"/>
      <c r="AA271" s="166">
        <v>0</v>
      </c>
      <c r="AB271" s="166">
        <v>0</v>
      </c>
      <c r="AC271" s="167"/>
      <c r="AD271" s="171"/>
      <c r="AE271" s="171" t="s">
        <v>574</v>
      </c>
      <c r="AF271" s="171"/>
      <c r="AG271" s="171"/>
      <c r="AH271" s="171"/>
      <c r="AI271" s="171"/>
      <c r="AJ271" s="171"/>
      <c r="AK271" s="171"/>
      <c r="AL271" s="171"/>
      <c r="AM271" s="171"/>
      <c r="AN271" s="171"/>
      <c r="AO271" s="171"/>
      <c r="AP271" s="171"/>
      <c r="AQ271" s="171"/>
      <c r="AR271" s="171"/>
      <c r="AS271" s="171"/>
      <c r="AT271" s="171"/>
      <c r="AU271" s="171"/>
      <c r="AV271" s="171"/>
      <c r="AW271" s="171"/>
      <c r="AX271" s="171"/>
      <c r="AY271" s="171"/>
      <c r="AZ271" s="171"/>
      <c r="BA271" s="171"/>
      <c r="BB271" s="171"/>
      <c r="BC271" s="171"/>
      <c r="BD271" s="171"/>
      <c r="BE271" s="171"/>
      <c r="BF271" s="171"/>
      <c r="BG271" s="171"/>
      <c r="BH271" s="171"/>
      <c r="BI271" s="184" t="s">
        <v>1</v>
      </c>
      <c r="BJ271" s="185"/>
    </row>
    <row r="272" spans="1:62" x14ac:dyDescent="0.35">
      <c r="A272" s="105"/>
      <c r="B272" s="163" t="s">
        <v>148</v>
      </c>
      <c r="C272" s="5" t="s">
        <v>5</v>
      </c>
      <c r="D272" s="5" t="s">
        <v>318</v>
      </c>
      <c r="E272" s="170" t="s">
        <v>406</v>
      </c>
      <c r="F272" s="139">
        <v>1067845</v>
      </c>
      <c r="G272" s="140" t="s">
        <v>538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4" t="s">
        <v>574</v>
      </c>
      <c r="Z272" s="114"/>
      <c r="AA272" s="166">
        <v>0</v>
      </c>
      <c r="AB272" s="166">
        <v>0</v>
      </c>
      <c r="AC272" s="167"/>
      <c r="AD272" s="171"/>
      <c r="AE272" s="171">
        <v>28.278758096939285</v>
      </c>
      <c r="AF272" s="171"/>
      <c r="AG272" s="171"/>
      <c r="AH272" s="171"/>
      <c r="AI272" s="171"/>
      <c r="AJ272" s="171"/>
      <c r="AK272" s="171"/>
      <c r="AL272" s="171"/>
      <c r="AM272" s="171"/>
      <c r="AN272" s="171"/>
      <c r="AO272" s="171"/>
      <c r="AP272" s="171"/>
      <c r="AQ272" s="171"/>
      <c r="AR272" s="171"/>
      <c r="AS272" s="171"/>
      <c r="AT272" s="171"/>
      <c r="AU272" s="171"/>
      <c r="AV272" s="171"/>
      <c r="AW272" s="171"/>
      <c r="AX272" s="171"/>
      <c r="AY272" s="171"/>
      <c r="AZ272" s="171"/>
      <c r="BA272" s="171"/>
      <c r="BB272" s="171"/>
      <c r="BC272" s="171"/>
      <c r="BD272" s="171"/>
      <c r="BE272" s="171"/>
      <c r="BF272" s="171"/>
      <c r="BG272" s="171"/>
      <c r="BH272" s="171"/>
      <c r="BI272" s="186" t="s">
        <v>1</v>
      </c>
      <c r="BJ272" s="185"/>
    </row>
    <row r="273" spans="1:62" x14ac:dyDescent="0.35">
      <c r="A273" s="105"/>
      <c r="B273" s="163" t="s">
        <v>148</v>
      </c>
      <c r="C273" s="5" t="s">
        <v>5</v>
      </c>
      <c r="D273" s="5" t="s">
        <v>318</v>
      </c>
      <c r="E273" s="170" t="s">
        <v>406</v>
      </c>
      <c r="F273" s="145">
        <v>1069822</v>
      </c>
      <c r="G273" s="146" t="s">
        <v>562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4" t="s">
        <v>574</v>
      </c>
      <c r="Z273" s="114"/>
      <c r="AA273" s="166">
        <v>0</v>
      </c>
      <c r="AB273" s="166">
        <v>0</v>
      </c>
      <c r="AC273" s="167"/>
      <c r="AD273" s="171"/>
      <c r="AE273" s="171"/>
      <c r="AF273" s="171"/>
      <c r="AG273" s="171"/>
      <c r="AH273" s="171"/>
      <c r="AI273" s="171"/>
      <c r="AJ273" s="171"/>
      <c r="AK273" s="171"/>
      <c r="AL273" s="171"/>
      <c r="AM273" s="171"/>
      <c r="AN273" s="171"/>
      <c r="AO273" s="171"/>
      <c r="AP273" s="171"/>
      <c r="AQ273" s="171"/>
      <c r="AR273" s="171"/>
      <c r="AS273" s="171"/>
      <c r="AT273" s="171"/>
      <c r="AU273" s="171"/>
      <c r="AV273" s="171"/>
      <c r="AW273" s="171"/>
      <c r="AX273" s="171"/>
      <c r="AY273" s="171"/>
      <c r="AZ273" s="171"/>
      <c r="BA273" s="171"/>
      <c r="BB273" s="171"/>
      <c r="BC273" s="171"/>
      <c r="BD273" s="171"/>
      <c r="BE273" s="171"/>
      <c r="BF273" s="171"/>
      <c r="BG273" s="171"/>
      <c r="BH273" s="171"/>
      <c r="BI273" s="184"/>
      <c r="BJ273" s="185"/>
    </row>
    <row r="274" spans="1:62" x14ac:dyDescent="0.35">
      <c r="A274" s="105"/>
      <c r="B274" s="163" t="s">
        <v>148</v>
      </c>
      <c r="C274" s="5" t="s">
        <v>5</v>
      </c>
      <c r="D274" s="5" t="s">
        <v>318</v>
      </c>
      <c r="E274" s="170" t="s">
        <v>319</v>
      </c>
      <c r="F274" s="147">
        <v>1067823</v>
      </c>
      <c r="G274" s="148" t="s">
        <v>547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4" t="s">
        <v>574</v>
      </c>
      <c r="Z274" s="114"/>
      <c r="AA274" s="166">
        <v>0</v>
      </c>
      <c r="AB274" s="166">
        <v>0</v>
      </c>
      <c r="AC274" s="167"/>
      <c r="AD274" s="171"/>
      <c r="AE274" s="171" t="s">
        <v>574</v>
      </c>
      <c r="AF274" s="171"/>
      <c r="AG274" s="171"/>
      <c r="AH274" s="171"/>
      <c r="AI274" s="171"/>
      <c r="AJ274" s="171"/>
      <c r="AK274" s="171"/>
      <c r="AL274" s="171"/>
      <c r="AM274" s="171"/>
      <c r="AN274" s="171"/>
      <c r="AO274" s="171"/>
      <c r="AP274" s="171"/>
      <c r="AQ274" s="171"/>
      <c r="AR274" s="171"/>
      <c r="AS274" s="171"/>
      <c r="AT274" s="171"/>
      <c r="AU274" s="171"/>
      <c r="AV274" s="171"/>
      <c r="AW274" s="171"/>
      <c r="AX274" s="171"/>
      <c r="AY274" s="171"/>
      <c r="AZ274" s="171"/>
      <c r="BA274" s="171"/>
      <c r="BB274" s="171"/>
      <c r="BC274" s="171"/>
      <c r="BD274" s="171"/>
      <c r="BE274" s="171"/>
      <c r="BF274" s="171"/>
      <c r="BG274" s="171"/>
      <c r="BH274" s="171"/>
      <c r="BI274" s="184" t="s">
        <v>1</v>
      </c>
      <c r="BJ274" s="185"/>
    </row>
    <row r="275" spans="1:62" x14ac:dyDescent="0.35">
      <c r="A275" s="105"/>
      <c r="B275" s="163" t="s">
        <v>148</v>
      </c>
      <c r="C275" s="5" t="s">
        <v>5</v>
      </c>
      <c r="D275" s="5" t="s">
        <v>318</v>
      </c>
      <c r="E275" s="170" t="s">
        <v>319</v>
      </c>
      <c r="F275" s="147">
        <v>1067824</v>
      </c>
      <c r="G275" s="148" t="s">
        <v>539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14" t="s">
        <v>574</v>
      </c>
      <c r="Z275" s="114"/>
      <c r="AA275" s="166">
        <v>0</v>
      </c>
      <c r="AB275" s="166">
        <v>0</v>
      </c>
      <c r="AC275" s="167"/>
      <c r="AD275" s="171"/>
      <c r="AE275" s="168" t="s">
        <v>574</v>
      </c>
      <c r="AF275" s="168"/>
      <c r="AG275" s="168"/>
      <c r="AH275" s="168"/>
      <c r="AI275" s="168"/>
      <c r="AJ275" s="168"/>
      <c r="AK275" s="168"/>
      <c r="AL275" s="168"/>
      <c r="AM275" s="168"/>
      <c r="AN275" s="168"/>
      <c r="AO275" s="168"/>
      <c r="AP275" s="168"/>
      <c r="AQ275" s="168"/>
      <c r="AR275" s="168"/>
      <c r="AS275" s="168"/>
      <c r="AT275" s="168"/>
      <c r="AU275" s="168"/>
      <c r="AV275" s="168"/>
      <c r="AW275" s="168"/>
      <c r="AX275" s="168"/>
      <c r="AY275" s="168"/>
      <c r="AZ275" s="168"/>
      <c r="BA275" s="168"/>
      <c r="BB275" s="168"/>
      <c r="BC275" s="168"/>
      <c r="BD275" s="168"/>
      <c r="BE275" s="168"/>
      <c r="BF275" s="168"/>
      <c r="BG275" s="168"/>
      <c r="BH275" s="168"/>
      <c r="BI275" s="184" t="s">
        <v>1</v>
      </c>
      <c r="BJ275" s="185"/>
    </row>
    <row r="276" spans="1:62" x14ac:dyDescent="0.35">
      <c r="A276" s="105"/>
      <c r="B276" s="163" t="s">
        <v>148</v>
      </c>
      <c r="C276" s="5" t="s">
        <v>5</v>
      </c>
      <c r="D276" s="5" t="s">
        <v>318</v>
      </c>
      <c r="E276" s="170" t="s">
        <v>319</v>
      </c>
      <c r="F276" s="139">
        <v>1010484</v>
      </c>
      <c r="G276" s="140" t="s">
        <v>150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5"/>
      <c r="AE276" s="168">
        <v>0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86" t="s">
        <v>1</v>
      </c>
      <c r="BJ276" s="185"/>
    </row>
    <row r="277" spans="1:62" x14ac:dyDescent="0.35">
      <c r="A277" s="105"/>
      <c r="B277" s="163" t="s">
        <v>148</v>
      </c>
      <c r="C277" s="5" t="s">
        <v>5</v>
      </c>
      <c r="D277" s="5" t="s">
        <v>318</v>
      </c>
      <c r="E277" s="170" t="s">
        <v>319</v>
      </c>
      <c r="F277" s="139">
        <v>1009982</v>
      </c>
      <c r="G277" s="140" t="s">
        <v>158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5"/>
      <c r="AE277" s="168">
        <v>30.133922134102377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86" t="s">
        <v>1</v>
      </c>
      <c r="BJ277" s="185"/>
    </row>
    <row r="278" spans="1:62" x14ac:dyDescent="0.35">
      <c r="A278" s="105"/>
      <c r="B278" s="163">
        <v>0</v>
      </c>
      <c r="C278" s="5" t="s">
        <v>5</v>
      </c>
      <c r="D278" s="5" t="s">
        <v>318</v>
      </c>
      <c r="E278" s="170" t="s">
        <v>319</v>
      </c>
      <c r="F278" s="112">
        <v>1079665</v>
      </c>
      <c r="G278" s="113" t="s">
        <v>735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5"/>
      <c r="AE278" s="168"/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86" t="s">
        <v>1</v>
      </c>
      <c r="BJ278" s="185"/>
    </row>
    <row r="279" spans="1:62" x14ac:dyDescent="0.35">
      <c r="A279" s="105"/>
      <c r="B279" s="163" t="s">
        <v>148</v>
      </c>
      <c r="C279" s="5" t="s">
        <v>5</v>
      </c>
      <c r="D279" s="5" t="s">
        <v>318</v>
      </c>
      <c r="E279" s="170" t="s">
        <v>319</v>
      </c>
      <c r="F279" s="112">
        <v>1049544</v>
      </c>
      <c r="G279" s="113" t="s">
        <v>543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5"/>
      <c r="AE279" s="168">
        <v>49.426215993404782</v>
      </c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86" t="s">
        <v>1</v>
      </c>
      <c r="BJ279" s="185"/>
    </row>
    <row r="280" spans="1:62" x14ac:dyDescent="0.35">
      <c r="A280" s="105"/>
      <c r="B280" s="163" t="s">
        <v>148</v>
      </c>
      <c r="C280" s="5" t="s">
        <v>5</v>
      </c>
      <c r="D280" s="5" t="s">
        <v>318</v>
      </c>
      <c r="E280" s="170" t="s">
        <v>319</v>
      </c>
      <c r="F280" s="147">
        <v>1068935</v>
      </c>
      <c r="G280" s="148" t="s">
        <v>560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1"/>
      <c r="AE280" s="168" t="s">
        <v>574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84" t="s">
        <v>1</v>
      </c>
      <c r="BJ280" s="185"/>
    </row>
    <row r="281" spans="1:62" x14ac:dyDescent="0.35">
      <c r="A281" s="105"/>
      <c r="B281" s="163" t="s">
        <v>148</v>
      </c>
      <c r="C281" s="5" t="s">
        <v>5</v>
      </c>
      <c r="D281" s="5" t="s">
        <v>318</v>
      </c>
      <c r="E281" s="170" t="s">
        <v>319</v>
      </c>
      <c r="F281" s="147">
        <v>1065708</v>
      </c>
      <c r="G281" s="148" t="s">
        <v>544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1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84" t="s">
        <v>1</v>
      </c>
      <c r="BJ281" s="185"/>
    </row>
    <row r="282" spans="1:62" x14ac:dyDescent="0.35">
      <c r="A282" s="105"/>
      <c r="B282" s="163" t="s">
        <v>148</v>
      </c>
      <c r="C282" s="5" t="s">
        <v>5</v>
      </c>
      <c r="D282" s="5" t="s">
        <v>318</v>
      </c>
      <c r="E282" s="170" t="s">
        <v>319</v>
      </c>
      <c r="F282" s="147">
        <v>1076012</v>
      </c>
      <c r="G282" s="148" t="s">
        <v>667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5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84" t="s">
        <v>1</v>
      </c>
      <c r="BJ282" s="185"/>
    </row>
    <row r="283" spans="1:62" x14ac:dyDescent="0.35">
      <c r="A283" s="105"/>
      <c r="B283" s="163" t="s">
        <v>148</v>
      </c>
      <c r="C283" s="5" t="s">
        <v>5</v>
      </c>
      <c r="D283" s="5" t="s">
        <v>318</v>
      </c>
      <c r="E283" s="170" t="s">
        <v>319</v>
      </c>
      <c r="F283" s="145">
        <v>1056503</v>
      </c>
      <c r="G283" s="146" t="s">
        <v>209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5"/>
      <c r="AE283" s="168">
        <v>85.511688311688303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84" t="s">
        <v>1</v>
      </c>
      <c r="BJ283" s="185"/>
    </row>
    <row r="284" spans="1:62" x14ac:dyDescent="0.35">
      <c r="A284" s="105"/>
      <c r="B284" s="163" t="s">
        <v>148</v>
      </c>
      <c r="C284" s="5" t="s">
        <v>5</v>
      </c>
      <c r="D284" s="5" t="s">
        <v>318</v>
      </c>
      <c r="E284" s="170" t="s">
        <v>319</v>
      </c>
      <c r="F284" s="149">
        <v>1072625</v>
      </c>
      <c r="G284" s="150" t="s">
        <v>623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5"/>
      <c r="AE284" s="168" t="s">
        <v>574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84" t="s">
        <v>1</v>
      </c>
      <c r="BJ284" s="185"/>
    </row>
    <row r="285" spans="1:62" x14ac:dyDescent="0.35">
      <c r="A285" s="105"/>
      <c r="B285" s="163" t="s">
        <v>148</v>
      </c>
      <c r="C285" s="5" t="s">
        <v>5</v>
      </c>
      <c r="D285" s="5" t="s">
        <v>318</v>
      </c>
      <c r="E285" s="170" t="s">
        <v>319</v>
      </c>
      <c r="F285" s="139">
        <v>1054923</v>
      </c>
      <c r="G285" s="151" t="s">
        <v>204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0</v>
      </c>
      <c r="AC285" s="167"/>
      <c r="AD285" s="175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84" t="s">
        <v>1</v>
      </c>
      <c r="BJ285" s="185"/>
    </row>
    <row r="286" spans="1:62" x14ac:dyDescent="0.35">
      <c r="A286" s="105"/>
      <c r="B286" s="163" t="s">
        <v>148</v>
      </c>
      <c r="C286" s="5" t="s">
        <v>5</v>
      </c>
      <c r="D286" s="5" t="s">
        <v>318</v>
      </c>
      <c r="E286" s="170" t="s">
        <v>319</v>
      </c>
      <c r="F286" s="139">
        <v>1067922</v>
      </c>
      <c r="G286" s="140" t="s">
        <v>533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5"/>
      <c r="AE286" s="168"/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84" t="s">
        <v>1</v>
      </c>
      <c r="BJ286" s="185"/>
    </row>
    <row r="287" spans="1:62" x14ac:dyDescent="0.35">
      <c r="A287" s="105"/>
      <c r="B287" s="163" t="s">
        <v>148</v>
      </c>
      <c r="C287" s="5" t="s">
        <v>5</v>
      </c>
      <c r="D287" s="5" t="s">
        <v>318</v>
      </c>
      <c r="E287" s="170" t="s">
        <v>307</v>
      </c>
      <c r="F287" s="139">
        <v>1054922</v>
      </c>
      <c r="G287" s="140" t="s">
        <v>203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5"/>
      <c r="AE287" s="168" t="s">
        <v>574</v>
      </c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84" t="s">
        <v>1</v>
      </c>
      <c r="BJ287" s="185"/>
    </row>
    <row r="288" spans="1:62" x14ac:dyDescent="0.35">
      <c r="A288" s="105"/>
      <c r="B288" s="163" t="s">
        <v>148</v>
      </c>
      <c r="C288" s="5" t="s">
        <v>5</v>
      </c>
      <c r="D288" s="5" t="s">
        <v>318</v>
      </c>
      <c r="E288" s="170" t="s">
        <v>319</v>
      </c>
      <c r="F288" s="149">
        <v>1067806</v>
      </c>
      <c r="G288" s="150" t="s">
        <v>638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5"/>
      <c r="AE288" s="168">
        <v>1.8641189413197188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86" t="s">
        <v>1</v>
      </c>
      <c r="BJ288" s="185"/>
    </row>
    <row r="289" spans="1:62" x14ac:dyDescent="0.35">
      <c r="A289" s="105"/>
      <c r="B289" s="163" t="s">
        <v>148</v>
      </c>
      <c r="C289" s="5" t="s">
        <v>5</v>
      </c>
      <c r="D289" s="5" t="s">
        <v>318</v>
      </c>
      <c r="E289" s="170" t="s">
        <v>319</v>
      </c>
      <c r="F289" s="139">
        <v>1054924</v>
      </c>
      <c r="G289" s="140" t="s">
        <v>201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5"/>
      <c r="AE289" s="168" t="s">
        <v>574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84" t="s">
        <v>1</v>
      </c>
      <c r="BJ289" s="185"/>
    </row>
    <row r="290" spans="1:62" x14ac:dyDescent="0.35">
      <c r="A290" s="105"/>
      <c r="B290" s="163" t="s">
        <v>148</v>
      </c>
      <c r="C290" s="5" t="s">
        <v>5</v>
      </c>
      <c r="D290" s="5" t="s">
        <v>318</v>
      </c>
      <c r="E290" s="170" t="s">
        <v>319</v>
      </c>
      <c r="F290" s="139">
        <v>1056307</v>
      </c>
      <c r="G290" s="140" t="s">
        <v>214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5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84" t="s">
        <v>1</v>
      </c>
      <c r="BJ290" s="185"/>
    </row>
    <row r="291" spans="1:62" x14ac:dyDescent="0.35">
      <c r="A291" s="105"/>
      <c r="B291" s="163" t="s">
        <v>148</v>
      </c>
      <c r="C291" s="5" t="s">
        <v>5</v>
      </c>
      <c r="D291" s="5" t="s">
        <v>318</v>
      </c>
      <c r="E291" s="170" t="s">
        <v>319</v>
      </c>
      <c r="F291" s="149">
        <v>1072796</v>
      </c>
      <c r="G291" s="150" t="s">
        <v>626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312</v>
      </c>
      <c r="R291" s="5">
        <v>0</v>
      </c>
      <c r="S291" s="5">
        <v>312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2081.04</v>
      </c>
      <c r="AC291" s="167"/>
      <c r="AD291" s="175"/>
      <c r="AE291" s="168"/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84" t="s">
        <v>1</v>
      </c>
      <c r="BJ291" s="185"/>
    </row>
    <row r="292" spans="1:62" x14ac:dyDescent="0.35">
      <c r="A292" s="105"/>
      <c r="B292" s="163" t="s">
        <v>148</v>
      </c>
      <c r="C292" s="5" t="s">
        <v>5</v>
      </c>
      <c r="D292" s="5" t="s">
        <v>318</v>
      </c>
      <c r="E292" s="170" t="s">
        <v>319</v>
      </c>
      <c r="F292" s="139">
        <v>1067058</v>
      </c>
      <c r="G292" s="140" t="s">
        <v>515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0</v>
      </c>
      <c r="AC292" s="167"/>
      <c r="AD292" s="175"/>
      <c r="AE292" s="168" t="s">
        <v>574</v>
      </c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84" t="s">
        <v>1</v>
      </c>
      <c r="BJ292" s="185"/>
    </row>
    <row r="293" spans="1:62" x14ac:dyDescent="0.35">
      <c r="A293" s="105"/>
      <c r="B293" s="163" t="s">
        <v>148</v>
      </c>
      <c r="C293" s="5" t="s">
        <v>5</v>
      </c>
      <c r="D293" s="5" t="s">
        <v>318</v>
      </c>
      <c r="E293" s="170" t="s">
        <v>319</v>
      </c>
      <c r="F293" s="149">
        <v>1067805</v>
      </c>
      <c r="G293" s="150" t="s">
        <v>644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467</v>
      </c>
      <c r="R293" s="5">
        <v>0</v>
      </c>
      <c r="S293" s="5">
        <v>467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3904.12</v>
      </c>
      <c r="AC293" s="167"/>
      <c r="AD293" s="175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84" t="s">
        <v>1</v>
      </c>
      <c r="BJ293" s="185"/>
    </row>
    <row r="294" spans="1:62" x14ac:dyDescent="0.35">
      <c r="A294" s="105"/>
      <c r="B294" s="163" t="s">
        <v>148</v>
      </c>
      <c r="C294" s="5" t="s">
        <v>5</v>
      </c>
      <c r="D294" s="5" t="s">
        <v>318</v>
      </c>
      <c r="E294" s="5" t="s">
        <v>307</v>
      </c>
      <c r="F294" s="139">
        <v>1054935</v>
      </c>
      <c r="G294" s="140" t="s">
        <v>207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0</v>
      </c>
      <c r="AC294" s="167"/>
      <c r="AD294" s="175"/>
      <c r="AE294" s="168"/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84" t="s">
        <v>1</v>
      </c>
      <c r="BJ294" s="185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319</v>
      </c>
      <c r="F295" s="139">
        <v>1067057</v>
      </c>
      <c r="G295" s="140" t="s">
        <v>513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6934</v>
      </c>
      <c r="R295" s="5">
        <v>0</v>
      </c>
      <c r="S295" s="5">
        <v>6930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49064.4</v>
      </c>
      <c r="AC295" s="167"/>
      <c r="AD295" s="175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86"/>
      <c r="BJ295" s="185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28">
        <v>1072517</v>
      </c>
      <c r="G296" s="129" t="s">
        <v>637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0</v>
      </c>
      <c r="AC296" s="167"/>
      <c r="AD296" s="175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86" t="s">
        <v>1</v>
      </c>
      <c r="BJ296" s="185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12">
        <v>1065355</v>
      </c>
      <c r="G297" s="113" t="s">
        <v>507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5"/>
      <c r="AE297" s="168">
        <v>54.172659865083347</v>
      </c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86" t="s">
        <v>1</v>
      </c>
      <c r="BJ297" s="185"/>
    </row>
    <row r="298" spans="1:62" ht="12.75" customHeight="1" x14ac:dyDescent="0.35">
      <c r="B298" s="163" t="s">
        <v>1</v>
      </c>
      <c r="C298" s="5" t="s">
        <v>2</v>
      </c>
      <c r="D298" s="5" t="s">
        <v>306</v>
      </c>
      <c r="E298" s="5" t="s">
        <v>401</v>
      </c>
      <c r="F298" s="128">
        <v>1081790</v>
      </c>
      <c r="G298" s="129" t="s">
        <v>772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1"/>
      <c r="AE298" s="168">
        <v>22.142045794395774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86" t="s">
        <v>1</v>
      </c>
      <c r="BJ298" s="185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39">
        <v>1073829</v>
      </c>
      <c r="G299" s="140" t="s">
        <v>622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5"/>
      <c r="AE299" s="168"/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86" t="s">
        <v>1</v>
      </c>
      <c r="BJ299" s="185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43">
        <v>1077616</v>
      </c>
      <c r="G300" s="144" t="s">
        <v>704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5"/>
      <c r="AE300" s="168">
        <v>35.188561438561429</v>
      </c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86" t="s">
        <v>1</v>
      </c>
      <c r="BJ300" s="185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39">
        <v>1041723</v>
      </c>
      <c r="G301" s="140" t="s">
        <v>80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5"/>
      <c r="AE301" s="168"/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86" t="s">
        <v>1</v>
      </c>
      <c r="BJ301" s="185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1041722</v>
      </c>
      <c r="G302" s="140" t="s">
        <v>51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5"/>
      <c r="AE302" s="168" t="s">
        <v>574</v>
      </c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84" t="s">
        <v>1</v>
      </c>
      <c r="BJ302" s="185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22">
        <v>1058285</v>
      </c>
      <c r="G303" s="123" t="s">
        <v>239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1876</v>
      </c>
      <c r="R303" s="5">
        <v>0</v>
      </c>
      <c r="S303" s="5">
        <v>1876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10318</v>
      </c>
      <c r="AC303" s="167"/>
      <c r="AD303" s="175"/>
      <c r="AE303" s="168">
        <v>23.6300717393861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86" t="s">
        <v>1</v>
      </c>
      <c r="BJ303" s="185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39">
        <v>1051958</v>
      </c>
      <c r="G304" s="140" t="s">
        <v>171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0</v>
      </c>
      <c r="AC304" s="167"/>
      <c r="AD304" s="175"/>
      <c r="AE304" s="168"/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86" t="s">
        <v>1</v>
      </c>
      <c r="BJ304" s="185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1050062</v>
      </c>
      <c r="G305" s="140" t="s">
        <v>122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5"/>
      <c r="AE305" s="168">
        <v>28.632691004448187</v>
      </c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84" t="s">
        <v>1</v>
      </c>
      <c r="BJ305" s="185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1042017</v>
      </c>
      <c r="G306" s="140" t="s">
        <v>33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5"/>
      <c r="AE306" s="168" t="s">
        <v>574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84" t="s">
        <v>1</v>
      </c>
      <c r="BJ306" s="185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1031617</v>
      </c>
      <c r="G307" s="140" t="s">
        <v>140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5"/>
      <c r="AE307" s="168">
        <v>332.45777777777778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84" t="s">
        <v>1</v>
      </c>
      <c r="BJ307" s="185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1059550</v>
      </c>
      <c r="G308" s="140" t="s">
        <v>374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5"/>
      <c r="AE308" s="168"/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86"/>
      <c r="BJ308" s="185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1045258</v>
      </c>
      <c r="G309" s="140" t="s">
        <v>131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5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86" t="s">
        <v>1</v>
      </c>
      <c r="BJ309" s="185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1041724</v>
      </c>
      <c r="G310" s="140" t="s">
        <v>89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5"/>
      <c r="AE310" s="168">
        <v>34.79349904397705</v>
      </c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84" t="s">
        <v>1</v>
      </c>
      <c r="BJ310" s="185"/>
    </row>
    <row r="311" spans="2:62" ht="12.75" customHeight="1" x14ac:dyDescent="0.35">
      <c r="B311" s="163" t="s">
        <v>27</v>
      </c>
      <c r="C311" s="5" t="s">
        <v>5</v>
      </c>
      <c r="D311" s="5" t="s">
        <v>312</v>
      </c>
      <c r="E311" s="5" t="s">
        <v>313</v>
      </c>
      <c r="F311" s="139">
        <v>1073772</v>
      </c>
      <c r="G311" s="140" t="s">
        <v>613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5"/>
      <c r="AE311" s="168" t="s">
        <v>574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84" t="s">
        <v>1</v>
      </c>
      <c r="BJ311" s="185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1065188</v>
      </c>
      <c r="G312" s="140" t="s">
        <v>512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5"/>
      <c r="AE312" s="168"/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84" t="s">
        <v>1</v>
      </c>
      <c r="BJ312" s="185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1052764</v>
      </c>
      <c r="G313" s="140" t="s">
        <v>186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5"/>
      <c r="AE313" s="168">
        <v>6.2452717261192241</v>
      </c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86" t="s">
        <v>1</v>
      </c>
      <c r="BJ313" s="185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2">
        <v>1083041</v>
      </c>
      <c r="G314" s="133" t="s">
        <v>784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5"/>
      <c r="AE314" s="168" t="s">
        <v>574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84" t="s">
        <v>1</v>
      </c>
      <c r="BJ314" s="185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9">
        <v>1079455</v>
      </c>
      <c r="G315" s="140" t="s">
        <v>715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5"/>
      <c r="AE315" s="168"/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86" t="s">
        <v>1</v>
      </c>
      <c r="BJ315" s="185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1066687</v>
      </c>
      <c r="G316" s="140" t="s">
        <v>521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5"/>
      <c r="AE316" s="168" t="s">
        <v>574</v>
      </c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84" t="s">
        <v>1</v>
      </c>
      <c r="BJ316" s="185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1079459</v>
      </c>
      <c r="G317" s="140" t="s">
        <v>711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5"/>
      <c r="AE317" s="168">
        <v>21.740762877635298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86" t="s">
        <v>1</v>
      </c>
      <c r="BJ317" s="185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1066690</v>
      </c>
      <c r="G318" s="140" t="s">
        <v>523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5"/>
      <c r="AE318" s="168" t="s">
        <v>574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84" t="s">
        <v>1</v>
      </c>
      <c r="BJ318" s="185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1079458</v>
      </c>
      <c r="G319" s="140" t="s">
        <v>716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5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86" t="s">
        <v>1</v>
      </c>
      <c r="BJ319" s="185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1066689</v>
      </c>
      <c r="G320" s="140" t="s">
        <v>522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5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84" t="s">
        <v>1</v>
      </c>
      <c r="BJ320" s="185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1079457</v>
      </c>
      <c r="G321" s="140" t="s">
        <v>713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5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84" t="s">
        <v>1</v>
      </c>
      <c r="BJ321" s="185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1066688</v>
      </c>
      <c r="G322" s="140" t="s">
        <v>519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1"/>
      <c r="AE322" s="168"/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86"/>
      <c r="BJ322" s="185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1066686</v>
      </c>
      <c r="G323" s="140" t="s">
        <v>520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5"/>
      <c r="AE323" s="168">
        <v>23.169208028629221</v>
      </c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86" t="s">
        <v>1</v>
      </c>
      <c r="BJ323" s="185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1079454</v>
      </c>
      <c r="G324" s="151" t="s">
        <v>712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5"/>
      <c r="AE324" s="168">
        <v>1.667721513123342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86" t="s">
        <v>1</v>
      </c>
      <c r="BJ324" s="185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1079456</v>
      </c>
      <c r="G325" s="140" t="s">
        <v>714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5"/>
      <c r="AE325" s="168"/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84"/>
      <c r="BJ325" s="185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1077086</v>
      </c>
      <c r="G326" s="140" t="s">
        <v>669</v>
      </c>
      <c r="H326" s="164">
        <v>0</v>
      </c>
      <c r="I326" s="164">
        <v>0</v>
      </c>
      <c r="J326" s="114">
        <v>0</v>
      </c>
      <c r="K326" s="114">
        <v>1</v>
      </c>
      <c r="L326" s="165">
        <v>0.22800000000000001</v>
      </c>
      <c r="M326" s="115">
        <v>0</v>
      </c>
      <c r="N326" s="165">
        <v>0.22800000000000001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5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86"/>
      <c r="BJ326" s="185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1072812</v>
      </c>
      <c r="G327" s="140" t="s">
        <v>642</v>
      </c>
      <c r="H327" s="164">
        <v>0</v>
      </c>
      <c r="I327" s="164">
        <v>0</v>
      </c>
      <c r="J327" s="114">
        <v>0</v>
      </c>
      <c r="K327" s="114">
        <v>0</v>
      </c>
      <c r="L327" s="165">
        <v>0</v>
      </c>
      <c r="M327" s="115">
        <v>0</v>
      </c>
      <c r="N327" s="165">
        <v>0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5"/>
      <c r="AE327" s="168">
        <v>22.802101576182135</v>
      </c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86" t="s">
        <v>1</v>
      </c>
      <c r="BJ327" s="185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1063068</v>
      </c>
      <c r="G328" s="140" t="s">
        <v>414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5"/>
      <c r="AE328" s="168" t="s">
        <v>574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84" t="s">
        <v>1</v>
      </c>
      <c r="BJ328" s="185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12">
        <v>1076485</v>
      </c>
      <c r="G329" s="113" t="s">
        <v>668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5"/>
      <c r="AE329" s="168"/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84" t="s">
        <v>1</v>
      </c>
      <c r="BJ329" s="185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39">
        <v>1052766</v>
      </c>
      <c r="G330" s="140" t="s">
        <v>190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5"/>
      <c r="AE330" s="168" t="s">
        <v>574</v>
      </c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84" t="s">
        <v>1</v>
      </c>
      <c r="BJ330" s="185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1052773</v>
      </c>
      <c r="G331" s="140" t="s">
        <v>195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5"/>
      <c r="AE331" s="168">
        <v>15.599956031071377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84" t="s">
        <v>1</v>
      </c>
      <c r="BJ331" s="185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1052765</v>
      </c>
      <c r="G332" s="140" t="s">
        <v>189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5"/>
      <c r="AE332" s="168" t="s">
        <v>574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84" t="s">
        <v>1</v>
      </c>
      <c r="BJ332" s="185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1052772</v>
      </c>
      <c r="G333" s="140" t="s">
        <v>305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5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84" t="s">
        <v>1</v>
      </c>
      <c r="BJ333" s="185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1057902</v>
      </c>
      <c r="G334" s="140" t="s">
        <v>229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1"/>
      <c r="AE334" s="168">
        <v>19.315342754691056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84" t="s">
        <v>1</v>
      </c>
      <c r="BJ334" s="185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1052763</v>
      </c>
      <c r="G335" s="140" t="s">
        <v>188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1"/>
      <c r="AE335" s="168">
        <v>46.395929040921622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86" t="s">
        <v>1</v>
      </c>
      <c r="BJ335" s="187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1065298</v>
      </c>
      <c r="G336" s="140" t="s">
        <v>509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5"/>
      <c r="AE336" s="168" t="s">
        <v>574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84" t="s">
        <v>1</v>
      </c>
      <c r="BJ336" s="185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315</v>
      </c>
      <c r="F337" s="20">
        <v>1058423</v>
      </c>
      <c r="G337" s="44" t="s">
        <v>503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5"/>
      <c r="AE337" s="168"/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84" t="s">
        <v>1</v>
      </c>
      <c r="BJ337" s="185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139">
        <v>1053415</v>
      </c>
      <c r="G338" s="140" t="s">
        <v>198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5"/>
      <c r="AE338" s="168" t="s">
        <v>574</v>
      </c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84" t="s">
        <v>1</v>
      </c>
      <c r="BJ338" s="185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319</v>
      </c>
      <c r="F339" s="139">
        <v>1030173</v>
      </c>
      <c r="G339" s="140" t="s">
        <v>106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1"/>
      <c r="AE339" s="168"/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86" t="s">
        <v>1</v>
      </c>
      <c r="BJ339" s="185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313</v>
      </c>
      <c r="F340" s="139">
        <v>1066691</v>
      </c>
      <c r="G340" s="140" t="s">
        <v>524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1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86"/>
      <c r="BJ340" s="185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1079474</v>
      </c>
      <c r="G341" s="140" t="s">
        <v>723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1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86" t="s">
        <v>1</v>
      </c>
      <c r="BJ341" s="185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22">
        <v>1080362</v>
      </c>
      <c r="G342" s="123" t="s">
        <v>739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8448</v>
      </c>
      <c r="R342" s="5">
        <v>528</v>
      </c>
      <c r="S342" s="5">
        <v>7920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5068.8</v>
      </c>
      <c r="AC342" s="167"/>
      <c r="AD342" s="171"/>
      <c r="AE342" s="168" t="s">
        <v>574</v>
      </c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84" t="s">
        <v>1</v>
      </c>
      <c r="BJ342" s="185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39">
        <v>1080360</v>
      </c>
      <c r="G343" s="140" t="s">
        <v>740</v>
      </c>
      <c r="H343" s="164">
        <v>0</v>
      </c>
      <c r="I343" s="164">
        <v>0</v>
      </c>
      <c r="J343" s="114">
        <v>0</v>
      </c>
      <c r="K343" s="114">
        <v>0</v>
      </c>
      <c r="L343" s="165">
        <v>0</v>
      </c>
      <c r="M343" s="115">
        <v>0</v>
      </c>
      <c r="N343" s="165">
        <v>0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14">
        <v>0</v>
      </c>
      <c r="Y343" s="114" t="s">
        <v>574</v>
      </c>
      <c r="Z343" s="114"/>
      <c r="AA343" s="166">
        <v>0</v>
      </c>
      <c r="AB343" s="166">
        <v>0</v>
      </c>
      <c r="AC343" s="167"/>
      <c r="AD343" s="171"/>
      <c r="AE343" s="168">
        <v>117.57992366412215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86" t="s">
        <v>1</v>
      </c>
      <c r="BJ343" s="185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1052862</v>
      </c>
      <c r="G344" s="140" t="s">
        <v>184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1"/>
      <c r="AE344" s="168">
        <v>26.943925233644858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86" t="s">
        <v>1</v>
      </c>
      <c r="BJ344" s="185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1080359</v>
      </c>
      <c r="G345" s="151" t="s">
        <v>744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98</v>
      </c>
      <c r="X345" s="114">
        <v>0</v>
      </c>
      <c r="Y345" s="114" t="s">
        <v>574</v>
      </c>
      <c r="Z345" s="114"/>
      <c r="AA345" s="166">
        <v>0</v>
      </c>
      <c r="AB345" s="166">
        <v>272.44</v>
      </c>
      <c r="AC345" s="167"/>
      <c r="AD345" s="171"/>
      <c r="AE345" s="168">
        <v>72.020331950207478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86" t="s">
        <v>1</v>
      </c>
      <c r="BJ345" s="185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1070441</v>
      </c>
      <c r="G346" s="140" t="s">
        <v>588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14">
        <v>0</v>
      </c>
      <c r="Y346" s="114" t="s">
        <v>574</v>
      </c>
      <c r="Z346" s="114"/>
      <c r="AA346" s="166">
        <v>0</v>
      </c>
      <c r="AB346" s="166">
        <v>0</v>
      </c>
      <c r="AC346" s="167"/>
      <c r="AD346" s="171"/>
      <c r="AE346" s="168" t="s">
        <v>574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84" t="s">
        <v>1</v>
      </c>
      <c r="BJ346" s="185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1046963</v>
      </c>
      <c r="G347" s="140" t="s">
        <v>108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1"/>
      <c r="AE347" s="168"/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84" t="s">
        <v>1</v>
      </c>
      <c r="BJ347" s="185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1052767</v>
      </c>
      <c r="G348" s="140" t="s">
        <v>322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1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84" t="s">
        <v>1</v>
      </c>
      <c r="BJ348" s="185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1062690</v>
      </c>
      <c r="G349" s="140" t="s">
        <v>445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1"/>
      <c r="AE349" s="168">
        <v>3.9126378993385798</v>
      </c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86" t="s">
        <v>1</v>
      </c>
      <c r="BJ349" s="185"/>
    </row>
    <row r="350" spans="2:62" ht="12.75" customHeight="1" x14ac:dyDescent="0.35">
      <c r="B350" s="163" t="s">
        <v>1</v>
      </c>
      <c r="C350" s="5" t="s">
        <v>17</v>
      </c>
      <c r="D350" s="5" t="s">
        <v>312</v>
      </c>
      <c r="E350" s="5" t="s">
        <v>399</v>
      </c>
      <c r="F350" s="139">
        <v>1043123</v>
      </c>
      <c r="G350" s="140" t="s">
        <v>149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1"/>
      <c r="AE350" s="168">
        <v>85.390909090909091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86" t="s">
        <v>1</v>
      </c>
      <c r="BJ350" s="185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1043119</v>
      </c>
      <c r="G351" s="140" t="s">
        <v>146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1"/>
      <c r="AE351" s="168">
        <v>28.934257602862257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86" t="s">
        <v>1</v>
      </c>
      <c r="BJ351" s="185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1036948</v>
      </c>
      <c r="G352" s="140" t="s">
        <v>157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1"/>
      <c r="AE352" s="168" t="s">
        <v>574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84" t="s">
        <v>1</v>
      </c>
      <c r="BJ352" s="185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12">
        <v>1036942</v>
      </c>
      <c r="G353" s="113" t="s">
        <v>154</v>
      </c>
      <c r="H353" s="164">
        <v>0</v>
      </c>
      <c r="I353" s="164">
        <v>0</v>
      </c>
      <c r="J353" s="114">
        <v>0</v>
      </c>
      <c r="K353" s="114">
        <v>16</v>
      </c>
      <c r="L353" s="165">
        <v>2.4</v>
      </c>
      <c r="M353" s="115">
        <v>0</v>
      </c>
      <c r="N353" s="165">
        <v>2.4</v>
      </c>
      <c r="O353" s="165">
        <v>0</v>
      </c>
      <c r="P353" s="115">
        <v>0</v>
      </c>
      <c r="Q353" s="5">
        <v>1</v>
      </c>
      <c r="R353" s="5">
        <v>0</v>
      </c>
      <c r="S353" s="5">
        <v>1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1.94</v>
      </c>
      <c r="AC353" s="167"/>
      <c r="AD353" s="171"/>
      <c r="AE353" s="168">
        <v>12.687548082206836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86" t="s">
        <v>1</v>
      </c>
      <c r="BJ353" s="185"/>
    </row>
    <row r="354" spans="2:62" ht="12.75" customHeight="1" x14ac:dyDescent="0.35">
      <c r="B354" s="163" t="s">
        <v>27</v>
      </c>
      <c r="C354" s="5" t="s">
        <v>5</v>
      </c>
      <c r="D354" s="5" t="s">
        <v>312</v>
      </c>
      <c r="E354" s="5" t="s">
        <v>315</v>
      </c>
      <c r="F354" s="139">
        <v>1033941</v>
      </c>
      <c r="G354" s="140" t="s">
        <v>39</v>
      </c>
      <c r="H354" s="164">
        <v>0</v>
      </c>
      <c r="I354" s="164">
        <v>0</v>
      </c>
      <c r="J354" s="114">
        <v>0</v>
      </c>
      <c r="K354" s="114">
        <v>0</v>
      </c>
      <c r="L354" s="165">
        <v>0</v>
      </c>
      <c r="M354" s="115">
        <v>0</v>
      </c>
      <c r="N354" s="165">
        <v>0</v>
      </c>
      <c r="O354" s="165">
        <v>0</v>
      </c>
      <c r="P354" s="11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0</v>
      </c>
      <c r="AC354" s="167"/>
      <c r="AD354" s="175"/>
      <c r="AE354" s="168" t="s">
        <v>574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84" t="s">
        <v>1</v>
      </c>
      <c r="BJ354" s="185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1059114</v>
      </c>
      <c r="G355" s="140" t="s">
        <v>516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1"/>
      <c r="AE355" s="168">
        <v>42.062745098037155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86" t="s">
        <v>1</v>
      </c>
      <c r="BJ355" s="185"/>
    </row>
    <row r="356" spans="2:62" ht="12.75" customHeight="1" x14ac:dyDescent="0.35">
      <c r="B356" s="163" t="s">
        <v>27</v>
      </c>
      <c r="C356" s="5" t="s">
        <v>5</v>
      </c>
      <c r="D356" s="5" t="s">
        <v>308</v>
      </c>
      <c r="E356" s="5" t="s">
        <v>315</v>
      </c>
      <c r="F356" s="139">
        <v>1046962</v>
      </c>
      <c r="G356" s="140" t="s">
        <v>97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1"/>
      <c r="AE356" s="168">
        <v>37.841521980413759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84" t="s">
        <v>1</v>
      </c>
      <c r="BJ356" s="185"/>
    </row>
    <row r="357" spans="2:62" ht="12.75" customHeight="1" x14ac:dyDescent="0.35">
      <c r="B357" s="163" t="s">
        <v>8</v>
      </c>
      <c r="C357" s="5" t="s">
        <v>5</v>
      </c>
      <c r="D357" s="5" t="s">
        <v>310</v>
      </c>
      <c r="E357" s="5" t="s">
        <v>311</v>
      </c>
      <c r="F357" s="139">
        <v>1043944</v>
      </c>
      <c r="G357" s="140" t="s">
        <v>107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5"/>
      <c r="AE357" s="168" t="s">
        <v>574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84" t="s">
        <v>1</v>
      </c>
      <c r="BJ357" s="185"/>
    </row>
    <row r="358" spans="2:62" ht="12.75" customHeight="1" x14ac:dyDescent="0.35">
      <c r="B358" s="163" t="s">
        <v>9</v>
      </c>
      <c r="C358" s="5" t="s">
        <v>5</v>
      </c>
      <c r="D358" s="5" t="s">
        <v>396</v>
      </c>
      <c r="E358" s="5" t="s">
        <v>397</v>
      </c>
      <c r="F358" s="139">
        <v>1052998</v>
      </c>
      <c r="G358" s="140" t="s">
        <v>364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5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86" t="s">
        <v>1</v>
      </c>
      <c r="BJ358" s="185"/>
    </row>
    <row r="359" spans="2:62" ht="12.75" customHeight="1" x14ac:dyDescent="0.35">
      <c r="B359" s="163" t="s">
        <v>4</v>
      </c>
      <c r="C359" s="5" t="s">
        <v>5</v>
      </c>
      <c r="D359" s="5" t="s">
        <v>308</v>
      </c>
      <c r="E359" s="5" t="s">
        <v>407</v>
      </c>
      <c r="F359" s="139">
        <v>1031077</v>
      </c>
      <c r="G359" s="140" t="s">
        <v>177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5"/>
      <c r="AE359" s="168"/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86"/>
      <c r="BJ359" s="185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314</v>
      </c>
      <c r="F360" s="139">
        <v>1052762</v>
      </c>
      <c r="G360" s="140" t="s">
        <v>185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5"/>
      <c r="AE360" s="168" t="s">
        <v>574</v>
      </c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84" t="s">
        <v>1</v>
      </c>
      <c r="BJ360" s="185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1052761</v>
      </c>
      <c r="G361" s="140" t="s">
        <v>199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5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84" t="s">
        <v>1</v>
      </c>
      <c r="BJ361" s="185"/>
    </row>
    <row r="362" spans="2:62" ht="12.75" customHeight="1" x14ac:dyDescent="0.35">
      <c r="B362" s="163" t="s">
        <v>1</v>
      </c>
      <c r="C362" s="5" t="s">
        <v>2</v>
      </c>
      <c r="D362" s="5" t="s">
        <v>308</v>
      </c>
      <c r="E362" s="5" t="s">
        <v>395</v>
      </c>
      <c r="F362" s="139">
        <v>1057451</v>
      </c>
      <c r="G362" s="140" t="s">
        <v>247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5"/>
      <c r="AE362" s="168">
        <v>37.490270146520146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86" t="s">
        <v>1</v>
      </c>
      <c r="BJ362" s="185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1057482</v>
      </c>
      <c r="G363" s="140" t="s">
        <v>256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5"/>
      <c r="AE363" s="168" t="s">
        <v>574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86" t="s">
        <v>1</v>
      </c>
      <c r="BJ363" s="185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1057450</v>
      </c>
      <c r="G364" s="140" t="s">
        <v>255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5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86" t="s">
        <v>1</v>
      </c>
      <c r="BJ364" s="185"/>
    </row>
    <row r="365" spans="2:62" ht="12.75" customHeight="1" x14ac:dyDescent="0.35">
      <c r="B365" s="163" t="s">
        <v>781</v>
      </c>
      <c r="C365" s="5" t="s">
        <v>5</v>
      </c>
      <c r="D365" s="5" t="s">
        <v>308</v>
      </c>
      <c r="E365" s="5" t="s">
        <v>395</v>
      </c>
      <c r="F365" s="139">
        <v>1071370</v>
      </c>
      <c r="G365" s="140" t="s">
        <v>583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5"/>
      <c r="AE365" s="168"/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84" t="s">
        <v>1</v>
      </c>
      <c r="BJ365" s="185"/>
    </row>
    <row r="366" spans="2:62" ht="12.75" customHeight="1" x14ac:dyDescent="0.35">
      <c r="B366" s="163" t="s">
        <v>21</v>
      </c>
      <c r="C366" s="5" t="s">
        <v>5</v>
      </c>
      <c r="D366" s="5" t="s">
        <v>308</v>
      </c>
      <c r="E366" s="5" t="s">
        <v>395</v>
      </c>
      <c r="F366" s="139">
        <v>1071371</v>
      </c>
      <c r="G366" s="140" t="s">
        <v>584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5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86" t="s">
        <v>1</v>
      </c>
      <c r="BJ366" s="185"/>
    </row>
    <row r="367" spans="2:62" ht="12.75" customHeight="1" x14ac:dyDescent="0.35">
      <c r="B367" s="163" t="s">
        <v>1</v>
      </c>
      <c r="C367" s="5" t="s">
        <v>2</v>
      </c>
      <c r="D367" s="5" t="s">
        <v>308</v>
      </c>
      <c r="E367" s="5" t="s">
        <v>395</v>
      </c>
      <c r="F367" s="128">
        <v>1079795</v>
      </c>
      <c r="G367" s="129" t="s">
        <v>750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5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86"/>
      <c r="BJ367" s="185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12">
        <v>1079796</v>
      </c>
      <c r="G368" s="113" t="s">
        <v>751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5"/>
      <c r="AE368" s="168">
        <v>25.572868927589369</v>
      </c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86" t="s">
        <v>1</v>
      </c>
      <c r="BJ368" s="185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39">
        <v>1076518</v>
      </c>
      <c r="G369" s="140" t="s">
        <v>681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5"/>
      <c r="AE369" s="168"/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84" t="s">
        <v>1</v>
      </c>
      <c r="BJ369" s="185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1076519</v>
      </c>
      <c r="G370" s="140" t="s">
        <v>679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5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84"/>
      <c r="BJ370" s="185"/>
    </row>
    <row r="371" spans="2:62" ht="12.75" customHeight="1" x14ac:dyDescent="0.35">
      <c r="B371" s="163" t="s">
        <v>21</v>
      </c>
      <c r="C371" s="5" t="s">
        <v>2</v>
      </c>
      <c r="D371" s="5" t="s">
        <v>308</v>
      </c>
      <c r="E371" s="5" t="s">
        <v>395</v>
      </c>
      <c r="F371" s="139">
        <v>1070483</v>
      </c>
      <c r="G371" s="140" t="s">
        <v>614</v>
      </c>
      <c r="H371" s="164">
        <v>0</v>
      </c>
      <c r="I371" s="164">
        <v>0</v>
      </c>
      <c r="J371" s="114">
        <v>0</v>
      </c>
      <c r="K371" s="114">
        <v>20</v>
      </c>
      <c r="L371" s="165">
        <v>1.8900000000000001</v>
      </c>
      <c r="M371" s="115">
        <v>0</v>
      </c>
      <c r="N371" s="165">
        <v>1.8900000000000001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5"/>
      <c r="AE371" s="168" t="s">
        <v>574</v>
      </c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84" t="s">
        <v>1</v>
      </c>
      <c r="BJ371" s="185"/>
    </row>
    <row r="372" spans="2:62" ht="12.75" customHeight="1" x14ac:dyDescent="0.35">
      <c r="B372" s="163" t="s">
        <v>1</v>
      </c>
      <c r="C372" s="5" t="s">
        <v>2</v>
      </c>
      <c r="D372" s="5" t="s">
        <v>308</v>
      </c>
      <c r="E372" s="5" t="s">
        <v>395</v>
      </c>
      <c r="F372" s="139">
        <v>1070485</v>
      </c>
      <c r="G372" s="140" t="s">
        <v>625</v>
      </c>
      <c r="H372" s="164">
        <v>0</v>
      </c>
      <c r="I372" s="164">
        <v>0</v>
      </c>
      <c r="J372" s="114">
        <v>0</v>
      </c>
      <c r="K372" s="114">
        <v>0</v>
      </c>
      <c r="L372" s="165">
        <v>0</v>
      </c>
      <c r="M372" s="115">
        <v>0</v>
      </c>
      <c r="N372" s="165">
        <v>0</v>
      </c>
      <c r="O372" s="165">
        <v>0</v>
      </c>
      <c r="P372" s="115">
        <v>0</v>
      </c>
      <c r="Q372" s="5">
        <v>2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5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84" t="s">
        <v>1</v>
      </c>
      <c r="BJ372" s="185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1070620</v>
      </c>
      <c r="G373" s="140" t="s">
        <v>578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5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84" t="s">
        <v>1</v>
      </c>
      <c r="BJ373" s="185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1070621</v>
      </c>
      <c r="G374" s="140" t="s">
        <v>579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7150</v>
      </c>
      <c r="R374" s="5">
        <v>0</v>
      </c>
      <c r="S374" s="5">
        <v>7150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95881.5</v>
      </c>
      <c r="AC374" s="167"/>
      <c r="AD374" s="175"/>
      <c r="AE374" s="168">
        <v>27.627033090297253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86" t="s">
        <v>1</v>
      </c>
      <c r="BJ374" s="185"/>
    </row>
    <row r="375" spans="2:62" ht="12.75" customHeight="1" x14ac:dyDescent="0.35">
      <c r="B375" s="163" t="s">
        <v>21</v>
      </c>
      <c r="C375" s="5" t="s">
        <v>5</v>
      </c>
      <c r="D375" s="5" t="s">
        <v>308</v>
      </c>
      <c r="E375" s="5" t="s">
        <v>395</v>
      </c>
      <c r="F375" s="139">
        <v>1042782</v>
      </c>
      <c r="G375" s="140" t="s">
        <v>298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14">
        <v>0</v>
      </c>
      <c r="Y375" s="114" t="s">
        <v>574</v>
      </c>
      <c r="Z375" s="114"/>
      <c r="AA375" s="166">
        <v>0</v>
      </c>
      <c r="AB375" s="166">
        <v>0</v>
      </c>
      <c r="AC375" s="167"/>
      <c r="AD375" s="175"/>
      <c r="AE375" s="168">
        <v>19.286341222879685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84" t="s">
        <v>1</v>
      </c>
      <c r="BJ375" s="185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1069939</v>
      </c>
      <c r="G376" s="140" t="s">
        <v>586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5"/>
      <c r="AE376" s="168">
        <v>0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84" t="s">
        <v>1</v>
      </c>
      <c r="BJ376" s="185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1042785</v>
      </c>
      <c r="G377" s="140" t="s">
        <v>301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5"/>
      <c r="AE377" s="168" t="s">
        <v>574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84" t="s">
        <v>1</v>
      </c>
      <c r="BJ377" s="185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1042786</v>
      </c>
      <c r="G378" s="140" t="s">
        <v>302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5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84" t="s">
        <v>1</v>
      </c>
      <c r="BJ378" s="185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1033041</v>
      </c>
      <c r="G379" s="140" t="s">
        <v>178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2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8.7799999999999994</v>
      </c>
      <c r="AC379" s="167"/>
      <c r="AD379" s="175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84" t="s">
        <v>1</v>
      </c>
      <c r="BJ379" s="185"/>
    </row>
    <row r="380" spans="2:62" ht="12.75" customHeight="1" x14ac:dyDescent="0.35">
      <c r="B380" s="163" t="s">
        <v>1</v>
      </c>
      <c r="C380" s="5" t="s">
        <v>2</v>
      </c>
      <c r="D380" s="5" t="s">
        <v>308</v>
      </c>
      <c r="E380" s="5" t="s">
        <v>395</v>
      </c>
      <c r="F380" s="139">
        <v>1070619</v>
      </c>
      <c r="G380" s="140" t="s">
        <v>577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0</v>
      </c>
      <c r="AC380" s="167"/>
      <c r="AD380" s="175"/>
      <c r="AE380" s="168">
        <v>572.44600000000003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86" t="s">
        <v>1</v>
      </c>
      <c r="BJ380" s="185"/>
    </row>
    <row r="381" spans="2:62" ht="12.75" customHeight="1" x14ac:dyDescent="0.35">
      <c r="B381" s="163" t="s">
        <v>21</v>
      </c>
      <c r="C381" s="5" t="s">
        <v>5</v>
      </c>
      <c r="D381" s="5" t="s">
        <v>308</v>
      </c>
      <c r="E381" s="5" t="s">
        <v>372</v>
      </c>
      <c r="F381" s="139">
        <v>1015838</v>
      </c>
      <c r="G381" s="140" t="s">
        <v>286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5"/>
      <c r="AE381" s="168" t="s">
        <v>574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84" t="s">
        <v>1</v>
      </c>
      <c r="BJ381" s="185"/>
    </row>
    <row r="382" spans="2:62" ht="12.75" customHeight="1" x14ac:dyDescent="0.35">
      <c r="B382" s="163" t="s">
        <v>8</v>
      </c>
      <c r="C382" s="5" t="s">
        <v>5</v>
      </c>
      <c r="D382" s="5" t="s">
        <v>308</v>
      </c>
      <c r="E382" s="5" t="s">
        <v>309</v>
      </c>
      <c r="F382" s="139">
        <v>1062484</v>
      </c>
      <c r="G382" s="140" t="s">
        <v>511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5"/>
      <c r="AE382" s="168">
        <v>3.856263736263736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86" t="s">
        <v>1</v>
      </c>
      <c r="BJ382" s="185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1016002</v>
      </c>
      <c r="G383" s="140" t="s">
        <v>287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5"/>
      <c r="AE383" s="168">
        <v>17.247968069666182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86" t="s">
        <v>1</v>
      </c>
      <c r="BJ383" s="185"/>
    </row>
    <row r="384" spans="2:62" ht="12.75" customHeight="1" x14ac:dyDescent="0.35">
      <c r="B384" s="163" t="s">
        <v>1</v>
      </c>
      <c r="C384" s="5" t="s">
        <v>2</v>
      </c>
      <c r="D384" s="5" t="s">
        <v>308</v>
      </c>
      <c r="E384" s="5" t="s">
        <v>315</v>
      </c>
      <c r="F384" s="139">
        <v>1079693</v>
      </c>
      <c r="G384" s="140" t="s">
        <v>730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5"/>
      <c r="AE384" s="168"/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84" t="s">
        <v>1</v>
      </c>
      <c r="BJ384" s="185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1079401</v>
      </c>
      <c r="G385" s="140" t="s">
        <v>710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5"/>
      <c r="AE385" s="168" t="s">
        <v>574</v>
      </c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86" t="s">
        <v>1</v>
      </c>
      <c r="BJ385" s="185"/>
    </row>
    <row r="386" spans="2:62" ht="12.75" customHeight="1" x14ac:dyDescent="0.35">
      <c r="B386" s="163" t="s">
        <v>15</v>
      </c>
      <c r="C386" s="5" t="s">
        <v>5</v>
      </c>
      <c r="D386" s="5" t="s">
        <v>308</v>
      </c>
      <c r="E386" s="5" t="s">
        <v>315</v>
      </c>
      <c r="F386" s="132">
        <v>1083253</v>
      </c>
      <c r="G386" s="133" t="s">
        <v>780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5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84" t="s">
        <v>1</v>
      </c>
      <c r="BJ386" s="185"/>
    </row>
    <row r="387" spans="2:62" ht="12.75" customHeight="1" x14ac:dyDescent="0.35">
      <c r="B387" s="163" t="s">
        <v>9</v>
      </c>
      <c r="C387" s="5" t="s">
        <v>5</v>
      </c>
      <c r="D387" s="5" t="s">
        <v>308</v>
      </c>
      <c r="E387" s="5" t="s">
        <v>315</v>
      </c>
      <c r="F387" s="128">
        <v>1082486</v>
      </c>
      <c r="G387" s="129" t="s">
        <v>758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84</v>
      </c>
      <c r="R387" s="5">
        <v>0</v>
      </c>
      <c r="S387" s="5">
        <v>84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557.76</v>
      </c>
      <c r="AC387" s="167"/>
      <c r="AD387" s="175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84" t="s">
        <v>1</v>
      </c>
      <c r="BJ387" s="185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39">
        <v>1068115</v>
      </c>
      <c r="G388" s="140" t="s">
        <v>550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0</v>
      </c>
      <c r="AC388" s="167"/>
      <c r="AD388" s="175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84" t="s">
        <v>1</v>
      </c>
      <c r="BJ388" s="185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1066851</v>
      </c>
      <c r="G389" s="140" t="s">
        <v>532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5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84" t="s">
        <v>1</v>
      </c>
      <c r="BJ389" s="185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1066852</v>
      </c>
      <c r="G390" s="140" t="s">
        <v>531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5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84" t="s">
        <v>1</v>
      </c>
      <c r="BJ390" s="185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1068117</v>
      </c>
      <c r="G391" s="140" t="s">
        <v>553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5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84" t="s">
        <v>1</v>
      </c>
      <c r="BJ391" s="185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1066853</v>
      </c>
      <c r="G392" s="140" t="s">
        <v>529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5"/>
      <c r="AE392" s="168"/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86" t="s">
        <v>1</v>
      </c>
      <c r="BJ392" s="185"/>
    </row>
    <row r="393" spans="2:62" ht="12.75" customHeight="1" x14ac:dyDescent="0.35">
      <c r="B393" s="163" t="s">
        <v>4</v>
      </c>
      <c r="C393" s="5" t="s">
        <v>5</v>
      </c>
      <c r="D393" s="5" t="s">
        <v>308</v>
      </c>
      <c r="E393" s="5" t="s">
        <v>315</v>
      </c>
      <c r="F393" s="139">
        <v>1069541</v>
      </c>
      <c r="G393" s="140" t="s">
        <v>548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5"/>
      <c r="AE393" s="168">
        <v>4.6103582516138566</v>
      </c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86" t="s">
        <v>1</v>
      </c>
      <c r="BJ393" s="185"/>
    </row>
    <row r="394" spans="2:62" ht="12.75" customHeight="1" x14ac:dyDescent="0.35">
      <c r="B394" s="163" t="s">
        <v>15</v>
      </c>
      <c r="C394" s="5" t="s">
        <v>5</v>
      </c>
      <c r="D394" s="5" t="s">
        <v>308</v>
      </c>
      <c r="E394" s="5" t="s">
        <v>315</v>
      </c>
      <c r="F394" s="139">
        <v>1076971</v>
      </c>
      <c r="G394" s="140" t="s">
        <v>672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969</v>
      </c>
      <c r="X394" s="114">
        <v>0</v>
      </c>
      <c r="Y394" s="114" t="s">
        <v>574</v>
      </c>
      <c r="Z394" s="114"/>
      <c r="AA394" s="166">
        <v>0</v>
      </c>
      <c r="AB394" s="166">
        <v>3682.2</v>
      </c>
      <c r="AC394" s="167"/>
      <c r="AD394" s="175"/>
      <c r="AE394" s="168" t="s">
        <v>574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84" t="s">
        <v>1</v>
      </c>
      <c r="BJ394" s="185"/>
    </row>
    <row r="395" spans="2:62" ht="12.75" customHeight="1" x14ac:dyDescent="0.35">
      <c r="B395" s="163" t="s">
        <v>4</v>
      </c>
      <c r="C395" s="5" t="s">
        <v>5</v>
      </c>
      <c r="D395" s="5" t="s">
        <v>308</v>
      </c>
      <c r="E395" s="5" t="s">
        <v>315</v>
      </c>
      <c r="F395" s="139">
        <v>1073817</v>
      </c>
      <c r="G395" s="140" t="s">
        <v>621</v>
      </c>
      <c r="H395" s="164">
        <v>0</v>
      </c>
      <c r="I395" s="164">
        <v>0</v>
      </c>
      <c r="J395" s="114">
        <v>0</v>
      </c>
      <c r="K395" s="114">
        <v>0</v>
      </c>
      <c r="L395" s="165">
        <v>0</v>
      </c>
      <c r="M395" s="115">
        <v>0</v>
      </c>
      <c r="N395" s="165">
        <v>0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14">
        <v>0</v>
      </c>
      <c r="Y395" s="114" t="s">
        <v>574</v>
      </c>
      <c r="Z395" s="114"/>
      <c r="AA395" s="166">
        <v>0</v>
      </c>
      <c r="AB395" s="166">
        <v>0</v>
      </c>
      <c r="AC395" s="167"/>
      <c r="AD395" s="175"/>
      <c r="AE395" s="168">
        <v>29.24054054054054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84" t="s">
        <v>1</v>
      </c>
      <c r="BJ395" s="185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1066854</v>
      </c>
      <c r="G396" s="140" t="s">
        <v>530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5"/>
      <c r="AE396" s="168"/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84" t="s">
        <v>1</v>
      </c>
      <c r="BJ396" s="185"/>
    </row>
    <row r="397" spans="2:62" ht="12.75" customHeight="1" x14ac:dyDescent="0.35">
      <c r="B397" s="163" t="s">
        <v>9</v>
      </c>
      <c r="C397" s="5" t="s">
        <v>5</v>
      </c>
      <c r="D397" s="5" t="s">
        <v>308</v>
      </c>
      <c r="E397" s="5" t="s">
        <v>315</v>
      </c>
      <c r="F397" s="139">
        <v>1069926</v>
      </c>
      <c r="G397" s="140" t="s">
        <v>576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5"/>
      <c r="AE397" s="168" t="s">
        <v>574</v>
      </c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86" t="s">
        <v>1</v>
      </c>
      <c r="BJ397" s="185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1058418</v>
      </c>
      <c r="G398" s="140" t="s">
        <v>235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5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84" t="s">
        <v>1</v>
      </c>
      <c r="BJ398" s="185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1065134</v>
      </c>
      <c r="G399" s="140" t="s">
        <v>517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5"/>
      <c r="AE399" s="168">
        <v>11.890168795620438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86" t="s">
        <v>1</v>
      </c>
      <c r="BJ399" s="185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1068116</v>
      </c>
      <c r="G400" s="140" t="s">
        <v>551</v>
      </c>
      <c r="H400" s="164">
        <v>0</v>
      </c>
      <c r="I400" s="164">
        <v>0</v>
      </c>
      <c r="J400" s="114">
        <v>0</v>
      </c>
      <c r="K400" s="114">
        <v>0</v>
      </c>
      <c r="L400" s="165">
        <v>0</v>
      </c>
      <c r="M400" s="115">
        <v>0</v>
      </c>
      <c r="N400" s="165">
        <v>0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5"/>
      <c r="AE400" s="168" t="s">
        <v>574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84" t="s">
        <v>1</v>
      </c>
      <c r="BJ400" s="185"/>
    </row>
    <row r="401" spans="2:62" ht="12.75" customHeight="1" x14ac:dyDescent="0.35">
      <c r="B401" s="163" t="s">
        <v>15</v>
      </c>
      <c r="C401" s="5" t="s">
        <v>5</v>
      </c>
      <c r="D401" s="5" t="s">
        <v>308</v>
      </c>
      <c r="E401" s="5" t="s">
        <v>315</v>
      </c>
      <c r="F401" s="139">
        <v>1058340</v>
      </c>
      <c r="G401" s="140" t="s">
        <v>233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5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84" t="s">
        <v>1</v>
      </c>
      <c r="BJ401" s="185"/>
    </row>
    <row r="402" spans="2:62" ht="12.75" customHeight="1" x14ac:dyDescent="0.35">
      <c r="B402" s="163" t="s">
        <v>1</v>
      </c>
      <c r="C402" s="5" t="s">
        <v>5</v>
      </c>
      <c r="D402" s="5" t="s">
        <v>308</v>
      </c>
      <c r="E402" s="5" t="s">
        <v>315</v>
      </c>
      <c r="F402" s="139">
        <v>1036068</v>
      </c>
      <c r="G402" s="140" t="s">
        <v>384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5"/>
      <c r="AE402" s="168">
        <v>72.740287386907923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86" t="s">
        <v>1</v>
      </c>
      <c r="BJ402" s="185"/>
    </row>
    <row r="403" spans="2:62" ht="12.75" customHeight="1" x14ac:dyDescent="0.35">
      <c r="B403" s="163" t="s">
        <v>9</v>
      </c>
      <c r="C403" s="5" t="s">
        <v>5</v>
      </c>
      <c r="D403" s="5" t="s">
        <v>308</v>
      </c>
      <c r="E403" s="5" t="s">
        <v>315</v>
      </c>
      <c r="F403" s="139">
        <v>1069927</v>
      </c>
      <c r="G403" s="140" t="s">
        <v>580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5"/>
      <c r="AE403" s="168"/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86"/>
      <c r="BJ403" s="185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1059094</v>
      </c>
      <c r="G404" s="140" t="s">
        <v>265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4800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28272</v>
      </c>
      <c r="AC404" s="167"/>
      <c r="AD404" s="175"/>
      <c r="AE404" s="168">
        <v>42.023612895332477</v>
      </c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84" t="s">
        <v>1</v>
      </c>
      <c r="BJ404" s="185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1059095</v>
      </c>
      <c r="G405" s="140" t="s">
        <v>266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0</v>
      </c>
      <c r="AC405" s="167"/>
      <c r="AD405" s="175"/>
      <c r="AE405" s="168"/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84" t="s">
        <v>1</v>
      </c>
      <c r="BJ405" s="185"/>
    </row>
    <row r="406" spans="2:62" ht="12.75" customHeight="1" x14ac:dyDescent="0.35">
      <c r="B406" s="163" t="s">
        <v>4</v>
      </c>
      <c r="C406" s="5" t="s">
        <v>5</v>
      </c>
      <c r="D406" s="5" t="s">
        <v>308</v>
      </c>
      <c r="E406" s="5" t="s">
        <v>315</v>
      </c>
      <c r="F406" s="139">
        <v>1056709</v>
      </c>
      <c r="G406" s="140" t="s">
        <v>219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5"/>
      <c r="AE406" s="168">
        <v>10.153990484487016</v>
      </c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84" t="s">
        <v>1</v>
      </c>
      <c r="BJ406" s="185"/>
    </row>
    <row r="407" spans="2:62" ht="12.75" customHeight="1" x14ac:dyDescent="0.3">
      <c r="B407" s="163">
        <v>0</v>
      </c>
      <c r="C407" s="5" t="s">
        <v>5</v>
      </c>
      <c r="D407" s="5" t="s">
        <v>308</v>
      </c>
      <c r="E407" s="5" t="s">
        <v>315</v>
      </c>
      <c r="F407" s="112">
        <v>1083107</v>
      </c>
      <c r="G407" s="176" t="s">
        <v>777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6</v>
      </c>
      <c r="X407" s="114">
        <v>0</v>
      </c>
      <c r="Y407" s="114" t="s">
        <v>574</v>
      </c>
      <c r="Z407" s="114"/>
      <c r="AA407" s="166">
        <v>0</v>
      </c>
      <c r="AB407" s="166">
        <v>13.26</v>
      </c>
      <c r="AC407" s="167"/>
      <c r="AD407" s="175"/>
      <c r="AE407" s="168" t="s">
        <v>574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84" t="s">
        <v>1</v>
      </c>
      <c r="BJ407" s="185"/>
    </row>
    <row r="408" spans="2:62" ht="12.75" customHeight="1" x14ac:dyDescent="0.35">
      <c r="B408" s="163" t="s">
        <v>1</v>
      </c>
      <c r="C408" s="5" t="s">
        <v>2</v>
      </c>
      <c r="D408" s="5" t="s">
        <v>308</v>
      </c>
      <c r="E408" s="5" t="s">
        <v>307</v>
      </c>
      <c r="F408" s="139">
        <v>1041905</v>
      </c>
      <c r="G408" s="140" t="s">
        <v>446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14">
        <v>0</v>
      </c>
      <c r="Y408" s="114" t="s">
        <v>574</v>
      </c>
      <c r="Z408" s="114"/>
      <c r="AA408" s="166">
        <v>0</v>
      </c>
      <c r="AB408" s="166">
        <v>0</v>
      </c>
      <c r="AC408" s="167"/>
      <c r="AD408" s="175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84" t="s">
        <v>1</v>
      </c>
      <c r="BJ408" s="185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1046506</v>
      </c>
      <c r="G409" s="140" t="s">
        <v>130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5"/>
      <c r="AE409" s="168">
        <v>28.496218260399786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86" t="s">
        <v>1</v>
      </c>
      <c r="BJ409" s="185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1045151</v>
      </c>
      <c r="G410" s="140" t="s">
        <v>162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5"/>
      <c r="AE410" s="168">
        <v>13.184134164266615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86" t="s">
        <v>1</v>
      </c>
      <c r="BJ410" s="185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1038132</v>
      </c>
      <c r="G411" s="140" t="s">
        <v>293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5"/>
      <c r="AE411" s="168" t="s">
        <v>574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84" t="s">
        <v>1</v>
      </c>
      <c r="BJ411" s="185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1038131</v>
      </c>
      <c r="G412" s="140" t="s">
        <v>75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5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84" t="s">
        <v>1</v>
      </c>
      <c r="BJ412" s="185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1043642</v>
      </c>
      <c r="G413" s="140" t="s">
        <v>6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5"/>
      <c r="AE413" s="168"/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84"/>
      <c r="BJ413" s="185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1047344</v>
      </c>
      <c r="G414" s="140" t="s">
        <v>144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5"/>
      <c r="AE414" s="168" t="s">
        <v>574</v>
      </c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84" t="s">
        <v>1</v>
      </c>
      <c r="BJ414" s="185"/>
    </row>
    <row r="415" spans="2:62" ht="12.75" customHeight="1" x14ac:dyDescent="0.35">
      <c r="B415" s="163" t="s">
        <v>38</v>
      </c>
      <c r="C415" s="5" t="s">
        <v>5</v>
      </c>
      <c r="D415" s="5" t="s">
        <v>308</v>
      </c>
      <c r="E415" s="5" t="s">
        <v>405</v>
      </c>
      <c r="F415" s="139">
        <v>1037816</v>
      </c>
      <c r="G415" s="140" t="s">
        <v>47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5"/>
      <c r="AE415" s="168">
        <v>19.242521367521366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86" t="s">
        <v>1</v>
      </c>
      <c r="BJ415" s="185"/>
    </row>
    <row r="416" spans="2:62" ht="12.75" customHeight="1" x14ac:dyDescent="0.35">
      <c r="B416" s="163" t="s">
        <v>9</v>
      </c>
      <c r="C416" s="5" t="s">
        <v>5</v>
      </c>
      <c r="D416" s="5" t="s">
        <v>308</v>
      </c>
      <c r="E416" s="5" t="s">
        <v>315</v>
      </c>
      <c r="F416" s="139">
        <v>1044326</v>
      </c>
      <c r="G416" s="140" t="s">
        <v>74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5"/>
      <c r="AE416" s="168"/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84"/>
      <c r="BJ416" s="185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1057718</v>
      </c>
      <c r="G417" s="140" t="s">
        <v>262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5"/>
      <c r="AE417" s="168" t="s">
        <v>574</v>
      </c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84" t="s">
        <v>1</v>
      </c>
      <c r="BJ417" s="185"/>
    </row>
    <row r="418" spans="2:62" ht="12.75" customHeight="1" x14ac:dyDescent="0.35">
      <c r="B418" s="163" t="s">
        <v>4</v>
      </c>
      <c r="C418" s="5" t="s">
        <v>5</v>
      </c>
      <c r="D418" s="5" t="s">
        <v>308</v>
      </c>
      <c r="E418" s="5" t="s">
        <v>314</v>
      </c>
      <c r="F418" s="5">
        <v>1083123</v>
      </c>
      <c r="G418" s="177" t="s">
        <v>795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5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84" t="s">
        <v>1</v>
      </c>
      <c r="BJ418" s="185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139">
        <v>1029107</v>
      </c>
      <c r="G419" s="140" t="s">
        <v>34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9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26.19</v>
      </c>
      <c r="AC419" s="167"/>
      <c r="AD419" s="175"/>
      <c r="AE419" s="168"/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84" t="s">
        <v>1</v>
      </c>
      <c r="BJ419" s="185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1068759</v>
      </c>
      <c r="G420" s="140" t="s">
        <v>546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0</v>
      </c>
      <c r="AC420" s="167"/>
      <c r="AD420" s="175"/>
      <c r="AE420" s="168" t="s">
        <v>574</v>
      </c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86" t="s">
        <v>1</v>
      </c>
      <c r="BJ420" s="185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1050644</v>
      </c>
      <c r="G421" s="140" t="s">
        <v>283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5"/>
      <c r="AE421" s="168"/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86" t="s">
        <v>1</v>
      </c>
      <c r="BJ421" s="185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12">
        <v>1068329</v>
      </c>
      <c r="G422" s="113" t="s">
        <v>554</v>
      </c>
      <c r="H422" s="164">
        <v>0</v>
      </c>
      <c r="I422" s="164">
        <v>0</v>
      </c>
      <c r="J422" s="114">
        <v>0</v>
      </c>
      <c r="K422" s="114">
        <v>-132</v>
      </c>
      <c r="L422" s="165">
        <v>-21.78</v>
      </c>
      <c r="M422" s="115">
        <v>0</v>
      </c>
      <c r="N422" s="165">
        <v>21.78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5"/>
      <c r="AE422" s="168" t="s">
        <v>574</v>
      </c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84" t="s">
        <v>1</v>
      </c>
      <c r="BJ422" s="185"/>
    </row>
    <row r="423" spans="2:62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39">
        <v>1013790</v>
      </c>
      <c r="G423" s="140" t="s">
        <v>285</v>
      </c>
      <c r="H423" s="164">
        <v>0</v>
      </c>
      <c r="I423" s="164">
        <v>0</v>
      </c>
      <c r="J423" s="114">
        <v>0</v>
      </c>
      <c r="K423" s="114">
        <v>0</v>
      </c>
      <c r="L423" s="165">
        <v>0</v>
      </c>
      <c r="M423" s="115">
        <v>0</v>
      </c>
      <c r="N423" s="165">
        <v>0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5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84" t="s">
        <v>1</v>
      </c>
      <c r="BJ423" s="185"/>
    </row>
    <row r="424" spans="2:62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1058690</v>
      </c>
      <c r="G424" s="140" t="s">
        <v>257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5"/>
      <c r="AE424" s="168"/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86" t="s">
        <v>1</v>
      </c>
      <c r="BJ424" s="185"/>
    </row>
    <row r="425" spans="2:62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1058983</v>
      </c>
      <c r="G425" s="140" t="s">
        <v>258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5"/>
      <c r="AE425" s="168">
        <v>14.708510638297874</v>
      </c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86" t="s">
        <v>1</v>
      </c>
      <c r="BJ425" s="185"/>
    </row>
    <row r="426" spans="2:62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1080417</v>
      </c>
      <c r="G426" s="140" t="s">
        <v>731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5"/>
      <c r="AE426" s="168">
        <v>149.29599999999999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86" t="s">
        <v>1</v>
      </c>
      <c r="BJ426" s="185"/>
    </row>
    <row r="427" spans="2:62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12">
        <v>1080418</v>
      </c>
      <c r="G427" s="113" t="s">
        <v>729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1"/>
      <c r="AE427" s="168" t="s">
        <v>574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84" t="s">
        <v>1</v>
      </c>
      <c r="BJ427" s="185"/>
    </row>
    <row r="428" spans="2:62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39">
        <v>1074593</v>
      </c>
      <c r="G428" s="140" t="s">
        <v>630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5"/>
      <c r="AE428" s="168">
        <v>33.975999999999999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86" t="s">
        <v>1</v>
      </c>
      <c r="BJ428" s="185"/>
    </row>
    <row r="429" spans="2:62" x14ac:dyDescent="0.35">
      <c r="B429" s="163" t="s">
        <v>21</v>
      </c>
      <c r="C429" s="5" t="s">
        <v>5</v>
      </c>
      <c r="D429" s="5" t="s">
        <v>308</v>
      </c>
      <c r="E429" s="5" t="s">
        <v>395</v>
      </c>
      <c r="F429" s="139">
        <v>1057049</v>
      </c>
      <c r="G429" s="140" t="s">
        <v>223</v>
      </c>
      <c r="H429" s="164">
        <v>0</v>
      </c>
      <c r="I429" s="164">
        <v>0</v>
      </c>
      <c r="J429" s="114">
        <v>0</v>
      </c>
      <c r="K429" s="114">
        <v>0</v>
      </c>
      <c r="L429" s="165">
        <v>0</v>
      </c>
      <c r="M429" s="115">
        <v>0</v>
      </c>
      <c r="N429" s="165">
        <v>0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5"/>
      <c r="AE429" s="168" t="s">
        <v>574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84" t="s">
        <v>1</v>
      </c>
      <c r="BJ429" s="185"/>
    </row>
    <row r="430" spans="2:62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1057050</v>
      </c>
      <c r="G430" s="140" t="s">
        <v>224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5"/>
      <c r="AE430" s="168"/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86" t="s">
        <v>1</v>
      </c>
      <c r="BJ430" s="185"/>
    </row>
    <row r="431" spans="2:62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1042784</v>
      </c>
      <c r="G431" s="140" t="s">
        <v>300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2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117.14</v>
      </c>
      <c r="AC431" s="167"/>
      <c r="AD431" s="175"/>
      <c r="AE431" s="168" t="s">
        <v>574</v>
      </c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84" t="s">
        <v>1</v>
      </c>
      <c r="BJ431" s="185"/>
    </row>
    <row r="432" spans="2:62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1049476</v>
      </c>
      <c r="G432" s="140" t="s">
        <v>141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0</v>
      </c>
      <c r="AC432" s="167"/>
      <c r="AD432" s="175"/>
      <c r="AE432" s="168"/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84"/>
      <c r="BJ432" s="185"/>
    </row>
    <row r="433" spans="2:62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1042788</v>
      </c>
      <c r="G433" s="140" t="s">
        <v>304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5"/>
      <c r="AE433" s="168">
        <v>23.998688161691184</v>
      </c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86" t="s">
        <v>1</v>
      </c>
      <c r="BJ433" s="185"/>
    </row>
    <row r="434" spans="2:62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1049036</v>
      </c>
      <c r="G434" s="140" t="s">
        <v>139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5"/>
      <c r="AE434" s="168"/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86"/>
      <c r="BJ434" s="185"/>
    </row>
    <row r="435" spans="2:62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1042787</v>
      </c>
      <c r="G435" s="140" t="s">
        <v>303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5"/>
      <c r="AE435" s="168" t="s">
        <v>574</v>
      </c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84" t="s">
        <v>1</v>
      </c>
      <c r="BJ435" s="185"/>
    </row>
    <row r="436" spans="2:62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1069937</v>
      </c>
      <c r="G436" s="140" t="s">
        <v>671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5"/>
      <c r="AE436" s="168"/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86" t="s">
        <v>1</v>
      </c>
      <c r="BJ436" s="185"/>
    </row>
    <row r="437" spans="2:62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1042783</v>
      </c>
      <c r="G437" s="140" t="s">
        <v>299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5"/>
      <c r="AE437" s="168">
        <v>35.932689928234694</v>
      </c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86" t="s">
        <v>1</v>
      </c>
      <c r="BJ437" s="185"/>
    </row>
    <row r="438" spans="2:62" x14ac:dyDescent="0.35">
      <c r="B438" s="163" t="s">
        <v>1</v>
      </c>
      <c r="C438" s="5" t="s">
        <v>2</v>
      </c>
      <c r="D438" s="5" t="s">
        <v>308</v>
      </c>
      <c r="E438" s="5" t="s">
        <v>395</v>
      </c>
      <c r="F438" s="139">
        <v>1069595</v>
      </c>
      <c r="G438" s="140" t="s">
        <v>573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5"/>
      <c r="AE438" s="168" t="s">
        <v>574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86" t="s">
        <v>1</v>
      </c>
      <c r="BJ438" s="185"/>
    </row>
    <row r="439" spans="2:62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1069594</v>
      </c>
      <c r="G439" s="140" t="s">
        <v>572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5"/>
      <c r="AE439" s="168"/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86" t="s">
        <v>1</v>
      </c>
      <c r="BJ439" s="185"/>
    </row>
    <row r="440" spans="2:62" x14ac:dyDescent="0.35">
      <c r="B440" s="163" t="s">
        <v>4</v>
      </c>
      <c r="C440" s="5" t="s">
        <v>5</v>
      </c>
      <c r="D440" s="5" t="s">
        <v>308</v>
      </c>
      <c r="E440" s="5" t="s">
        <v>407</v>
      </c>
      <c r="F440" s="139">
        <v>1009960</v>
      </c>
      <c r="G440" s="140" t="s">
        <v>69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5"/>
      <c r="AE440" s="168" t="s">
        <v>574</v>
      </c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84" t="s">
        <v>1</v>
      </c>
      <c r="BJ440" s="185"/>
    </row>
    <row r="441" spans="2:62" x14ac:dyDescent="0.35">
      <c r="B441" s="163" t="s">
        <v>9</v>
      </c>
      <c r="C441" s="5" t="s">
        <v>5</v>
      </c>
      <c r="D441" s="5" t="s">
        <v>308</v>
      </c>
      <c r="E441" s="5" t="s">
        <v>397</v>
      </c>
      <c r="F441" s="139">
        <v>1047581</v>
      </c>
      <c r="G441" s="140" t="s">
        <v>13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5"/>
      <c r="AE441" s="168">
        <v>34.519695465077788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86" t="s">
        <v>1</v>
      </c>
      <c r="BJ441" s="185"/>
    </row>
    <row r="442" spans="2:62" x14ac:dyDescent="0.35">
      <c r="B442" s="163" t="s">
        <v>15</v>
      </c>
      <c r="C442" s="5" t="s">
        <v>5</v>
      </c>
      <c r="D442" s="5" t="s">
        <v>308</v>
      </c>
      <c r="E442" s="5" t="s">
        <v>315</v>
      </c>
      <c r="F442" s="139">
        <v>1044708</v>
      </c>
      <c r="G442" s="140" t="s">
        <v>14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5"/>
      <c r="AE442" s="168"/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84" t="s">
        <v>1</v>
      </c>
      <c r="BJ442" s="185"/>
    </row>
    <row r="443" spans="2:62" x14ac:dyDescent="0.35">
      <c r="B443" s="163" t="s">
        <v>9</v>
      </c>
      <c r="C443" s="5" t="s">
        <v>5</v>
      </c>
      <c r="D443" s="5" t="s">
        <v>308</v>
      </c>
      <c r="E443" s="5" t="s">
        <v>315</v>
      </c>
      <c r="F443" s="139">
        <v>1057719</v>
      </c>
      <c r="G443" s="140" t="s">
        <v>260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5"/>
      <c r="AE443" s="168" t="s">
        <v>574</v>
      </c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84" t="s">
        <v>1</v>
      </c>
      <c r="BJ443" s="185"/>
    </row>
    <row r="444" spans="2:62" x14ac:dyDescent="0.35">
      <c r="B444" s="163" t="s">
        <v>4</v>
      </c>
      <c r="C444" s="5" t="s">
        <v>5</v>
      </c>
      <c r="D444" s="5" t="s">
        <v>308</v>
      </c>
      <c r="E444" s="5" t="s">
        <v>407</v>
      </c>
      <c r="F444" s="139">
        <v>1009961</v>
      </c>
      <c r="G444" s="140" t="s">
        <v>284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5"/>
      <c r="AE444" s="168"/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86"/>
      <c r="BJ444" s="185"/>
    </row>
    <row r="445" spans="2:62" x14ac:dyDescent="0.35">
      <c r="B445" s="163" t="s">
        <v>38</v>
      </c>
      <c r="C445" s="5" t="s">
        <v>5</v>
      </c>
      <c r="D445" s="5" t="s">
        <v>308</v>
      </c>
      <c r="E445" s="5" t="s">
        <v>405</v>
      </c>
      <c r="F445" s="139">
        <v>1011971</v>
      </c>
      <c r="G445" s="140" t="s">
        <v>37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5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86"/>
      <c r="BJ445" s="185"/>
    </row>
    <row r="446" spans="2:62" x14ac:dyDescent="0.35">
      <c r="B446" s="163" t="s">
        <v>8</v>
      </c>
      <c r="C446" s="5" t="s">
        <v>5</v>
      </c>
      <c r="D446" s="5" t="s">
        <v>308</v>
      </c>
      <c r="E446" s="5" t="s">
        <v>309</v>
      </c>
      <c r="F446" s="139">
        <v>1062485</v>
      </c>
      <c r="G446" s="140" t="s">
        <v>502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5"/>
      <c r="AE446" s="168">
        <v>22.401247384911553</v>
      </c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86" t="s">
        <v>1</v>
      </c>
      <c r="BJ446" s="185"/>
    </row>
    <row r="447" spans="2:62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1033686</v>
      </c>
      <c r="G447" s="140" t="s">
        <v>45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5"/>
      <c r="AE447" s="168"/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86" t="s">
        <v>1</v>
      </c>
      <c r="BJ447" s="185"/>
    </row>
    <row r="448" spans="2:62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1010076</v>
      </c>
      <c r="G448" s="140" t="s">
        <v>7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5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86" t="s">
        <v>1</v>
      </c>
      <c r="BJ448" s="185"/>
    </row>
    <row r="449" spans="2:62" x14ac:dyDescent="0.35">
      <c r="B449" s="163" t="s">
        <v>21</v>
      </c>
      <c r="C449" s="5" t="s">
        <v>5</v>
      </c>
      <c r="D449" s="5" t="s">
        <v>308</v>
      </c>
      <c r="E449" s="5" t="s">
        <v>372</v>
      </c>
      <c r="F449" s="139">
        <v>1013133</v>
      </c>
      <c r="G449" s="140" t="s">
        <v>54</v>
      </c>
      <c r="H449" s="164">
        <v>0</v>
      </c>
      <c r="I449" s="164">
        <v>0</v>
      </c>
      <c r="J449" s="114">
        <v>0</v>
      </c>
      <c r="K449" s="114">
        <v>0</v>
      </c>
      <c r="L449" s="165">
        <v>0</v>
      </c>
      <c r="M449" s="115">
        <v>0</v>
      </c>
      <c r="N449" s="165">
        <v>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5"/>
      <c r="AE449" s="168">
        <v>0.12367886890179884</v>
      </c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86" t="s">
        <v>1</v>
      </c>
      <c r="BJ449" s="185"/>
    </row>
    <row r="450" spans="2:62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1037571</v>
      </c>
      <c r="G450" s="140" t="s">
        <v>32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5"/>
      <c r="AE450" s="168">
        <v>7.5713347910332827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86" t="s">
        <v>1</v>
      </c>
      <c r="BJ450" s="185"/>
    </row>
    <row r="451" spans="2:62" x14ac:dyDescent="0.35">
      <c r="B451" s="163" t="s">
        <v>9</v>
      </c>
      <c r="C451" s="5" t="s">
        <v>5</v>
      </c>
      <c r="D451" s="5" t="s">
        <v>308</v>
      </c>
      <c r="E451" s="5" t="s">
        <v>397</v>
      </c>
      <c r="F451" s="139">
        <v>1047582</v>
      </c>
      <c r="G451" s="140" t="s">
        <v>23</v>
      </c>
      <c r="H451" s="164">
        <v>0</v>
      </c>
      <c r="I451" s="164">
        <v>0</v>
      </c>
      <c r="J451" s="114">
        <v>0</v>
      </c>
      <c r="K451" s="114">
        <v>0</v>
      </c>
      <c r="L451" s="165">
        <v>0</v>
      </c>
      <c r="M451" s="115">
        <v>0</v>
      </c>
      <c r="N451" s="165">
        <v>0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5"/>
      <c r="AE451" s="168"/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86" t="s">
        <v>1</v>
      </c>
      <c r="BJ451" s="185"/>
    </row>
    <row r="452" spans="2:62" x14ac:dyDescent="0.35">
      <c r="B452" s="163" t="s">
        <v>15</v>
      </c>
      <c r="C452" s="5" t="s">
        <v>5</v>
      </c>
      <c r="D452" s="5" t="s">
        <v>308</v>
      </c>
      <c r="E452" s="5" t="s">
        <v>315</v>
      </c>
      <c r="F452" s="139">
        <v>1059113</v>
      </c>
      <c r="G452" s="140" t="s">
        <v>243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5"/>
      <c r="AE452" s="168">
        <v>370.45</v>
      </c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86" t="s">
        <v>1</v>
      </c>
      <c r="BJ452" s="185"/>
    </row>
    <row r="453" spans="2:62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1059112</v>
      </c>
      <c r="G453" s="140" t="s">
        <v>236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5"/>
      <c r="AE453" s="168">
        <v>31.498911959379814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86" t="s">
        <v>1</v>
      </c>
      <c r="BJ453" s="185"/>
    </row>
    <row r="454" spans="2:62" x14ac:dyDescent="0.35">
      <c r="B454" s="163" t="s">
        <v>9</v>
      </c>
      <c r="C454" s="5" t="s">
        <v>5</v>
      </c>
      <c r="D454" s="5" t="s">
        <v>308</v>
      </c>
      <c r="E454" s="5" t="s">
        <v>315</v>
      </c>
      <c r="F454" s="139">
        <v>1058351</v>
      </c>
      <c r="G454" s="140" t="s">
        <v>227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5"/>
      <c r="AE454" s="168" t="s">
        <v>574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84" t="s">
        <v>1</v>
      </c>
      <c r="BJ454" s="185"/>
    </row>
    <row r="455" spans="2:62" x14ac:dyDescent="0.35">
      <c r="B455" s="163" t="s">
        <v>15</v>
      </c>
      <c r="C455" s="5" t="s">
        <v>5</v>
      </c>
      <c r="D455" s="5" t="s">
        <v>308</v>
      </c>
      <c r="E455" s="5" t="s">
        <v>315</v>
      </c>
      <c r="F455" s="139">
        <v>1075360</v>
      </c>
      <c r="G455" s="140" t="s">
        <v>763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5"/>
      <c r="AE455" s="168"/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84" t="s">
        <v>1</v>
      </c>
      <c r="BJ455" s="185"/>
    </row>
    <row r="456" spans="2:62" x14ac:dyDescent="0.35">
      <c r="B456" s="163" t="s">
        <v>9</v>
      </c>
      <c r="C456" s="5" t="s">
        <v>5</v>
      </c>
      <c r="D456" s="5" t="s">
        <v>308</v>
      </c>
      <c r="E456" s="5" t="s">
        <v>315</v>
      </c>
      <c r="F456" s="139">
        <v>1069925</v>
      </c>
      <c r="G456" s="140" t="s">
        <v>575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5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86" t="s">
        <v>1</v>
      </c>
      <c r="BJ456" s="185"/>
    </row>
    <row r="457" spans="2:62" ht="14.5" x14ac:dyDescent="0.35">
      <c r="B457" s="163" t="s">
        <v>15</v>
      </c>
      <c r="C457" s="5" t="s">
        <v>5</v>
      </c>
      <c r="D457" s="5" t="s">
        <v>308</v>
      </c>
      <c r="E457" s="5" t="s">
        <v>315</v>
      </c>
      <c r="F457" s="132">
        <v>1083117</v>
      </c>
      <c r="G457" s="133" t="s">
        <v>779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5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86" t="s">
        <v>1</v>
      </c>
      <c r="BJ457" s="185"/>
    </row>
    <row r="458" spans="2:62" x14ac:dyDescent="0.35">
      <c r="B458" s="163" t="s">
        <v>9</v>
      </c>
      <c r="C458" s="5" t="s">
        <v>5</v>
      </c>
      <c r="D458" s="5" t="s">
        <v>308</v>
      </c>
      <c r="E458" s="5" t="s">
        <v>315</v>
      </c>
      <c r="F458" s="112">
        <v>1081126</v>
      </c>
      <c r="G458" s="113" t="s">
        <v>748</v>
      </c>
      <c r="H458" s="164">
        <v>0</v>
      </c>
      <c r="I458" s="164">
        <v>0</v>
      </c>
      <c r="J458" s="114">
        <v>0</v>
      </c>
      <c r="K458" s="114">
        <v>2</v>
      </c>
      <c r="L458" s="165">
        <v>0.44800000000000001</v>
      </c>
      <c r="M458" s="115">
        <v>0</v>
      </c>
      <c r="N458" s="165">
        <v>0.44800000000000001</v>
      </c>
      <c r="O458" s="165">
        <v>0</v>
      </c>
      <c r="P458" s="115">
        <v>0</v>
      </c>
      <c r="Q458" s="5">
        <v>676</v>
      </c>
      <c r="R458" s="5">
        <v>0</v>
      </c>
      <c r="S458" s="5">
        <v>676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2994.68</v>
      </c>
      <c r="AC458" s="167"/>
      <c r="AD458" s="175"/>
      <c r="AE458" s="168" t="s">
        <v>574</v>
      </c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84" t="s">
        <v>1</v>
      </c>
      <c r="BJ458" s="185"/>
    </row>
    <row r="459" spans="2:62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39">
        <v>1073437</v>
      </c>
      <c r="G459" s="140" t="s">
        <v>620</v>
      </c>
      <c r="H459" s="164">
        <v>0</v>
      </c>
      <c r="I459" s="164">
        <v>0</v>
      </c>
      <c r="J459" s="114">
        <v>0</v>
      </c>
      <c r="K459" s="114">
        <v>0</v>
      </c>
      <c r="L459" s="165">
        <v>0</v>
      </c>
      <c r="M459" s="115">
        <v>0</v>
      </c>
      <c r="N459" s="165">
        <v>0</v>
      </c>
      <c r="O459" s="165">
        <v>0</v>
      </c>
      <c r="P459" s="11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0</v>
      </c>
      <c r="AC459" s="167"/>
      <c r="AD459" s="175"/>
      <c r="AE459" s="168">
        <v>42.148264984227126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84" t="s">
        <v>1</v>
      </c>
      <c r="BJ459" s="185"/>
    </row>
    <row r="460" spans="2:62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1068118</v>
      </c>
      <c r="G460" s="140" t="s">
        <v>552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5"/>
      <c r="AE460" s="168" t="s">
        <v>574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84" t="s">
        <v>1</v>
      </c>
      <c r="BJ460" s="185"/>
    </row>
    <row r="461" spans="2:62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1056692</v>
      </c>
      <c r="G461" s="140" t="s">
        <v>225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5"/>
      <c r="AE461" s="168">
        <v>33.082607613834291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86" t="s">
        <v>1</v>
      </c>
      <c r="BJ461" s="185"/>
    </row>
    <row r="462" spans="2:62" x14ac:dyDescent="0.35">
      <c r="B462" s="163" t="s">
        <v>4</v>
      </c>
      <c r="C462" s="5" t="s">
        <v>5</v>
      </c>
      <c r="D462" s="5" t="s">
        <v>308</v>
      </c>
      <c r="E462" s="5" t="s">
        <v>315</v>
      </c>
      <c r="F462" s="139">
        <v>1036334</v>
      </c>
      <c r="G462" s="151" t="s">
        <v>282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5"/>
      <c r="AE462" s="168" t="s">
        <v>574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84" t="s">
        <v>1</v>
      </c>
      <c r="BJ462" s="185"/>
    </row>
    <row r="463" spans="2:62" x14ac:dyDescent="0.35">
      <c r="B463" s="163" t="s">
        <v>9</v>
      </c>
      <c r="C463" s="5" t="s">
        <v>5</v>
      </c>
      <c r="D463" s="5" t="s">
        <v>308</v>
      </c>
      <c r="E463" s="5" t="s">
        <v>315</v>
      </c>
      <c r="F463" s="139">
        <v>1058419</v>
      </c>
      <c r="G463" s="140" t="s">
        <v>228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5"/>
      <c r="AE463" s="168"/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84" t="s">
        <v>1</v>
      </c>
      <c r="BJ463" s="185"/>
    </row>
    <row r="464" spans="2:62" x14ac:dyDescent="0.35">
      <c r="B464" s="163" t="s">
        <v>15</v>
      </c>
      <c r="C464" s="5" t="s">
        <v>5</v>
      </c>
      <c r="D464" s="5" t="s">
        <v>308</v>
      </c>
      <c r="E464" s="5" t="s">
        <v>315</v>
      </c>
      <c r="F464" s="112">
        <v>1077986</v>
      </c>
      <c r="G464" s="113" t="s">
        <v>675</v>
      </c>
      <c r="H464" s="164">
        <v>0</v>
      </c>
      <c r="I464" s="164">
        <v>0</v>
      </c>
      <c r="J464" s="114">
        <v>0</v>
      </c>
      <c r="K464" s="114">
        <v>0</v>
      </c>
      <c r="L464" s="165">
        <v>0</v>
      </c>
      <c r="M464" s="115">
        <v>0</v>
      </c>
      <c r="N464" s="165">
        <v>0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5"/>
      <c r="AE464" s="168">
        <v>10.417582417582416</v>
      </c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86" t="s">
        <v>1</v>
      </c>
      <c r="BJ464" s="185"/>
    </row>
    <row r="465" spans="2:62" x14ac:dyDescent="0.35">
      <c r="B465" s="163">
        <v>0</v>
      </c>
      <c r="C465" s="5" t="s">
        <v>5</v>
      </c>
      <c r="D465" s="5" t="s">
        <v>308</v>
      </c>
      <c r="E465" s="5" t="s">
        <v>315</v>
      </c>
      <c r="F465" s="139">
        <v>1077946</v>
      </c>
      <c r="G465" s="140" t="s">
        <v>674</v>
      </c>
      <c r="H465" s="164">
        <v>0</v>
      </c>
      <c r="I465" s="164">
        <v>0</v>
      </c>
      <c r="J465" s="114">
        <v>0</v>
      </c>
      <c r="K465" s="114">
        <v>0</v>
      </c>
      <c r="L465" s="165">
        <v>0</v>
      </c>
      <c r="M465" s="115">
        <v>0</v>
      </c>
      <c r="N465" s="165">
        <v>0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5"/>
      <c r="AE465" s="168">
        <v>44.178397764195616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86" t="s">
        <v>1</v>
      </c>
      <c r="BJ465" s="185"/>
    </row>
    <row r="466" spans="2:62" x14ac:dyDescent="0.35">
      <c r="B466" s="163" t="s">
        <v>15</v>
      </c>
      <c r="C466" s="5" t="s">
        <v>5</v>
      </c>
      <c r="D466" s="5" t="s">
        <v>308</v>
      </c>
      <c r="E466" s="5" t="s">
        <v>315</v>
      </c>
      <c r="F466" s="139">
        <v>1075564</v>
      </c>
      <c r="G466" s="140" t="s">
        <v>764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5"/>
      <c r="AE466" s="168"/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86"/>
      <c r="BJ466" s="185"/>
    </row>
    <row r="467" spans="2:62" x14ac:dyDescent="0.35">
      <c r="B467" s="163" t="s">
        <v>9</v>
      </c>
      <c r="C467" s="5" t="s">
        <v>5</v>
      </c>
      <c r="D467" s="5" t="s">
        <v>308</v>
      </c>
      <c r="E467" s="5" t="s">
        <v>315</v>
      </c>
      <c r="F467" s="139">
        <v>1058352</v>
      </c>
      <c r="G467" s="140" t="s">
        <v>234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5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86"/>
      <c r="BJ467" s="185"/>
    </row>
    <row r="468" spans="2:62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1058350</v>
      </c>
      <c r="G468" s="140" t="s">
        <v>230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5"/>
      <c r="AE468" s="168">
        <v>14.91212606837607</v>
      </c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86" t="s">
        <v>1</v>
      </c>
      <c r="BJ468" s="185"/>
    </row>
    <row r="469" spans="2:62" x14ac:dyDescent="0.35">
      <c r="B469" s="163" t="s">
        <v>27</v>
      </c>
      <c r="C469" s="5" t="s">
        <v>5</v>
      </c>
      <c r="D469" s="5" t="s">
        <v>308</v>
      </c>
      <c r="E469" s="5" t="s">
        <v>315</v>
      </c>
      <c r="F469" s="139">
        <v>1074228</v>
      </c>
      <c r="G469" s="140" t="s">
        <v>645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5"/>
      <c r="AE469" s="168">
        <v>30.672007255139057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86" t="s">
        <v>1</v>
      </c>
      <c r="BJ469" s="185"/>
    </row>
    <row r="470" spans="2:62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1062451</v>
      </c>
      <c r="G470" s="140" t="s">
        <v>442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5"/>
      <c r="AE470" s="168"/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86" t="s">
        <v>1</v>
      </c>
      <c r="BJ470" s="185"/>
    </row>
    <row r="471" spans="2:62" x14ac:dyDescent="0.35">
      <c r="B471" s="163">
        <v>0</v>
      </c>
      <c r="C471" s="5" t="s">
        <v>5</v>
      </c>
      <c r="D471" s="5" t="s">
        <v>312</v>
      </c>
      <c r="E471" s="5" t="s">
        <v>307</v>
      </c>
      <c r="F471" s="112">
        <v>1081251</v>
      </c>
      <c r="G471" s="113" t="s">
        <v>746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5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86" t="s">
        <v>1</v>
      </c>
      <c r="BJ471" s="185"/>
    </row>
    <row r="472" spans="2:62" x14ac:dyDescent="0.35">
      <c r="B472" s="163" t="s">
        <v>1</v>
      </c>
      <c r="C472" s="5" t="s">
        <v>17</v>
      </c>
      <c r="D472" s="5" t="s">
        <v>312</v>
      </c>
      <c r="E472" s="5" t="s">
        <v>399</v>
      </c>
      <c r="F472" s="112">
        <v>1078929</v>
      </c>
      <c r="G472" s="113" t="s">
        <v>745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5"/>
      <c r="AE472" s="168">
        <v>41.711007224819383</v>
      </c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86" t="s">
        <v>1</v>
      </c>
      <c r="BJ472" s="185"/>
    </row>
    <row r="473" spans="2:62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39">
        <v>1072826</v>
      </c>
      <c r="G473" s="140" t="s">
        <v>624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5"/>
      <c r="AE473" s="168"/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86" t="s">
        <v>1</v>
      </c>
      <c r="BJ473" s="185"/>
    </row>
    <row r="474" spans="2:62" x14ac:dyDescent="0.35">
      <c r="B474" s="163">
        <v>0</v>
      </c>
      <c r="C474" s="5" t="s">
        <v>17</v>
      </c>
      <c r="D474" s="5" t="s">
        <v>312</v>
      </c>
      <c r="E474" s="5" t="s">
        <v>399</v>
      </c>
      <c r="F474" s="112">
        <v>1078939</v>
      </c>
      <c r="G474" s="113" t="s">
        <v>733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5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86"/>
      <c r="BJ474" s="185"/>
    </row>
    <row r="475" spans="2:62" x14ac:dyDescent="0.35">
      <c r="B475" s="163" t="s">
        <v>1</v>
      </c>
      <c r="C475" s="5" t="s">
        <v>17</v>
      </c>
      <c r="D475" s="5" t="s">
        <v>312</v>
      </c>
      <c r="E475" s="5" t="s">
        <v>398</v>
      </c>
      <c r="F475" s="139">
        <v>1056625</v>
      </c>
      <c r="G475" s="140" t="s">
        <v>213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5"/>
      <c r="AE475" s="168">
        <v>17.921875000000004</v>
      </c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84" t="s">
        <v>1</v>
      </c>
      <c r="BJ475" s="185"/>
    </row>
    <row r="476" spans="2:62" x14ac:dyDescent="0.35">
      <c r="B476" s="163" t="s">
        <v>1</v>
      </c>
      <c r="C476" s="5" t="s">
        <v>11</v>
      </c>
      <c r="D476" s="5" t="s">
        <v>396</v>
      </c>
      <c r="E476" s="5" t="s">
        <v>307</v>
      </c>
      <c r="F476" s="139">
        <v>1051095</v>
      </c>
      <c r="G476" s="140" t="s">
        <v>166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5"/>
      <c r="AE476" s="168">
        <v>49.762468300929839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86" t="s">
        <v>1</v>
      </c>
      <c r="BJ476" s="185"/>
    </row>
    <row r="477" spans="2:62" x14ac:dyDescent="0.35">
      <c r="B477" s="163" t="s">
        <v>1</v>
      </c>
      <c r="C477" s="5" t="s">
        <v>11</v>
      </c>
      <c r="D477" s="5" t="s">
        <v>396</v>
      </c>
      <c r="E477" s="5" t="s">
        <v>397</v>
      </c>
      <c r="F477" s="139">
        <v>1042714</v>
      </c>
      <c r="G477" s="140" t="s">
        <v>68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5"/>
      <c r="AE477" s="168" t="s">
        <v>574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84" t="s">
        <v>1</v>
      </c>
      <c r="BJ477" s="185"/>
    </row>
    <row r="478" spans="2:62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1069875</v>
      </c>
      <c r="G478" s="140" t="s">
        <v>582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5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84" t="s">
        <v>1</v>
      </c>
      <c r="BJ478" s="185"/>
    </row>
    <row r="479" spans="2:62" x14ac:dyDescent="0.35">
      <c r="B479" s="163" t="s">
        <v>1</v>
      </c>
      <c r="C479" s="5" t="s">
        <v>17</v>
      </c>
      <c r="D479" s="5" t="s">
        <v>312</v>
      </c>
      <c r="E479" s="5" t="s">
        <v>398</v>
      </c>
      <c r="F479" s="139">
        <v>1001815</v>
      </c>
      <c r="G479" s="140" t="s">
        <v>16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5"/>
      <c r="AE479" s="168"/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86" t="s">
        <v>1</v>
      </c>
      <c r="BJ479" s="185"/>
    </row>
    <row r="480" spans="2:62" x14ac:dyDescent="0.35">
      <c r="B480" s="163" t="s">
        <v>1</v>
      </c>
      <c r="C480" s="5" t="s">
        <v>24</v>
      </c>
      <c r="D480" s="5" t="s">
        <v>316</v>
      </c>
      <c r="E480" s="5" t="s">
        <v>317</v>
      </c>
      <c r="F480" s="139">
        <v>1023269</v>
      </c>
      <c r="G480" s="140" t="s">
        <v>78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5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84" t="s">
        <v>1</v>
      </c>
      <c r="BJ480" s="185"/>
    </row>
    <row r="481" spans="2:62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1053287</v>
      </c>
      <c r="G481" s="140" t="s">
        <v>240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5"/>
      <c r="AE481" s="168">
        <v>8.6263520157325466</v>
      </c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84" t="s">
        <v>1</v>
      </c>
      <c r="BJ481" s="185"/>
    </row>
    <row r="482" spans="2:62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1052078</v>
      </c>
      <c r="G482" s="140" t="s">
        <v>245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1"/>
      <c r="AE482" s="168"/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86" t="s">
        <v>1</v>
      </c>
      <c r="BJ482" s="185"/>
    </row>
    <row r="483" spans="2:62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1052079</v>
      </c>
      <c r="G483" s="140" t="s">
        <v>238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5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84" t="s">
        <v>1</v>
      </c>
      <c r="BJ483" s="185"/>
    </row>
    <row r="484" spans="2:62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1052077</v>
      </c>
      <c r="G484" s="140" t="s">
        <v>237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5"/>
      <c r="AE484" s="168" t="s">
        <v>574</v>
      </c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86" t="s">
        <v>1</v>
      </c>
      <c r="BJ484" s="185"/>
    </row>
    <row r="485" spans="2:62" x14ac:dyDescent="0.35">
      <c r="B485" s="163" t="s">
        <v>31</v>
      </c>
      <c r="C485" s="5" t="s">
        <v>5</v>
      </c>
      <c r="D485" s="5" t="s">
        <v>306</v>
      </c>
      <c r="E485" s="5" t="s">
        <v>307</v>
      </c>
      <c r="F485" s="139">
        <v>1076015</v>
      </c>
      <c r="G485" s="140" t="s">
        <v>648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5"/>
      <c r="AE485" s="168"/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84"/>
      <c r="BJ485" s="185"/>
    </row>
    <row r="486" spans="2:62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1076022</v>
      </c>
      <c r="G486" s="140" t="s">
        <v>657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5"/>
      <c r="AE486" s="168">
        <v>19.767058823529414</v>
      </c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84" t="s">
        <v>1</v>
      </c>
      <c r="BJ486" s="185"/>
    </row>
    <row r="487" spans="2:62" x14ac:dyDescent="0.35">
      <c r="B487" s="163" t="s">
        <v>31</v>
      </c>
      <c r="C487" s="5" t="s">
        <v>5</v>
      </c>
      <c r="D487" s="5" t="s">
        <v>396</v>
      </c>
      <c r="E487" s="5" t="s">
        <v>307</v>
      </c>
      <c r="F487" s="152">
        <v>1020395</v>
      </c>
      <c r="G487" s="153" t="s">
        <v>42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5"/>
      <c r="AE487" s="168">
        <v>34.961389961389962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84" t="s">
        <v>1</v>
      </c>
      <c r="BJ487" s="185"/>
    </row>
    <row r="488" spans="2:62" x14ac:dyDescent="0.35">
      <c r="B488" s="163" t="s">
        <v>31</v>
      </c>
      <c r="C488" s="5" t="s">
        <v>5</v>
      </c>
      <c r="D488" s="5" t="s">
        <v>306</v>
      </c>
      <c r="E488" s="5" t="s">
        <v>307</v>
      </c>
      <c r="F488" s="139">
        <v>1064519</v>
      </c>
      <c r="G488" s="140" t="s">
        <v>501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5"/>
      <c r="AE488" s="168" t="s">
        <v>574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84" t="s">
        <v>1</v>
      </c>
      <c r="BJ488" s="185"/>
    </row>
    <row r="489" spans="2:62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1062352</v>
      </c>
      <c r="G489" s="140" t="s">
        <v>457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5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84" t="s">
        <v>1</v>
      </c>
      <c r="BJ489" s="185"/>
    </row>
    <row r="490" spans="2:62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1029999</v>
      </c>
      <c r="G490" s="140" t="s">
        <v>155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5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84" t="s">
        <v>1</v>
      </c>
      <c r="BJ490" s="185"/>
    </row>
    <row r="491" spans="2:62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1057172</v>
      </c>
      <c r="G491" s="140" t="s">
        <v>241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5"/>
      <c r="AE491" s="168">
        <v>19.574243347552301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84" t="s">
        <v>1</v>
      </c>
      <c r="BJ491" s="185"/>
    </row>
    <row r="492" spans="2:62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1030000</v>
      </c>
      <c r="G492" s="140" t="s">
        <v>95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5"/>
      <c r="AE492" s="168">
        <v>32.139300533491408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84" t="s">
        <v>1</v>
      </c>
      <c r="BJ492" s="185"/>
    </row>
    <row r="493" spans="2:62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1062350</v>
      </c>
      <c r="G493" s="140" t="s">
        <v>456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5"/>
      <c r="AE493" s="168" t="s">
        <v>574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84" t="s">
        <v>1</v>
      </c>
      <c r="BJ493" s="185"/>
    </row>
    <row r="494" spans="2:62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1056630</v>
      </c>
      <c r="G494" s="140" t="s">
        <v>220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5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84" t="s">
        <v>1</v>
      </c>
      <c r="BJ494" s="185"/>
    </row>
    <row r="495" spans="2:62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1030001</v>
      </c>
      <c r="G495" s="140" t="s">
        <v>94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5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84" t="s">
        <v>1</v>
      </c>
      <c r="BJ495" s="185"/>
    </row>
    <row r="496" spans="2:62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1029998</v>
      </c>
      <c r="G496" s="140" t="s">
        <v>290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5"/>
      <c r="AE496" s="168">
        <v>39.77234862613453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84" t="s">
        <v>1</v>
      </c>
      <c r="BJ496" s="185"/>
    </row>
    <row r="497" spans="2:62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1036763</v>
      </c>
      <c r="G497" s="140" t="s">
        <v>292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5"/>
      <c r="AE497" s="168">
        <v>17.153333333333332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86" t="s">
        <v>1</v>
      </c>
      <c r="BJ497" s="185"/>
    </row>
    <row r="498" spans="2:62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1062353</v>
      </c>
      <c r="G498" s="140" t="s">
        <v>489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5"/>
      <c r="AE498" s="168" t="s">
        <v>574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84" t="s">
        <v>1</v>
      </c>
      <c r="BJ498" s="185"/>
    </row>
    <row r="499" spans="2:62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22">
        <v>1077284</v>
      </c>
      <c r="G499" s="123" t="s">
        <v>678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24270</v>
      </c>
      <c r="X499" s="114">
        <v>0</v>
      </c>
      <c r="Y499" s="114" t="s">
        <v>574</v>
      </c>
      <c r="Z499" s="114"/>
      <c r="AA499" s="166">
        <v>0</v>
      </c>
      <c r="AB499" s="166">
        <v>44414.1</v>
      </c>
      <c r="AC499" s="167"/>
      <c r="AD499" s="175"/>
      <c r="AE499" s="168"/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84" t="s">
        <v>1</v>
      </c>
      <c r="BJ499" s="189"/>
    </row>
    <row r="500" spans="2:62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39">
        <v>1056631</v>
      </c>
      <c r="G500" s="140" t="s">
        <v>226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14">
        <v>0</v>
      </c>
      <c r="Y500" s="114" t="s">
        <v>574</v>
      </c>
      <c r="Z500" s="114"/>
      <c r="AA500" s="166">
        <v>0</v>
      </c>
      <c r="AB500" s="166">
        <v>0</v>
      </c>
      <c r="AC500" s="167"/>
      <c r="AD500" s="175"/>
      <c r="AE500" s="168">
        <v>27.873949579831933</v>
      </c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86" t="s">
        <v>1</v>
      </c>
      <c r="BJ500" s="185"/>
    </row>
    <row r="501" spans="2:62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1076016</v>
      </c>
      <c r="G501" s="140" t="s">
        <v>663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5"/>
      <c r="AE501" s="168" t="s">
        <v>574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84" t="s">
        <v>1</v>
      </c>
      <c r="BJ501" s="185"/>
    </row>
    <row r="502" spans="2:62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1076023</v>
      </c>
      <c r="G502" s="140" t="s">
        <v>658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5"/>
      <c r="AE502" s="168"/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86" t="s">
        <v>1</v>
      </c>
      <c r="BJ502" s="185"/>
    </row>
    <row r="503" spans="2:62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1076014</v>
      </c>
      <c r="G503" s="140" t="s">
        <v>647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5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84" t="s">
        <v>1</v>
      </c>
      <c r="BJ503" s="185"/>
    </row>
    <row r="504" spans="2:62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1076021</v>
      </c>
      <c r="G504" s="140" t="s">
        <v>656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5"/>
      <c r="AE504" s="168">
        <v>123.40282786107421</v>
      </c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86" t="s">
        <v>1</v>
      </c>
      <c r="BJ504" s="185"/>
    </row>
    <row r="505" spans="2:62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1076019</v>
      </c>
      <c r="G505" s="140" t="s">
        <v>646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5"/>
      <c r="AE505" s="168">
        <v>9.9210481825866434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86" t="s">
        <v>1</v>
      </c>
      <c r="BJ505" s="185"/>
    </row>
    <row r="506" spans="2:62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1075105</v>
      </c>
      <c r="G506" s="140" t="s">
        <v>628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5"/>
      <c r="AE506" s="168"/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84" t="s">
        <v>1</v>
      </c>
      <c r="BJ506" s="185"/>
    </row>
    <row r="507" spans="2:62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1075103</v>
      </c>
      <c r="G507" s="140" t="s">
        <v>629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5"/>
      <c r="AE507" s="168">
        <v>9.074595433385058</v>
      </c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84" t="s">
        <v>1</v>
      </c>
      <c r="BJ507" s="185"/>
    </row>
    <row r="508" spans="2:62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1076018</v>
      </c>
      <c r="G508" s="140" t="s">
        <v>649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5"/>
      <c r="AE508" s="168">
        <v>6.5130509776637533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84" t="s">
        <v>1</v>
      </c>
      <c r="BJ508" s="185"/>
    </row>
    <row r="509" spans="2:62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1075104</v>
      </c>
      <c r="G509" s="140" t="s">
        <v>627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5"/>
      <c r="AE509" s="168">
        <v>1398.9454545454546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84" t="s">
        <v>1</v>
      </c>
      <c r="BJ509" s="185"/>
    </row>
    <row r="510" spans="2:62" x14ac:dyDescent="0.35">
      <c r="B510" s="163" t="s">
        <v>31</v>
      </c>
      <c r="C510" s="5" t="s">
        <v>5</v>
      </c>
      <c r="D510" s="5" t="s">
        <v>306</v>
      </c>
      <c r="E510" s="5" t="s">
        <v>404</v>
      </c>
      <c r="F510" s="139">
        <v>1010040</v>
      </c>
      <c r="G510" s="140" t="s">
        <v>117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5"/>
      <c r="AE510" s="168">
        <v>37.075601926163721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84" t="s">
        <v>1</v>
      </c>
      <c r="BJ510" s="185"/>
    </row>
    <row r="511" spans="2:62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1071662</v>
      </c>
      <c r="G511" s="140" t="s">
        <v>593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5"/>
      <c r="AE511" s="168"/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84"/>
      <c r="BJ511" s="185"/>
    </row>
    <row r="512" spans="2:62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1010038</v>
      </c>
      <c r="G512" s="140" t="s">
        <v>127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5"/>
      <c r="AE512" s="168" t="s">
        <v>574</v>
      </c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84" t="s">
        <v>1</v>
      </c>
      <c r="BJ512" s="185"/>
    </row>
    <row r="513" spans="2:62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1071663</v>
      </c>
      <c r="G513" s="140" t="s">
        <v>600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5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84" t="s">
        <v>1</v>
      </c>
      <c r="BJ513" s="185"/>
    </row>
    <row r="514" spans="2:62" x14ac:dyDescent="0.35">
      <c r="B514" s="163" t="s">
        <v>22</v>
      </c>
      <c r="C514" s="5" t="s">
        <v>5</v>
      </c>
      <c r="D514" s="5" t="s">
        <v>396</v>
      </c>
      <c r="E514" s="5" t="s">
        <v>397</v>
      </c>
      <c r="F514" s="143">
        <v>1051098</v>
      </c>
      <c r="G514" s="144" t="s">
        <v>167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3</v>
      </c>
      <c r="X514" s="114">
        <v>0</v>
      </c>
      <c r="Y514" s="114" t="s">
        <v>574</v>
      </c>
      <c r="Z514" s="114"/>
      <c r="AA514" s="166">
        <v>0</v>
      </c>
      <c r="AB514" s="166">
        <v>358.8</v>
      </c>
      <c r="AC514" s="167"/>
      <c r="AD514" s="175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84" t="s">
        <v>1</v>
      </c>
      <c r="BJ514" s="185"/>
    </row>
    <row r="515" spans="2:62" x14ac:dyDescent="0.35">
      <c r="B515" s="163" t="s">
        <v>21</v>
      </c>
      <c r="C515" s="5" t="s">
        <v>5</v>
      </c>
      <c r="D515" s="5" t="s">
        <v>396</v>
      </c>
      <c r="E515" s="5" t="s">
        <v>307</v>
      </c>
      <c r="F515" s="139">
        <v>1036533</v>
      </c>
      <c r="G515" s="140" t="s">
        <v>132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14">
        <v>0</v>
      </c>
      <c r="Y515" s="114" t="s">
        <v>574</v>
      </c>
      <c r="Z515" s="114"/>
      <c r="AA515" s="166">
        <v>0</v>
      </c>
      <c r="AB515" s="166">
        <v>0</v>
      </c>
      <c r="AC515" s="167"/>
      <c r="AD515" s="175"/>
      <c r="AE515" s="168"/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86"/>
      <c r="BJ515" s="185"/>
    </row>
    <row r="516" spans="2:62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1033944</v>
      </c>
      <c r="G516" s="140" t="s">
        <v>291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5"/>
      <c r="AE516" s="168" t="s">
        <v>574</v>
      </c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84" t="s">
        <v>1</v>
      </c>
      <c r="BJ516" s="185"/>
    </row>
    <row r="517" spans="2:62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1033943</v>
      </c>
      <c r="G517" s="140" t="s">
        <v>382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5"/>
      <c r="AE517" s="168"/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84" t="s">
        <v>1</v>
      </c>
      <c r="BJ517" s="185"/>
    </row>
    <row r="518" spans="2:62" x14ac:dyDescent="0.35">
      <c r="B518" s="163" t="s">
        <v>21</v>
      </c>
      <c r="C518" s="5" t="s">
        <v>5</v>
      </c>
      <c r="D518" s="5" t="s">
        <v>396</v>
      </c>
      <c r="E518" s="170" t="s">
        <v>397</v>
      </c>
      <c r="F518" s="139">
        <v>1069565</v>
      </c>
      <c r="G518" s="140" t="s">
        <v>549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5"/>
      <c r="AE518" s="168" t="s">
        <v>574</v>
      </c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84" t="s">
        <v>1</v>
      </c>
      <c r="BJ518" s="185"/>
    </row>
    <row r="519" spans="2:62" x14ac:dyDescent="0.35">
      <c r="B519" s="163" t="s">
        <v>1</v>
      </c>
      <c r="C519" s="5" t="s">
        <v>2</v>
      </c>
      <c r="D519" s="5" t="s">
        <v>306</v>
      </c>
      <c r="E519" s="178" t="s">
        <v>307</v>
      </c>
      <c r="F519" s="141">
        <v>1057533</v>
      </c>
      <c r="G519" s="142" t="s">
        <v>251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1"/>
      <c r="AE519" s="168">
        <v>11.830871794871795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86" t="s">
        <v>1</v>
      </c>
      <c r="BJ519" s="185"/>
    </row>
    <row r="520" spans="2:62" x14ac:dyDescent="0.35">
      <c r="B520" s="163" t="s">
        <v>1</v>
      </c>
      <c r="C520" s="5" t="s">
        <v>2</v>
      </c>
      <c r="D520" s="5" t="s">
        <v>306</v>
      </c>
      <c r="E520" s="178" t="s">
        <v>307</v>
      </c>
      <c r="F520" s="139">
        <v>1057534</v>
      </c>
      <c r="G520" s="140" t="s">
        <v>242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1"/>
      <c r="AE520" s="168" t="s">
        <v>574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84" t="s">
        <v>1</v>
      </c>
      <c r="BJ520" s="185"/>
    </row>
    <row r="521" spans="2:62" x14ac:dyDescent="0.35">
      <c r="B521" s="163" t="s">
        <v>21</v>
      </c>
      <c r="C521" s="5" t="s">
        <v>5</v>
      </c>
      <c r="D521" s="5" t="s">
        <v>306</v>
      </c>
      <c r="E521" s="178" t="s">
        <v>307</v>
      </c>
      <c r="F521" s="145">
        <v>1031955</v>
      </c>
      <c r="G521" s="146" t="s">
        <v>56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5"/>
      <c r="AE521" s="168"/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86" t="s">
        <v>1</v>
      </c>
      <c r="BJ521" s="185"/>
    </row>
    <row r="522" spans="2:62" x14ac:dyDescent="0.35">
      <c r="B522" s="163" t="s">
        <v>21</v>
      </c>
      <c r="C522" s="5" t="s">
        <v>5</v>
      </c>
      <c r="D522" s="5" t="s">
        <v>396</v>
      </c>
      <c r="E522" s="178" t="s">
        <v>307</v>
      </c>
      <c r="F522" s="152">
        <v>1062713</v>
      </c>
      <c r="G522" s="153" t="s">
        <v>443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5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84"/>
      <c r="BJ522" s="185"/>
    </row>
    <row r="523" spans="2:62" x14ac:dyDescent="0.35">
      <c r="B523" s="163" t="s">
        <v>21</v>
      </c>
      <c r="C523" s="5" t="s">
        <v>5</v>
      </c>
      <c r="D523" s="5" t="s">
        <v>396</v>
      </c>
      <c r="E523" s="178" t="s">
        <v>307</v>
      </c>
      <c r="F523" s="152">
        <v>1049641</v>
      </c>
      <c r="G523" s="153" t="s">
        <v>142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5"/>
      <c r="AE523" s="168" t="s">
        <v>574</v>
      </c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84" t="s">
        <v>1</v>
      </c>
      <c r="BJ523" s="185"/>
    </row>
    <row r="524" spans="2:62" x14ac:dyDescent="0.35">
      <c r="B524" s="163" t="s">
        <v>1</v>
      </c>
      <c r="C524" s="5" t="s">
        <v>5</v>
      </c>
      <c r="D524" s="5" t="s">
        <v>396</v>
      </c>
      <c r="E524" s="178" t="s">
        <v>397</v>
      </c>
      <c r="F524" s="152">
        <v>1044033</v>
      </c>
      <c r="G524" s="153" t="s">
        <v>48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5"/>
      <c r="AE524" s="168">
        <v>26.66123047717663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84" t="s">
        <v>1</v>
      </c>
      <c r="BJ524" s="185"/>
    </row>
    <row r="525" spans="2:62" x14ac:dyDescent="0.35">
      <c r="B525" s="163" t="s">
        <v>1</v>
      </c>
      <c r="C525" s="5" t="s">
        <v>2</v>
      </c>
      <c r="D525" s="5" t="s">
        <v>396</v>
      </c>
      <c r="E525" s="178" t="s">
        <v>397</v>
      </c>
      <c r="F525" s="152">
        <v>1044034</v>
      </c>
      <c r="G525" s="153" t="s">
        <v>137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5"/>
      <c r="AE525" s="168" t="s">
        <v>574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84" t="s">
        <v>1</v>
      </c>
      <c r="BJ525" s="185"/>
    </row>
    <row r="526" spans="2:62" x14ac:dyDescent="0.35">
      <c r="B526" s="163" t="s">
        <v>9</v>
      </c>
      <c r="C526" s="5" t="s">
        <v>5</v>
      </c>
      <c r="D526" s="5" t="s">
        <v>308</v>
      </c>
      <c r="E526" s="178" t="s">
        <v>315</v>
      </c>
      <c r="F526" s="152">
        <v>1057892</v>
      </c>
      <c r="G526" s="153" t="s">
        <v>270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5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84" t="s">
        <v>1</v>
      </c>
      <c r="BJ526" s="185"/>
    </row>
    <row r="527" spans="2:62" x14ac:dyDescent="0.35">
      <c r="B527" s="163" t="s">
        <v>9</v>
      </c>
      <c r="C527" s="5" t="s">
        <v>5</v>
      </c>
      <c r="D527" s="5" t="s">
        <v>308</v>
      </c>
      <c r="E527" s="178" t="s">
        <v>315</v>
      </c>
      <c r="F527" s="152">
        <v>1065133</v>
      </c>
      <c r="G527" s="153" t="s">
        <v>527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5"/>
      <c r="AE527" s="168"/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86" t="s">
        <v>1</v>
      </c>
      <c r="BJ527" s="185"/>
    </row>
    <row r="528" spans="2:62" x14ac:dyDescent="0.35">
      <c r="B528" s="163" t="s">
        <v>9</v>
      </c>
      <c r="C528" s="5" t="s">
        <v>5</v>
      </c>
      <c r="D528" s="5" t="s">
        <v>308</v>
      </c>
      <c r="E528" s="178" t="s">
        <v>315</v>
      </c>
      <c r="F528" s="139">
        <v>1047159</v>
      </c>
      <c r="G528" s="140" t="s">
        <v>118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5"/>
      <c r="AE528" s="168" t="s">
        <v>574</v>
      </c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84" t="s">
        <v>1</v>
      </c>
      <c r="BJ528" s="185"/>
    </row>
    <row r="529" spans="2:62" x14ac:dyDescent="0.35">
      <c r="B529" s="163" t="s">
        <v>1</v>
      </c>
      <c r="C529" s="5" t="s">
        <v>50</v>
      </c>
      <c r="D529" s="5" t="s">
        <v>316</v>
      </c>
      <c r="E529" s="178" t="s">
        <v>408</v>
      </c>
      <c r="F529" s="139">
        <v>1060742</v>
      </c>
      <c r="G529" s="140" t="s">
        <v>427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1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84" t="s">
        <v>1</v>
      </c>
      <c r="BJ529" s="185"/>
    </row>
    <row r="530" spans="2:62" x14ac:dyDescent="0.35">
      <c r="B530" s="163" t="s">
        <v>1</v>
      </c>
      <c r="C530" s="5" t="s">
        <v>50</v>
      </c>
      <c r="D530" s="5" t="s">
        <v>316</v>
      </c>
      <c r="E530" s="178" t="s">
        <v>408</v>
      </c>
      <c r="F530" s="139">
        <v>1068588</v>
      </c>
      <c r="G530" s="140" t="s">
        <v>581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5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84" t="s">
        <v>1</v>
      </c>
      <c r="BJ530" s="185"/>
    </row>
    <row r="531" spans="2:62" x14ac:dyDescent="0.35">
      <c r="B531" s="163" t="s">
        <v>1</v>
      </c>
      <c r="C531" s="5" t="s">
        <v>24</v>
      </c>
      <c r="D531" s="5" t="s">
        <v>316</v>
      </c>
      <c r="E531" s="178" t="s">
        <v>317</v>
      </c>
      <c r="F531" s="139">
        <v>1053201</v>
      </c>
      <c r="G531" s="140" t="s">
        <v>264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5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84" t="s">
        <v>1</v>
      </c>
      <c r="BJ531" s="185"/>
    </row>
    <row r="532" spans="2:62" x14ac:dyDescent="0.35">
      <c r="B532" s="163" t="s">
        <v>1</v>
      </c>
      <c r="C532" s="5" t="s">
        <v>24</v>
      </c>
      <c r="D532" s="5" t="s">
        <v>316</v>
      </c>
      <c r="E532" s="179" t="s">
        <v>317</v>
      </c>
      <c r="F532" s="152">
        <v>1053200</v>
      </c>
      <c r="G532" s="153" t="s">
        <v>263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1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84" t="s">
        <v>1</v>
      </c>
      <c r="BJ532" s="185"/>
    </row>
    <row r="533" spans="2:62" x14ac:dyDescent="0.35">
      <c r="B533" s="163" t="s">
        <v>1</v>
      </c>
      <c r="C533" s="5" t="s">
        <v>24</v>
      </c>
      <c r="D533" s="5" t="s">
        <v>316</v>
      </c>
      <c r="E533" s="179" t="s">
        <v>317</v>
      </c>
      <c r="F533" s="152">
        <v>1053202</v>
      </c>
      <c r="G533" s="153" t="s">
        <v>498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5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84" t="s">
        <v>1</v>
      </c>
      <c r="BJ533" s="185"/>
    </row>
    <row r="534" spans="2:62" x14ac:dyDescent="0.35">
      <c r="B534" s="163" t="s">
        <v>1</v>
      </c>
      <c r="C534" s="5" t="s">
        <v>24</v>
      </c>
      <c r="D534" s="5" t="s">
        <v>316</v>
      </c>
      <c r="E534" s="179" t="s">
        <v>317</v>
      </c>
      <c r="F534" s="154">
        <v>1053203</v>
      </c>
      <c r="G534" s="155" t="s">
        <v>499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5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84" t="s">
        <v>1</v>
      </c>
      <c r="BJ534" s="185"/>
    </row>
    <row r="535" spans="2:62" x14ac:dyDescent="0.35">
      <c r="B535" s="163" t="s">
        <v>1</v>
      </c>
      <c r="C535" s="5" t="s">
        <v>24</v>
      </c>
      <c r="D535" s="5" t="s">
        <v>316</v>
      </c>
      <c r="E535" s="179" t="s">
        <v>400</v>
      </c>
      <c r="F535" s="156">
        <v>1036842</v>
      </c>
      <c r="G535" s="157" t="s">
        <v>26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5"/>
      <c r="AE535" s="168">
        <v>37.590918872390787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86" t="s">
        <v>1</v>
      </c>
      <c r="BJ535" s="185"/>
    </row>
    <row r="536" spans="2:62" x14ac:dyDescent="0.35">
      <c r="B536" s="163" t="s">
        <v>1</v>
      </c>
      <c r="C536" s="5" t="s">
        <v>24</v>
      </c>
      <c r="D536" s="5" t="s">
        <v>316</v>
      </c>
      <c r="E536" s="179" t="s">
        <v>400</v>
      </c>
      <c r="F536" s="156">
        <v>1041366</v>
      </c>
      <c r="G536" s="157" t="s">
        <v>173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5"/>
      <c r="AE536" s="168"/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86" t="s">
        <v>1</v>
      </c>
      <c r="BJ536" s="185"/>
    </row>
    <row r="537" spans="2:62" x14ac:dyDescent="0.35">
      <c r="B537" s="163" t="s">
        <v>1</v>
      </c>
      <c r="C537" s="5" t="s">
        <v>24</v>
      </c>
      <c r="D537" s="5" t="s">
        <v>316</v>
      </c>
      <c r="E537" s="179" t="s">
        <v>317</v>
      </c>
      <c r="F537" s="156">
        <v>1032133</v>
      </c>
      <c r="G537" s="157" t="s">
        <v>281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1"/>
      <c r="AE537" s="168" t="s">
        <v>574</v>
      </c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84" t="s">
        <v>1</v>
      </c>
      <c r="BJ537" s="185"/>
    </row>
    <row r="538" spans="2:62" x14ac:dyDescent="0.35">
      <c r="B538" s="163" t="s">
        <v>1</v>
      </c>
      <c r="C538" s="5" t="s">
        <v>24</v>
      </c>
      <c r="D538" s="5" t="s">
        <v>316</v>
      </c>
      <c r="E538" s="179" t="s">
        <v>317</v>
      </c>
      <c r="F538" s="156">
        <v>1032151</v>
      </c>
      <c r="G538" s="157" t="s">
        <v>449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5"/>
      <c r="AE538" s="168">
        <v>8.0700956540970914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86" t="s">
        <v>1</v>
      </c>
      <c r="BJ538" s="185"/>
    </row>
    <row r="539" spans="2:62" x14ac:dyDescent="0.35">
      <c r="B539" s="163" t="s">
        <v>1</v>
      </c>
      <c r="C539" s="5" t="s">
        <v>24</v>
      </c>
      <c r="D539" s="5" t="s">
        <v>316</v>
      </c>
      <c r="E539" s="179" t="s">
        <v>317</v>
      </c>
      <c r="F539" s="156">
        <v>1062207</v>
      </c>
      <c r="G539" s="157" t="s">
        <v>451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1"/>
      <c r="AE539" s="168" t="s">
        <v>574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84" t="s">
        <v>1</v>
      </c>
      <c r="BJ539" s="185"/>
    </row>
    <row r="540" spans="2:62" x14ac:dyDescent="0.35">
      <c r="B540" s="163" t="s">
        <v>1</v>
      </c>
      <c r="C540" s="5" t="s">
        <v>24</v>
      </c>
      <c r="D540" s="5" t="s">
        <v>316</v>
      </c>
      <c r="E540" s="179" t="s">
        <v>317</v>
      </c>
      <c r="F540" s="156">
        <v>1032153</v>
      </c>
      <c r="G540" s="157" t="s">
        <v>172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5"/>
      <c r="AE540" s="168">
        <v>20.282333051563818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86" t="s">
        <v>1</v>
      </c>
      <c r="BJ540" s="185"/>
    </row>
    <row r="541" spans="2:62" x14ac:dyDescent="0.35">
      <c r="B541" s="163" t="s">
        <v>1</v>
      </c>
      <c r="C541" s="5" t="s">
        <v>24</v>
      </c>
      <c r="D541" s="5" t="s">
        <v>316</v>
      </c>
      <c r="E541" s="179" t="s">
        <v>317</v>
      </c>
      <c r="F541" s="156">
        <v>1003535</v>
      </c>
      <c r="G541" s="157" t="s">
        <v>113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1"/>
      <c r="AE541" s="168" t="s">
        <v>574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84" t="s">
        <v>1</v>
      </c>
      <c r="BJ541" s="185"/>
    </row>
    <row r="542" spans="2:62" x14ac:dyDescent="0.35">
      <c r="B542" s="163" t="s">
        <v>1</v>
      </c>
      <c r="C542" s="5" t="s">
        <v>24</v>
      </c>
      <c r="D542" s="5" t="s">
        <v>316</v>
      </c>
      <c r="E542" s="179" t="s">
        <v>317</v>
      </c>
      <c r="F542" s="156">
        <v>1003570</v>
      </c>
      <c r="G542" s="157" t="s">
        <v>119</v>
      </c>
      <c r="H542" s="164">
        <v>0</v>
      </c>
      <c r="I542" s="164">
        <v>0</v>
      </c>
      <c r="J542" s="114">
        <v>0</v>
      </c>
      <c r="K542" s="114">
        <v>0</v>
      </c>
      <c r="L542" s="165">
        <v>0</v>
      </c>
      <c r="M542" s="115">
        <v>0</v>
      </c>
      <c r="N542" s="165">
        <v>0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5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84" t="s">
        <v>1</v>
      </c>
      <c r="BJ542" s="185"/>
    </row>
    <row r="543" spans="2:62" x14ac:dyDescent="0.35">
      <c r="B543" s="180" t="s">
        <v>1</v>
      </c>
      <c r="C543" s="5" t="s">
        <v>24</v>
      </c>
      <c r="D543" s="5" t="s">
        <v>316</v>
      </c>
      <c r="E543" s="179" t="s">
        <v>317</v>
      </c>
      <c r="F543" s="156">
        <v>1062206</v>
      </c>
      <c r="G543" s="157" t="s">
        <v>505</v>
      </c>
      <c r="H543" s="164">
        <v>0</v>
      </c>
      <c r="I543" s="164">
        <v>0</v>
      </c>
      <c r="J543" s="174">
        <v>0</v>
      </c>
      <c r="K543" s="174">
        <v>0</v>
      </c>
      <c r="L543" s="181">
        <v>0</v>
      </c>
      <c r="M543" s="115">
        <v>0</v>
      </c>
      <c r="N543" s="181">
        <v>0</v>
      </c>
      <c r="O543" s="165">
        <v>0</v>
      </c>
      <c r="P543" s="115">
        <v>0</v>
      </c>
      <c r="Q543" s="170">
        <v>0</v>
      </c>
      <c r="R543" s="170">
        <v>0</v>
      </c>
      <c r="S543" s="5">
        <v>0</v>
      </c>
      <c r="T543" s="170">
        <v>0</v>
      </c>
      <c r="U543" s="5">
        <v>0</v>
      </c>
      <c r="V543" s="170">
        <v>0</v>
      </c>
      <c r="W543" s="170">
        <v>0</v>
      </c>
      <c r="X543" s="174">
        <v>0</v>
      </c>
      <c r="Y543" s="174" t="s">
        <v>574</v>
      </c>
      <c r="Z543" s="174"/>
      <c r="AA543" s="182">
        <v>0</v>
      </c>
      <c r="AB543" s="182">
        <v>0</v>
      </c>
      <c r="AC543" s="183"/>
      <c r="AD543" s="171"/>
      <c r="AE543" s="171" t="s">
        <v>574</v>
      </c>
      <c r="AF543" s="171"/>
      <c r="AG543" s="171"/>
      <c r="AH543" s="171"/>
      <c r="AI543" s="171"/>
      <c r="AJ543" s="171"/>
      <c r="AK543" s="171"/>
      <c r="AL543" s="171"/>
      <c r="AM543" s="171"/>
      <c r="AN543" s="171"/>
      <c r="AO543" s="171"/>
      <c r="AP543" s="171"/>
      <c r="AQ543" s="171"/>
      <c r="AR543" s="171"/>
      <c r="AS543" s="171"/>
      <c r="AT543" s="171"/>
      <c r="AU543" s="171"/>
      <c r="AV543" s="171"/>
      <c r="AW543" s="171"/>
      <c r="AX543" s="171"/>
      <c r="AY543" s="171"/>
      <c r="AZ543" s="171"/>
      <c r="BA543" s="171"/>
      <c r="BB543" s="171"/>
      <c r="BC543" s="171"/>
      <c r="BD543" s="171"/>
      <c r="BE543" s="171"/>
      <c r="BF543" s="171"/>
      <c r="BG543" s="171"/>
      <c r="BH543" s="171"/>
      <c r="BI543" s="190" t="s">
        <v>1</v>
      </c>
      <c r="BJ543" s="185"/>
    </row>
    <row r="544" spans="2:62" x14ac:dyDescent="0.35">
      <c r="B544" s="180" t="s">
        <v>148</v>
      </c>
      <c r="C544" s="5" t="s">
        <v>5</v>
      </c>
      <c r="D544" s="5" t="s">
        <v>318</v>
      </c>
      <c r="E544" s="179" t="s">
        <v>307</v>
      </c>
      <c r="F544" s="156">
        <v>1054926</v>
      </c>
      <c r="G544" s="157" t="s">
        <v>206</v>
      </c>
      <c r="H544" s="164">
        <v>0</v>
      </c>
      <c r="I544" s="164">
        <v>0</v>
      </c>
      <c r="J544" s="174">
        <v>0</v>
      </c>
      <c r="K544" s="174">
        <v>0</v>
      </c>
      <c r="L544" s="181">
        <v>0</v>
      </c>
      <c r="M544" s="115">
        <v>0</v>
      </c>
      <c r="N544" s="181">
        <v>0</v>
      </c>
      <c r="O544" s="165">
        <v>0</v>
      </c>
      <c r="P544" s="115">
        <v>0</v>
      </c>
      <c r="Q544" s="170">
        <v>0</v>
      </c>
      <c r="R544" s="170">
        <v>0</v>
      </c>
      <c r="S544" s="5">
        <v>0</v>
      </c>
      <c r="T544" s="170">
        <v>0</v>
      </c>
      <c r="U544" s="5">
        <v>0</v>
      </c>
      <c r="V544" s="170">
        <v>0</v>
      </c>
      <c r="W544" s="170">
        <v>0</v>
      </c>
      <c r="X544" s="174">
        <v>0</v>
      </c>
      <c r="Y544" s="174" t="s">
        <v>574</v>
      </c>
      <c r="Z544" s="174"/>
      <c r="AA544" s="182">
        <v>0</v>
      </c>
      <c r="AB544" s="182">
        <v>0</v>
      </c>
      <c r="AC544" s="183"/>
      <c r="AD544" s="171"/>
      <c r="AE544" s="171" t="s">
        <v>574</v>
      </c>
      <c r="AF544" s="171"/>
      <c r="AG544" s="171"/>
      <c r="AH544" s="171"/>
      <c r="AI544" s="171"/>
      <c r="AJ544" s="171"/>
      <c r="AK544" s="171"/>
      <c r="AL544" s="171"/>
      <c r="AM544" s="171"/>
      <c r="AN544" s="171"/>
      <c r="AO544" s="171"/>
      <c r="AP544" s="171"/>
      <c r="AQ544" s="171"/>
      <c r="AR544" s="171"/>
      <c r="AS544" s="171"/>
      <c r="AT544" s="171"/>
      <c r="AU544" s="171"/>
      <c r="AV544" s="171"/>
      <c r="AW544" s="171"/>
      <c r="AX544" s="171"/>
      <c r="AY544" s="171"/>
      <c r="AZ544" s="171"/>
      <c r="BA544" s="171"/>
      <c r="BB544" s="171"/>
      <c r="BC544" s="171"/>
      <c r="BD544" s="171"/>
      <c r="BE544" s="171"/>
      <c r="BF544" s="171"/>
      <c r="BG544" s="171"/>
      <c r="BH544" s="171"/>
      <c r="BI544" s="190" t="s">
        <v>1</v>
      </c>
      <c r="BJ544" s="185"/>
    </row>
    <row r="545" spans="2:62" x14ac:dyDescent="0.35">
      <c r="B545" s="163" t="s">
        <v>1</v>
      </c>
      <c r="C545" s="5" t="s">
        <v>2</v>
      </c>
      <c r="D545" s="5" t="s">
        <v>409</v>
      </c>
      <c r="E545" s="179" t="s">
        <v>410</v>
      </c>
      <c r="F545" s="156">
        <v>1056133</v>
      </c>
      <c r="G545" s="157" t="s">
        <v>212</v>
      </c>
      <c r="H545" s="164">
        <v>0</v>
      </c>
      <c r="I545" s="164">
        <v>0</v>
      </c>
      <c r="J545" s="114">
        <v>0</v>
      </c>
      <c r="K545" s="114">
        <v>0</v>
      </c>
      <c r="L545" s="165">
        <v>0</v>
      </c>
      <c r="M545" s="115">
        <v>0</v>
      </c>
      <c r="N545" s="165">
        <v>0</v>
      </c>
      <c r="O545" s="165">
        <v>0</v>
      </c>
      <c r="P545" s="11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14">
        <v>0</v>
      </c>
      <c r="Y545" s="114" t="s">
        <v>574</v>
      </c>
      <c r="Z545" s="114"/>
      <c r="AA545" s="166">
        <v>0</v>
      </c>
      <c r="AB545" s="166">
        <v>0</v>
      </c>
      <c r="AC545" s="167"/>
      <c r="AD545" s="171"/>
      <c r="AE545" s="168" t="s">
        <v>574</v>
      </c>
      <c r="AF545" s="168"/>
      <c r="AG545" s="168"/>
      <c r="AH545" s="168"/>
      <c r="AI545" s="168"/>
      <c r="AJ545" s="168"/>
      <c r="AK545" s="168"/>
      <c r="AL545" s="168"/>
      <c r="AM545" s="168"/>
      <c r="AN545" s="168"/>
      <c r="AO545" s="168"/>
      <c r="AP545" s="168"/>
      <c r="AQ545" s="168"/>
      <c r="AR545" s="168"/>
      <c r="AS545" s="168"/>
      <c r="AT545" s="168"/>
      <c r="AU545" s="168"/>
      <c r="AV545" s="168"/>
      <c r="AW545" s="168"/>
      <c r="AX545" s="168"/>
      <c r="AY545" s="168"/>
      <c r="AZ545" s="168"/>
      <c r="BA545" s="168"/>
      <c r="BB545" s="168"/>
      <c r="BC545" s="168"/>
      <c r="BD545" s="168"/>
      <c r="BE545" s="168"/>
      <c r="BF545" s="168"/>
      <c r="BG545" s="168"/>
      <c r="BH545" s="168"/>
      <c r="BI545" s="184" t="s">
        <v>1</v>
      </c>
      <c r="BJ545" s="185"/>
    </row>
    <row r="546" spans="2:62" x14ac:dyDescent="0.35">
      <c r="B546" s="163" t="s">
        <v>1</v>
      </c>
      <c r="C546" s="5" t="s">
        <v>2</v>
      </c>
      <c r="D546" s="5" t="s">
        <v>409</v>
      </c>
      <c r="E546" s="179" t="s">
        <v>410</v>
      </c>
      <c r="F546" s="156">
        <v>1056131</v>
      </c>
      <c r="G546" s="157" t="s">
        <v>210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5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84" t="s">
        <v>1</v>
      </c>
      <c r="BJ546" s="185"/>
    </row>
    <row r="547" spans="2:62" x14ac:dyDescent="0.35">
      <c r="B547" s="163" t="s">
        <v>1</v>
      </c>
      <c r="C547" s="5" t="s">
        <v>2</v>
      </c>
      <c r="D547" s="5" t="s">
        <v>409</v>
      </c>
      <c r="E547" s="179" t="s">
        <v>410</v>
      </c>
      <c r="F547" s="156">
        <v>1056132</v>
      </c>
      <c r="G547" s="157" t="s">
        <v>211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5"/>
      <c r="AE547" s="168"/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86" t="s">
        <v>1</v>
      </c>
      <c r="BJ547" s="185"/>
    </row>
    <row r="548" spans="2:62" x14ac:dyDescent="0.35">
      <c r="B548" s="163" t="s">
        <v>1</v>
      </c>
      <c r="C548" s="5" t="s">
        <v>2</v>
      </c>
      <c r="D548" s="5" t="s">
        <v>409</v>
      </c>
      <c r="E548" s="179" t="s">
        <v>410</v>
      </c>
      <c r="F548" s="156">
        <v>1056128</v>
      </c>
      <c r="G548" s="157" t="s">
        <v>216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5"/>
      <c r="AE548" s="168">
        <v>8.7767094017094021</v>
      </c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86" t="s">
        <v>1</v>
      </c>
      <c r="BJ548" s="185"/>
    </row>
    <row r="549" spans="2:62" x14ac:dyDescent="0.35">
      <c r="B549" s="163" t="s">
        <v>1</v>
      </c>
      <c r="C549" s="5" t="s">
        <v>2</v>
      </c>
      <c r="D549" s="5" t="s">
        <v>409</v>
      </c>
      <c r="E549" s="179" t="s">
        <v>410</v>
      </c>
      <c r="F549" s="156">
        <v>1056130</v>
      </c>
      <c r="G549" s="157" t="s">
        <v>217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5"/>
      <c r="AE549" s="168"/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84" t="s">
        <v>1</v>
      </c>
      <c r="BJ549" s="185"/>
    </row>
    <row r="550" spans="2:62" x14ac:dyDescent="0.35">
      <c r="B550" s="180" t="s">
        <v>27</v>
      </c>
      <c r="C550" s="5" t="s">
        <v>5</v>
      </c>
      <c r="D550" s="5" t="s">
        <v>312</v>
      </c>
      <c r="E550" s="179" t="s">
        <v>313</v>
      </c>
      <c r="F550" s="156">
        <v>1058230</v>
      </c>
      <c r="G550" s="157" t="s">
        <v>345</v>
      </c>
      <c r="H550" s="164">
        <v>0</v>
      </c>
      <c r="I550" s="164">
        <v>0</v>
      </c>
      <c r="J550" s="174">
        <v>0</v>
      </c>
      <c r="K550" s="174">
        <v>0</v>
      </c>
      <c r="L550" s="181">
        <v>0</v>
      </c>
      <c r="M550" s="115">
        <v>0</v>
      </c>
      <c r="N550" s="181">
        <v>0</v>
      </c>
      <c r="O550" s="165">
        <v>0</v>
      </c>
      <c r="P550" s="115">
        <v>0</v>
      </c>
      <c r="Q550" s="170">
        <v>0</v>
      </c>
      <c r="R550" s="170">
        <v>0</v>
      </c>
      <c r="S550" s="5">
        <v>0</v>
      </c>
      <c r="T550" s="170">
        <v>0</v>
      </c>
      <c r="U550" s="5">
        <v>0</v>
      </c>
      <c r="V550" s="170">
        <v>0</v>
      </c>
      <c r="W550" s="170">
        <v>0</v>
      </c>
      <c r="X550" s="174">
        <v>0</v>
      </c>
      <c r="Y550" s="174" t="s">
        <v>574</v>
      </c>
      <c r="Z550" s="174"/>
      <c r="AA550" s="182">
        <v>0</v>
      </c>
      <c r="AB550" s="182">
        <v>0</v>
      </c>
      <c r="AC550" s="183"/>
      <c r="AD550" s="175"/>
      <c r="AE550" s="171"/>
      <c r="AF550" s="171"/>
      <c r="AG550" s="171"/>
      <c r="AH550" s="171"/>
      <c r="AI550" s="171"/>
      <c r="AJ550" s="171"/>
      <c r="AK550" s="171"/>
      <c r="AL550" s="171"/>
      <c r="AM550" s="171"/>
      <c r="AN550" s="171"/>
      <c r="AO550" s="171"/>
      <c r="AP550" s="171"/>
      <c r="AQ550" s="171"/>
      <c r="AR550" s="171"/>
      <c r="AS550" s="171"/>
      <c r="AT550" s="171"/>
      <c r="AU550" s="171"/>
      <c r="AV550" s="171"/>
      <c r="AW550" s="171"/>
      <c r="AX550" s="171"/>
      <c r="AY550" s="171"/>
      <c r="AZ550" s="171"/>
      <c r="BA550" s="171"/>
      <c r="BB550" s="171"/>
      <c r="BC550" s="171"/>
      <c r="BD550" s="171"/>
      <c r="BE550" s="171"/>
      <c r="BF550" s="171"/>
      <c r="BG550" s="171"/>
      <c r="BH550" s="171"/>
      <c r="BI550" s="191"/>
      <c r="BJ550" s="185"/>
    </row>
    <row r="551" spans="2:62" x14ac:dyDescent="0.35">
      <c r="B551" s="163" t="s">
        <v>1</v>
      </c>
      <c r="C551" s="5" t="s">
        <v>24</v>
      </c>
      <c r="D551" s="5" t="s">
        <v>316</v>
      </c>
      <c r="E551" s="2" t="s">
        <v>317</v>
      </c>
      <c r="F551" s="156">
        <v>1034530</v>
      </c>
      <c r="G551" s="157" t="s">
        <v>77</v>
      </c>
      <c r="H551" s="164">
        <v>0</v>
      </c>
      <c r="I551" s="164">
        <v>0</v>
      </c>
      <c r="J551" s="114">
        <v>0</v>
      </c>
      <c r="K551" s="114">
        <v>0</v>
      </c>
      <c r="L551" s="165">
        <v>0</v>
      </c>
      <c r="M551" s="115">
        <v>0</v>
      </c>
      <c r="N551" s="165">
        <v>0</v>
      </c>
      <c r="O551" s="165">
        <v>0</v>
      </c>
      <c r="P551" s="11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114">
        <v>0</v>
      </c>
      <c r="Y551" s="114" t="s">
        <v>574</v>
      </c>
      <c r="Z551" s="114"/>
      <c r="AA551" s="166">
        <v>0</v>
      </c>
      <c r="AB551" s="166">
        <v>0</v>
      </c>
      <c r="AC551" s="167"/>
      <c r="AD551" s="171"/>
      <c r="AE551" s="168"/>
      <c r="AF551" s="168"/>
      <c r="AG551" s="168"/>
      <c r="AH551" s="168"/>
      <c r="AI551" s="168"/>
      <c r="AJ551" s="168"/>
      <c r="AK551" s="168"/>
      <c r="AL551" s="168"/>
      <c r="AM551" s="168"/>
      <c r="AN551" s="168"/>
      <c r="AO551" s="168"/>
      <c r="AP551" s="168"/>
      <c r="AQ551" s="168"/>
      <c r="AR551" s="168"/>
      <c r="AS551" s="168"/>
      <c r="AT551" s="168"/>
      <c r="AU551" s="168"/>
      <c r="AV551" s="168"/>
      <c r="AW551" s="168"/>
      <c r="AX551" s="168"/>
      <c r="AY551" s="168"/>
      <c r="AZ551" s="168"/>
      <c r="BA551" s="168"/>
      <c r="BB551" s="168"/>
      <c r="BC551" s="168"/>
      <c r="BD551" s="168"/>
      <c r="BE551" s="168"/>
      <c r="BF551" s="168"/>
      <c r="BG551" s="168"/>
      <c r="BH551" s="168"/>
      <c r="BI551" s="184"/>
      <c r="BJ551" s="185"/>
    </row>
    <row r="552" spans="2:62" x14ac:dyDescent="0.35">
      <c r="B552" s="163" t="s">
        <v>27</v>
      </c>
      <c r="C552" s="5" t="s">
        <v>5</v>
      </c>
      <c r="D552" s="5" t="s">
        <v>312</v>
      </c>
      <c r="E552" s="2" t="s">
        <v>313</v>
      </c>
      <c r="F552" s="156">
        <v>1052771</v>
      </c>
      <c r="G552" s="157" t="s">
        <v>193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1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92"/>
      <c r="BJ552" s="187"/>
    </row>
    <row r="553" spans="2:62" x14ac:dyDescent="0.35">
      <c r="B553" s="163" t="s">
        <v>15</v>
      </c>
      <c r="C553" s="5" t="s">
        <v>5</v>
      </c>
      <c r="D553" s="5" t="s">
        <v>308</v>
      </c>
      <c r="E553" s="2" t="s">
        <v>315</v>
      </c>
      <c r="F553" s="158">
        <v>1075202</v>
      </c>
      <c r="G553" s="159" t="s">
        <v>641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5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92"/>
      <c r="BJ553" s="187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655"/>
  </conditionalFormatting>
  <conditionalFormatting sqref="F18">
    <cfRule type="duplicateValues" dxfId="124" priority="1883"/>
  </conditionalFormatting>
  <conditionalFormatting sqref="M18:O18">
    <cfRule type="expression" dxfId="95" priority="1789" stopIfTrue="1">
      <formula>"g4&gt;1"</formula>
    </cfRule>
  </conditionalFormatting>
  <conditionalFormatting sqref="P18">
    <cfRule type="expression" dxfId="94" priority="1788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4">
    <cfRule type="duplicateValues" dxfId="87" priority="24"/>
  </conditionalFormatting>
  <conditionalFormatting sqref="F104">
    <cfRule type="duplicateValues" dxfId="86" priority="25"/>
  </conditionalFormatting>
  <conditionalFormatting sqref="F122">
    <cfRule type="duplicateValues" dxfId="85" priority="26"/>
  </conditionalFormatting>
  <conditionalFormatting sqref="F131">
    <cfRule type="duplicateValues" dxfId="84" priority="22"/>
  </conditionalFormatting>
  <conditionalFormatting sqref="F213">
    <cfRule type="duplicateValues" dxfId="83" priority="14"/>
  </conditionalFormatting>
  <conditionalFormatting sqref="F220">
    <cfRule type="duplicateValues" dxfId="82" priority="23"/>
  </conditionalFormatting>
  <conditionalFormatting sqref="F231">
    <cfRule type="duplicateValues" dxfId="81" priority="5"/>
  </conditionalFormatting>
  <conditionalFormatting sqref="F242">
    <cfRule type="duplicateValues" dxfId="80" priority="13"/>
  </conditionalFormatting>
  <conditionalFormatting sqref="F257">
    <cfRule type="duplicateValues" dxfId="79" priority="12"/>
  </conditionalFormatting>
  <conditionalFormatting sqref="F265">
    <cfRule type="duplicateValues" dxfId="78" priority="27"/>
  </conditionalFormatting>
  <conditionalFormatting sqref="F266:F303 F65:F103 F123:F130 F221:F230 F132:F212 F488 F432:F478 F359:F394 F214:F219 F243:F256 F258:F264 F308:F319 F306 F491:F522 F480:F486 F396:F430 F232:F241 F38:F40 F29:F30 F20:F27 F321:F336 F338:F357 F43:F63 F105:F121">
    <cfRule type="duplicateValues" dxfId="77" priority="3"/>
  </conditionalFormatting>
  <conditionalFormatting sqref="F304:F305">
    <cfRule type="duplicateValues" dxfId="76" priority="10"/>
  </conditionalFormatting>
  <conditionalFormatting sqref="F307">
    <cfRule type="duplicateValues" dxfId="75" priority="11"/>
  </conditionalFormatting>
  <conditionalFormatting sqref="F320">
    <cfRule type="duplicateValues" dxfId="74" priority="4"/>
  </conditionalFormatting>
  <conditionalFormatting sqref="F358">
    <cfRule type="duplicateValues" dxfId="73" priority="15"/>
  </conditionalFormatting>
  <conditionalFormatting sqref="F395">
    <cfRule type="duplicateValues" dxfId="72" priority="6"/>
  </conditionalFormatting>
  <conditionalFormatting sqref="F431">
    <cfRule type="duplicateValues" dxfId="71" priority="16"/>
  </conditionalFormatting>
  <conditionalFormatting sqref="F479">
    <cfRule type="duplicateValues" dxfId="70" priority="7"/>
  </conditionalFormatting>
  <conditionalFormatting sqref="F489">
    <cfRule type="duplicateValues" dxfId="69" priority="8"/>
  </conditionalFormatting>
  <conditionalFormatting sqref="F490">
    <cfRule type="duplicateValues" dxfId="68" priority="9"/>
  </conditionalFormatting>
  <conditionalFormatting sqref="F528">
    <cfRule type="duplicateValues" dxfId="67" priority="17"/>
  </conditionalFormatting>
  <conditionalFormatting sqref="F529">
    <cfRule type="duplicateValues" dxfId="66" priority="21"/>
  </conditionalFormatting>
  <conditionalFormatting sqref="F530:F531">
    <cfRule type="duplicateValues" dxfId="65" priority="20"/>
  </conditionalFormatting>
  <conditionalFormatting sqref="G50">
    <cfRule type="duplicateValues" dxfId="64" priority="2"/>
  </conditionalFormatting>
  <conditionalFormatting sqref="Y19:Y518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46143CE2-D92F-4E77-B6D4-8424353A22A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Y484</xm:sqref>
        </x14:conditionalFormatting>
        <x14:conditionalFormatting xmlns:xm="http://schemas.microsoft.com/office/excel/2006/main">
          <x14:cfRule type="iconSet" priority="33" id="{4C2C940B-3C42-46B1-9226-9F777408C8B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Y485:Y511</xm:sqref>
        </x14:conditionalFormatting>
        <x14:conditionalFormatting xmlns:xm="http://schemas.microsoft.com/office/excel/2006/main">
          <x14:cfRule type="iconSet" priority="32" id="{EAD982B7-B145-433E-9A24-494404E92E2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Y512:Y518 Y19:Y483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2026-07-03T20:52:44Z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