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AE2AAECB-BF91-4B24-8C31-71BF13CD3BD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<sst xmlns="http://schemas.openxmlformats.org/spreadsheetml/2006/main" count="4539" uniqueCount="830">
  <si>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</si>
  <si>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</si>
  <si>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</si>
  <si>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</si>
  <si>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</si>
  <si>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</si>
  <si>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</si>
  <si>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</si>
  <si>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</si>
  <si>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</si>
  <si>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</si>
  <si>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</si>
  <si>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</si>
  <si>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</si>
  <si>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</si>
  <si>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</si>
  <si>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</si>
  <si>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</si>
  <si>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</si>
  <si>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</si>
  <si>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</si>
  <si>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</si>
  <si>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</si>
  <si>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</si>
  <si>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</si>
  <si>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</si>
  <si>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</si>
  <si>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</si>
  <si>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</si>
  <si>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</si>
  <si>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</si>
  <si>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</si>
  <si>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</si>
  <si>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</si>
  <si>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</si>
  <si>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</si>
  <si>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</si>
  <si>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</si>
  <si>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</si>
  <si>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</si>
  <si>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</si>
  <si>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</si>
  <si>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</si>
  <si>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</si>
  <si>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</si>
  <si>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</si>
  <si>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</si>
  <si>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</si>
  <si>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</si>
  <si>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</si>
  <si>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</si>
  <si>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</si>
  <si>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</si>
  <si>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</si>
  <si>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</si>
  <si>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</si>
  <si>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</si>
  <si>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</si>
  <si>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</si>
  <si>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</si>
  <si>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</si>
  <si>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</si>
  <si>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</si>
  <si>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</si>
  <si>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</si>
  <si>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</si>
  <si>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</si>
  <si>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</si>
  <si>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</si>
  <si>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</si>
  <si>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</si>
  <si>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</si>
  <si>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</si>
  <si>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</si>
  <si>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</si>
  <si>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</si>
  <si>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</si>
  <si>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</si>
  <si>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</si>
  <si>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</si>
  <si>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</si>
  <si>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</si>
  <si>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</si>
  <si>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</si>
  <si>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</si>
  <si>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</si>
  <si>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</si>
  <si>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</si>
  <si>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</si>
  <si>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</si>
  <si>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</si>
  <si>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</si>
  <si>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</si>
  <si>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</si>
  <si>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</si>
  <si>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</si>
  <si>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</si>
  <si>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</si>
  <si>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</si>
  <si>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</si>
  <si>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</si>
  <si>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</si>
  <si>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</si>
  <si>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</si>
  <si>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</si>
  <si>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</si>
  <si>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</si>
  <si>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</si>
  <si>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</si>
  <si>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</si>
  <si>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</si>
  <si>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</si>
  <si>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</si>
  <si>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</si>
  <si>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</si>
  <si>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</si>
  <si>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</si>
  <si>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</si>
  <si>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</si>
  <si>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</si>
  <si>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</si>
  <si>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</si>
  <si>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</si>
  <si>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</si>
  <si>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</si>
  <si>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</si>
  <si>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</si>
  <si>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</si>
  <si>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</si>
  <si>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</si>
  <si>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</si>
  <si>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</si>
  <si>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</si>
  <si>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</si>
  <si>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</si>
  <si>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</si>
  <si>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</si>
  <si>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</si>
  <si>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</si>
  <si>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</si>
  <si>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</si>
  <si>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</si>
  <si>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</si>
  <si>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</si>
  <si>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</si>
  <si>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</si>
  <si>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</si>
  <si>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</si>
  <si>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</si>
  <si>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</si>
  <si>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</si>
  <si>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</si>
  <si>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</si>
  <si>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</si>
  <si>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</si>
  <si>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</si>
  <si>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</si>
  <si>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</si>
  <si>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</si>
  <si>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</si>
  <si>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</si>
  <si>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</si>
  <si>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</si>
  <si>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</si>
  <si>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</si>
  <si>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</si>
  <si>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</si>
  <si>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</si>
  <si>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</si>
  <si>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</si>
  <si>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</si>
  <si>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</si>
  <si>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</si>
  <si>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</si>
  <si>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</si>
  <si>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</si>
  <si>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</si>
  <si>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</si>
  <si>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</si>
  <si>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</si>
  <si>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</si>
  <si>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</si>
  <si>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</si>
  <si>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</si>
  <si>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</si>
  <si>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</si>
  <si>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</si>
  <si>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</si>
  <si>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</si>
  <si>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</si>
  <si>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</si>
  <si>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</si>
  <si>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</si>
  <si>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</si>
  <si>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</si>
  <si>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</si>
  <si>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</si>
  <si>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</si>
  <si>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</si>
  <si>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</si>
  <si>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</si>
  <si>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</si>
  <si>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</si>
  <si>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</si>
  <si>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</si>
  <si>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</si>
  <si>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</si>
  <si>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</si>
  <si>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</si>
  <si>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</si>
  <si>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</si>
  <si>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</si>
  <si>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</si>
  <si>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</si>
  <si>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</si>
  <si>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</si>
  <si>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</si>
  <si>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</si>
  <si>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</si>
  <si>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</si>
  <si>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</si>
  <si>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</si>
  <si>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</si>
  <si>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</si>
  <si>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</si>
  <si>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</si>
  <si>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</si>
  <si>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</si>
  <si>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</si>
  <si>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</si>
  <si>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</si>
  <si>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</si>
  <si>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</si>
  <si>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</si>
  <si>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</si>
  <si>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</si>
  <si>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</si>
  <si>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</si>
  <si>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</si>
  <si>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</si>
  <si>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</si>
  <si>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</si>
  <si>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</si>
  <si>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</si>
  <si>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</si>
  <si>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</si>
  <si>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</si>
  <si>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</si>
  <si>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</si>
  <si>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</si>
  <si>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</si>
  <si>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</si>
  <si>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</si>
  <si>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</si>
  <si>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</si>
  <si>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</si>
  <si>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</si>
  <si>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</si>
  <si>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</si>
  <si>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</si>
  <si>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</si>
  <si>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</si>
  <si>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</si>
  <si>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</si>
  <si>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</si>
  <si>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</si>
  <si>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</si>
  <si>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</si>
  <si>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</si>
  <si>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</si>
  <si>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</si>
  <si>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</si>
  <si>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</si>
  <si>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</si>
  <si>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</si>
  <si>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</si>
  <si>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</si>
  <si>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</si>
  <si>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</si>
  <si>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</si>
  <si>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</si>
  <si>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</si>
  <si>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</si>
  <si>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</si>
  <si>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</si>
  <si>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</si>
  <si>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</si>
  <si>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</si>
  <si>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</si>
  <si>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</si>
  <si>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</si>
  <si>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</si>
  <si>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</si>
  <si>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</si>
  <si>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</si>
  <si>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</si>
  <si>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</si>
  <si>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</si>
  <si>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</si>
  <si>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</si>
  <si>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</si>
  <si>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</si>
  <si>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</si>
  <si>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</si>
  <si>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</si>
  <si>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</si>
  <si>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</si>
  <si>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</si>
  <si>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</si>
  <si>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</si>
  <si>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</si>
  <si>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</si>
  <si>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</si>
  <si>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</si>
  <si>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</si>
  <si>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</si>
  <si>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</si>
  <si>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</si>
  <si>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</si>
  <si>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</si>
  <si>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</si>
  <si>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</si>
  <si>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</si>
  <si>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</si>
  <si>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</si>
  <si>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</si>
  <si>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</si>
  <si>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</si>
  <si>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</si>
  <si>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</si>
  <si>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</si>
  <si>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</si>
  <si>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</si>
  <si>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</si>
  <si>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</si>
  <si>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</si>
  <si>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</si>
  <si>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</si>
  <si>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</si>
  <si>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</si>
  <si>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</si>
  <si>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</si>
  <si>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</si>
  <si>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</si>
  <si>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</si>
  <si>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</si>
  <si>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</si>
  <si>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</si>
  <si>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</si>
  <si>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</si>
  <si>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</si>
  <si>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</si>
  <si>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</si>
  <si>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</si>
  <si>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</si>
  <si>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</si>
  <si>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</si>
  <si>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</si>
  <si>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</si>
  <si>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</si>
  <si>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</si>
  <si>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</si>
  <si>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</si>
  <si>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</si>
  <si>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</si>
  <si>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</si>
  <si>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</si>
  <si>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</si>
  <si>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</si>
  <si>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</si>
  <si>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</si>
  <si>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</si>
  <si>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</si>
  <si>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</si>
  <si>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</si>
  <si>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</si>
  <si>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</si>
  <si>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</si>
  <si>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</si>
  <si>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</si>
  <si>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</si>
  <si>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</si>
  <si>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</si>
  <si>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</si>
  <si>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</si>
  <si>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</si>
  <si>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</si>
  <si>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</si>
  <si>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</si>
  <si>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</si>
  <si>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</si>
  <si>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</si>
  <si>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</si>
  <si>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</si>
  <si>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</si>
  <si>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</si>
  <si>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</si>
  <si>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</si>
  <si>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</si>
  <si>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</si>
  <si>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</si>
  <si>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</si>
  <si>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</si>
  <si>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</si>
  <si>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</si>
  <si>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</si>
  <si>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</si>
  <si>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</si>
  <si>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</si>
  <si>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</si>
  <si>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</si>
  <si>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</si>
  <si>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</si>
  <si>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</si>
  <si>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</si>
  <si>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</si>
  <si>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</si>
  <si>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</si>
  <si>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</si>
  <si>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</si>
  <si>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</si>
  <si>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</si>
  <si>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</si>
  <si>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</si>
  <si>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</si>
  <si>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</si>
  <si>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</si>
  <si>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</si>
  <si>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</si>
  <si>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</si>
  <si>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</si>
  <si>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</si>
  <si>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</si>
  <si>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</si>
  <si>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</si>
  <si>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</si>
  <si>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</si>
  <si>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</si>
  <si>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</si>
  <si>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</si>
  <si>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</si>
  <si>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</si>
  <si>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</si>
  <si>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</si>
  <si>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</si>
  <si>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</si>
  <si>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</si>
  <si>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</si>
  <si>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</si>
  <si>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</si>
  <si>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</si>
  <si>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</si>
  <si>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</si>
  <si>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</si>
  <si>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</si>
  <si>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</si>
  <si>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</si>
  <si>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</si>
  <si>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</si>
  <si>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</si>
  <si>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</si>
  <si>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</si>
  <si>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</si>
  <si>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</si>
  <si>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</si>
  <si>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</si>
  <si>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</si>
  <si>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</si>
  <si>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</si>
  <si>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</si>
  <si>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</si>
  <si>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</si>
  <si>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</si>
  <si>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</si>
  <si>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</si>
  <si>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</si>
  <si>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</si>
  <si>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</si>
  <si>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</si>
  <si>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</si>
  <si>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</si>
  <si>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</si>
  <si>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</si>
  <si>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</si>
  <si>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</si>
  <si>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</si>
  <si>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</si>
  <si>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</si>
  <si>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</si>
  <si>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</si>
  <si>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</si>
  <si>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</si>
  <si>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</si>
  <si>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</si>
  <si>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</si>
  <si>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</si>
  <si>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</si>
  <si>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</si>
  <si>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</si>
  <si>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</si>
  <si>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</si>
  <si>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</si>
  <si>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</si>
  <si>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</si>
  <si>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</si>
  <si>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</si>
  <si>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</si>
  <si>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</si>
  <si>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</si>
  <si>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</si>
  <si>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</si>
  <si>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</si>
  <si>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</si>
  <si>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</si>
  <si>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</si>
  <si>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</si>
  <si>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</si>
  <si>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</si>
  <si>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</si>
  <si>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</si>
  <si>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</si>
  <si>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</si>
  <si>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</si>
  <si>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</si>
  <si>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</si>
  <si>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</si>
  <si>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</si>
  <si>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</si>
  <si>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</si>
  <si>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</si>
  <si>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</si>
  <si>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</si>
  <si>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</si>
  <si>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</si>
  <si>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</si>
  <si>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</si>
  <si>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</si>
  <si>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</si>
  <si>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</si>
  <si>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</si>
  <si>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</si>
  <si>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</si>
  <si>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</si>
  <si>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</si>
  <si>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</si>
  <si>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</si>
  <si>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</si>
  <si>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</si>
  <si>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</si>
  <si>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</si>
  <si>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</si>
  <si>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</si>
  <si>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</si>
  <si>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</si>
  <si>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</si>
  <si>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</si>
  <si>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</si>
  <si>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</si>
  <si>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</si>
  <si>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</si>
  <si>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</si>
  <si>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</si>
  <si>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</si>
  <si>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</si>
  <si>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</si>
  <si>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</si>
  <si>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</si>
  <si>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</si>
  <si>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</si>
  <si>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</si>
  <si>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</si>
  <si>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</si>
  <si>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</si>
  <si>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</si>
  <si>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</si>
  <si>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</si>
  <si>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</si>
  <si>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</si>
  <si>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</si>
  <si>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</si>
  <si>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</si>
  <si>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</si>
  <si>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</si>
  <si>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</si>
  <si>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</si>
  <si>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</si>
  <si>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</si>
  <si>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</si>
  <si>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</si>
  <si>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</si>
  <si>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</si>
  <si>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</si>
  <si>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</si>
  <si>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</si>
  <si>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</si>
  <si>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</si>
  <si>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</si>
  <si>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</si>
  <si>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</si>
  <si>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</si>
  <si>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</si>
  <si>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</si>
  <si>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</si>
  <si>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</si>
  <si>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</si>
  <si>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</si>
  <si>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</si>
  <si>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</si>
  <si>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</si>
  <si>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</si>
  <si>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</si>
  <si>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</si>
  <si>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</si>
  <si>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</si>
  <si>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</si>
  <si>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</si>
  <si>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</si>
  <si>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</si>
  <si>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</si>
  <si>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</si>
  <si>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</si>
  <si>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</si>
  <si>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</si>
  <si>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</si>
  <si>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</si>
  <si>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</si>
  <si>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</si>
  <si>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</si>
  <si>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</si>
  <si>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</si>
  <si>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</si>
  <si>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</si>
  <si>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</si>
  <si>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</si>
  <si>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</si>
  <si>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</si>
  <si>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</si>
  <si>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</si>
  <si>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</si>
  <si>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</si>
  <si>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</si>
  <si>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</si>
  <si>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</si>
  <si>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</si>
  <si>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</si>
  <si>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</si>
  <si>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</si>
  <si>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</si>
  <si>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</si>
  <si>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</si>
  <si>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</si>
  <si>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</si>
  <si>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</si>
  <si>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</si>
  <si>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</si>
  <si>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</si>
  <si>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</si>
  <si>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</si>
  <si>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</si>
  <si>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</si>
  <si>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</si>
  <si>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</si>
  <si>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</si>
  <si>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</si>
  <si>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</si>
  <si>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</si>
  <si>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</si>
  <si>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</si>
  <si>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</si>
  <si>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</si>
  <si>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</si>
  <si>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</si>
  <si>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</si>
  <si>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</si>
  <si>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</si>
  <si>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</si>
  <si>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</si>
  <si>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</si>
  <si>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</si>
  <si>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</si>
  <si>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</si>
  <si>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</si>
  <si>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</si>
  <si>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</si>
  <si>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</si>
  <si>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</si>
  <si>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</si>
  <si>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</si>
  <si>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</si>
  <si>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</si>
  <si>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</si>
  <si>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</si>
  <si>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</si>
  <si>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</si>
  <si>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</si>
  <si>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</si>
  <si>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</si>
  <si>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</si>
  <si>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</si>
  <si>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</si>
  <si>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</si>
  <si>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</si>
  <si>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</si>
  <si>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</si>
  <si>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</si>
  <si>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</si>
  <si>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</si>
  <si>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</si>
  <si>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</si>
  <si>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</si>
  <si>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</si>
  <si>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</si>
  <si>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</si>
  <si>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</si>
  <si>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</si>
  <si>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</si>
  <si>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</si>
  <si>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</si>
  <si>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</si>
  <si>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</si>
  <si>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</si>
  <si>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</si>
  <si>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</si>
  <si>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</si>
  <si>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</si>
  <si>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</si>
  <si>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</si>
  <si>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</si>
  <si>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</si>
  <si>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</si>
  <si>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</si>
  <si>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</si>
  <si>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</si>
  <si>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</si>
  <si>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</si>
  <si>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</si>
  <si>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</si>
  <si>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</si>
  <si>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</si>
  <si>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</si>
  <si>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</si>
  <si>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</si>
  <si>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</si>
  <si>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</si>
  <si>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</si>
  <si>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</si>
  <si>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</si>
  <si>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</si>
  <si>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</si>
  <si>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</si>
  <si>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</si>
  <si>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</si>
  <si>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</si>
  <si>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</si>
  <si>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</si>
  <si>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</si>
  <si>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</si>
  <si>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</si>
  <si>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</si>
  <si>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</si>
  <si>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</si>
  <si>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</si>
  <si>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</si>
  <si>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</si>
  <si>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</si>
  <si>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</si>
  <si>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</si>
  <si>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</si>
  <si>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</si>
  <si>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</si>
  <si>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</si>
  <si>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</si>
  <si>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</si>
  <si>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</si>
  <si>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</si>
  <si>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</si>
  <si>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</si>
  <si>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</si>
  <si>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</si>
  <si>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</si>
  <si>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</si>
  <si>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</si>
  <si>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</si>
  <si>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</si>
  <si>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</si>
  <si>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</si>
  <si>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</si>
  <si>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</si>
  <si>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</si>
  <si>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</si>
  <si>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</si>
  <si>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</si>
  <si>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</si>
  <si>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</si>
  <si>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</si>
  <si>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</si>
  <si>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</si>
  <si>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</si>
  <si>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</si>
  <si>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</si>
  <si>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</si>
  <si>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</si>
  <si>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</si>
  <si>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</si>
  <si>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</si>
  <si>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</si>
  <si>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</si>
  <si>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</si>
  <si>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</si>
  <si>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</si>
  <si>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Paneton Maxima Doy RS x 6und x750g</t>
  </si>
  <si>
    <t>Ingreso el 20.07 de 1380 und que brinda una cobertura de 54 dias</t>
  </si>
  <si>
    <t>Existirá ingreso de 23,213 und que brinda una cobertura de 30 días e ingresará entre el 21/07/26 - 27/07/26</t>
  </si>
  <si>
    <t>En proceso de descontinuación, se debe acabar stock en CEDI</t>
  </si>
  <si>
    <t>Ingreso el 20.07 de 4104 und que brinda una cobertura de 70 dias</t>
  </si>
  <si>
    <t>Ingreso el 20.07 de 44088 und que brinda una cobertura de 70 dias</t>
  </si>
  <si>
    <t>Ingreso el 17.07 de 7910 und que cubre una cobertura de 30 dias</t>
  </si>
  <si>
    <t>Existirá ingreso de 11,755 und que brinda una cobertura de 24 días e ingresará entre el 21/07/26 - 27/07/26</t>
  </si>
  <si>
    <t>Existirá ingreso de 28,265 und que brinda una cobertura de 47 días e ingresará entre el 21/07/26 - 27/07/26</t>
  </si>
  <si>
    <t xml:space="preserve"> Ingreso el 21.07 de 7056 und que cubre una cobertura de 22 dias</t>
  </si>
  <si>
    <t>Ingreso el 17.07 de 16800 und que brinda una cobertura de 30 dias</t>
  </si>
  <si>
    <t>Ingreso el 20.07 de 14048 und que brinda una cobertura de 6 dias</t>
  </si>
  <si>
    <t>Producto será reemplazado por ducales 105</t>
  </si>
  <si>
    <t>Existirá ingreso de 3,333 und que brinda una cobertura de 10 días e ingresará entre el 21/07/26 - 27/07/26</t>
  </si>
  <si>
    <t>Existirá ingreso de 16,841 und que brinda una cobertura de 15 días e ingresará entre el 11/08/26 - 17/08/26</t>
  </si>
  <si>
    <t>Existirá ingreso de 12,370 und que brinda una cobertura de 14 días e ingresará entre el 28/07/26 - 03/08/26</t>
  </si>
  <si>
    <t>Ingreso de 3824und para esta semana(semana 29) que cubre una cobertura de 16 dias</t>
  </si>
  <si>
    <t>Posible ingreso el 20.07 de 1872 und que cubre una cobertura de 76 dias</t>
  </si>
  <si>
    <t>Sin PD</t>
  </si>
  <si>
    <t>Ingreso de 7000 und el 22.07 que brinda una cobertura de 13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</si>
</sst>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0" fontId="9" fillId="0" borderId="0" xfId="0" applyFont="1"/>
    <xf numFmtId="0" fontId="9" fillId="0" borderId="14" xfId="0" applyFont="1" applyBorder="1"/>
    <xf numFmtId="0" fontId="6" fillId="4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58" applyNumberFormat="1" applyFont="1" applyFill="1" applyBorder="1" applyAlignment="1">
      <alignment horizontal="center" vertical="center"/>
    </xf>
    <xf numFmtId="14" fontId="2" fillId="0" borderId="3" xfId="58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14" fontId="2" fillId="0" borderId="21" xfId="58" applyNumberFormat="1" applyFont="1" applyFill="1" applyBorder="1" applyAlignment="1">
      <alignment horizontal="center" vertical="center"/>
    </xf>
    <xf numFmtId="0" fontId="2" fillId="0" borderId="14" xfId="58" applyNumberFormat="1" applyFont="1" applyFill="1" applyBorder="1" applyAlignment="1">
      <alignment vertical="center"/>
    </xf>
    <xf numFmtId="14" fontId="2" fillId="0" borderId="21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horizontal="center" vertical="center"/>
    </xf>
    <xf numFmtId="0" fontId="2" fillId="0" borderId="3" xfId="58" applyNumberFormat="1" applyFont="1" applyFill="1" applyBorder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 2"/>
    <tableColumn id="52" xr3:uid="{00000000-0010-0000-0000-000034000000}" name="Causal / Observado" dataDxfId="1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topLeftCell="Z12" zoomScale="85" zoomScaleNormal="85" workbookViewId="0">
      <selection activeCell="BJ22" sqref="BJ22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2.7265625" style="2" bestFit="1" customWidth="1"/>
    <col min="7" max="7" width="43" style="3" bestFit="1" customWidth="1"/>
    <col min="8" max="8" width="18.72656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4.17968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86" t="s">
        <v>341</v>
      </c>
      <c r="C2" s="187"/>
      <c r="D2" s="187"/>
      <c r="E2" s="187"/>
      <c r="F2" s="187"/>
      <c r="G2" s="190">
        <v>46224</v>
      </c>
    </row>
    <row r="3" spans="1:62" ht="13.5" customHeight="1" thickBot="1" x14ac:dyDescent="0.4">
      <c r="A3" s="105"/>
      <c r="B3" s="188"/>
      <c r="C3" s="189"/>
      <c r="D3" s="189"/>
      <c r="E3" s="189"/>
      <c r="F3" s="189"/>
      <c r="G3" s="191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2" t="s">
        <v>342</v>
      </c>
      <c r="R17" s="193"/>
      <c r="S17" s="194"/>
      <c r="T17" s="192" t="s">
        <v>497</v>
      </c>
      <c r="U17" s="193"/>
      <c r="V17" s="193"/>
      <c r="W17" s="193"/>
      <c r="X17" s="24"/>
      <c r="Y17" s="24"/>
      <c r="Z17" s="22"/>
      <c r="AA17" s="22"/>
      <c r="AB17" s="22"/>
      <c r="AC17" s="185" t="s">
        <v>331</v>
      </c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5"/>
      <c r="BB17" s="185"/>
      <c r="BC17" s="185"/>
      <c r="BD17" s="185"/>
      <c r="BE17" s="185"/>
      <c r="BF17" s="185"/>
      <c r="BG17" s="185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21</v>
      </c>
      <c r="C19" s="5" t="s">
        <v>5</v>
      </c>
      <c r="D19" s="5" t="s">
        <v>308</v>
      </c>
      <c r="E19" s="5" t="s">
        <v>395</v>
      </c>
      <c r="F19" s="5">
        <v>1089560</v>
      </c>
      <c r="G19" s="7" t="s">
        <v>807</v>
      </c>
      <c r="H19" s="164">
        <v>3500</v>
      </c>
      <c r="I19" s="164">
        <v>189</v>
      </c>
      <c r="J19" s="114">
        <v>0</v>
      </c>
      <c r="K19" s="114">
        <v>0</v>
      </c>
      <c r="L19" s="165">
        <v>0</v>
      </c>
      <c r="M19" s="115">
        <v>0</v>
      </c>
      <c r="N19" s="165">
        <v>189</v>
      </c>
      <c r="O19" s="165">
        <v>0</v>
      </c>
      <c r="P19" s="11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14">
        <v>3500</v>
      </c>
      <c r="Y19" s="114">
        <v>0</v>
      </c>
      <c r="Z19" s="114">
        <v>3500</v>
      </c>
      <c r="AA19" s="166">
        <v>10885</v>
      </c>
      <c r="AB19" s="166">
        <v>0</v>
      </c>
      <c r="AC19" s="167">
        <v>0</v>
      </c>
      <c r="AD19" s="168"/>
      <c r="AE19" s="168">
        <v>3.0745629682483053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95" t="s">
        <v>1</v>
      </c>
      <c r="BJ19" s="183"/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1089561</v>
      </c>
      <c r="G20" s="7" t="s">
        <v>808</v>
      </c>
      <c r="H20" s="164">
        <v>600</v>
      </c>
      <c r="I20" s="164">
        <v>81</v>
      </c>
      <c r="J20" s="114">
        <v>0</v>
      </c>
      <c r="K20" s="114">
        <v>0</v>
      </c>
      <c r="L20" s="165">
        <v>0</v>
      </c>
      <c r="M20" s="115">
        <v>0</v>
      </c>
      <c r="N20" s="165">
        <v>81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600</v>
      </c>
      <c r="Y20" s="114">
        <v>0</v>
      </c>
      <c r="Z20" s="114">
        <v>600</v>
      </c>
      <c r="AA20" s="166">
        <v>2040</v>
      </c>
      <c r="AB20" s="166">
        <v>0</v>
      </c>
      <c r="AC20" s="167">
        <v>0</v>
      </c>
      <c r="AD20" s="168"/>
      <c r="AE20" s="168">
        <v>9.1331444759206786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96" t="s">
        <v>1</v>
      </c>
      <c r="BJ20" s="183"/>
    </row>
    <row r="21" spans="1:62" ht="12.75" customHeight="1" x14ac:dyDescent="0.35">
      <c r="A21" s="105"/>
      <c r="B21" s="163" t="s">
        <v>148</v>
      </c>
      <c r="C21" s="5" t="s">
        <v>5</v>
      </c>
      <c r="D21" s="5" t="s">
        <v>318</v>
      </c>
      <c r="E21" s="5" t="s">
        <v>319</v>
      </c>
      <c r="F21" s="125">
        <v>1092711</v>
      </c>
      <c r="G21" s="127" t="s">
        <v>810</v>
      </c>
      <c r="H21" s="164">
        <v>20359</v>
      </c>
      <c r="I21" s="164">
        <v>15162</v>
      </c>
      <c r="J21" s="114">
        <v>0</v>
      </c>
      <c r="K21" s="114">
        <v>0</v>
      </c>
      <c r="L21" s="165">
        <v>0</v>
      </c>
      <c r="M21" s="115">
        <v>0</v>
      </c>
      <c r="N21" s="165">
        <v>15162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20359</v>
      </c>
      <c r="Y21" s="114">
        <v>0</v>
      </c>
      <c r="Z21" s="114">
        <v>20359</v>
      </c>
      <c r="AA21" s="166">
        <v>123986.31</v>
      </c>
      <c r="AB21" s="166">
        <v>0</v>
      </c>
      <c r="AC21" s="167">
        <v>0</v>
      </c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95"/>
      <c r="BJ21" s="183" t="s">
        <v>812</v>
      </c>
    </row>
    <row r="22" spans="1:62" ht="12.75" customHeight="1" x14ac:dyDescent="0.35">
      <c r="A22" s="105"/>
      <c r="B22" s="163" t="s">
        <v>1</v>
      </c>
      <c r="C22" s="5" t="s">
        <v>24</v>
      </c>
      <c r="D22" s="5" t="s">
        <v>316</v>
      </c>
      <c r="E22" s="5" t="s">
        <v>317</v>
      </c>
      <c r="F22" s="5">
        <v>1070881</v>
      </c>
      <c r="G22" s="7" t="s">
        <v>684</v>
      </c>
      <c r="H22" s="164">
        <v>866.54950474611269</v>
      </c>
      <c r="I22" s="164">
        <v>93.587346512580169</v>
      </c>
      <c r="J22" s="114">
        <v>0</v>
      </c>
      <c r="K22" s="114">
        <v>745</v>
      </c>
      <c r="L22" s="165">
        <v>80.459999999999994</v>
      </c>
      <c r="M22" s="115">
        <v>0.85973160900746803</v>
      </c>
      <c r="N22" s="165">
        <v>13.127346512580175</v>
      </c>
      <c r="O22" s="165">
        <v>0</v>
      </c>
      <c r="P22" s="115">
        <v>0.53860641470319015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4104</v>
      </c>
      <c r="W22" s="5">
        <v>0</v>
      </c>
      <c r="X22" s="114">
        <v>993.33333333333337</v>
      </c>
      <c r="Y22" s="114">
        <v>0</v>
      </c>
      <c r="Z22" s="114">
        <v>121.54950474611269</v>
      </c>
      <c r="AA22" s="166">
        <v>4592.71</v>
      </c>
      <c r="AB22" s="166">
        <v>21751.200000000001</v>
      </c>
      <c r="AC22" s="167">
        <v>0.85973160900746803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95" t="s">
        <v>1</v>
      </c>
      <c r="BJ22" s="183" t="s">
        <v>814</v>
      </c>
    </row>
    <row r="23" spans="1:62" ht="12.75" customHeight="1" x14ac:dyDescent="0.35">
      <c r="A23" s="105"/>
      <c r="B23" s="163" t="s">
        <v>27</v>
      </c>
      <c r="C23" s="5" t="s">
        <v>5</v>
      </c>
      <c r="D23" s="5" t="s">
        <v>312</v>
      </c>
      <c r="E23" s="5" t="s">
        <v>313</v>
      </c>
      <c r="F23" s="5">
        <v>1073737</v>
      </c>
      <c r="G23" s="7" t="s">
        <v>619</v>
      </c>
      <c r="H23" s="164">
        <v>12574.641036818401</v>
      </c>
      <c r="I23" s="164">
        <v>4778.3635939909927</v>
      </c>
      <c r="J23" s="114">
        <v>0</v>
      </c>
      <c r="K23" s="114">
        <v>8113</v>
      </c>
      <c r="L23" s="165">
        <v>3082.94</v>
      </c>
      <c r="M23" s="115">
        <v>0.6451874034610795</v>
      </c>
      <c r="N23" s="165">
        <v>1695.4235939909927</v>
      </c>
      <c r="O23" s="165">
        <v>22.15289673222707</v>
      </c>
      <c r="P23" s="115">
        <v>1.9637741403400377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12574.641036818401</v>
      </c>
      <c r="Y23" s="114">
        <v>0</v>
      </c>
      <c r="Z23" s="114">
        <v>4461.6410368184006</v>
      </c>
      <c r="AA23" s="166">
        <v>49418.34</v>
      </c>
      <c r="AB23" s="166">
        <v>0</v>
      </c>
      <c r="AC23" s="167">
        <v>0.64518740346107939</v>
      </c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96" t="s">
        <v>1</v>
      </c>
      <c r="BJ23" s="183" t="s">
        <v>817</v>
      </c>
    </row>
    <row r="24" spans="1:62" ht="12.75" customHeight="1" x14ac:dyDescent="0.35">
      <c r="A24" s="105"/>
      <c r="B24" s="163" t="s">
        <v>1</v>
      </c>
      <c r="C24" s="5" t="s">
        <v>50</v>
      </c>
      <c r="D24" s="5" t="s">
        <v>316</v>
      </c>
      <c r="E24" s="5" t="s">
        <v>408</v>
      </c>
      <c r="F24" s="5">
        <v>1060670</v>
      </c>
      <c r="G24" s="7" t="s">
        <v>518</v>
      </c>
      <c r="H24" s="164">
        <v>8500</v>
      </c>
      <c r="I24" s="164">
        <v>2125</v>
      </c>
      <c r="J24" s="114">
        <v>0</v>
      </c>
      <c r="K24" s="114">
        <v>3236</v>
      </c>
      <c r="L24" s="165">
        <v>809</v>
      </c>
      <c r="M24" s="115">
        <v>0.42023529411764704</v>
      </c>
      <c r="N24" s="165">
        <v>1316</v>
      </c>
      <c r="O24" s="165">
        <v>3.2329411764705895</v>
      </c>
      <c r="P24" s="115">
        <v>1.1526666666666667</v>
      </c>
      <c r="Q24" s="5">
        <v>336</v>
      </c>
      <c r="R24" s="5">
        <v>336</v>
      </c>
      <c r="S24" s="5">
        <v>0</v>
      </c>
      <c r="T24" s="5">
        <v>0</v>
      </c>
      <c r="U24" s="5">
        <v>0</v>
      </c>
      <c r="V24" s="5">
        <v>0</v>
      </c>
      <c r="W24" s="5">
        <v>4</v>
      </c>
      <c r="X24" s="114">
        <v>8500</v>
      </c>
      <c r="Y24" s="114">
        <v>0</v>
      </c>
      <c r="Z24" s="114">
        <v>4928</v>
      </c>
      <c r="AA24" s="166">
        <v>167620</v>
      </c>
      <c r="AB24" s="166">
        <v>78.88</v>
      </c>
      <c r="AC24" s="167">
        <v>0.42023529411764704</v>
      </c>
      <c r="AD24" s="168"/>
      <c r="AE24" s="168">
        <v>14.586349534643228</v>
      </c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96" t="s">
        <v>1</v>
      </c>
      <c r="BJ24" s="183" t="s">
        <v>819</v>
      </c>
    </row>
    <row r="25" spans="1:62" ht="12.75" customHeight="1" x14ac:dyDescent="0.35">
      <c r="A25" s="105"/>
      <c r="B25" s="163" t="s">
        <v>1</v>
      </c>
      <c r="C25" s="5" t="s">
        <v>2</v>
      </c>
      <c r="D25" s="169" t="s">
        <v>306</v>
      </c>
      <c r="E25" s="5" t="s">
        <v>401</v>
      </c>
      <c r="F25" s="5">
        <v>1075853</v>
      </c>
      <c r="G25" s="7" t="s">
        <v>688</v>
      </c>
      <c r="H25" s="164">
        <v>18786.967929120699</v>
      </c>
      <c r="I25" s="164">
        <v>3494.3760348164501</v>
      </c>
      <c r="J25" s="114">
        <v>0</v>
      </c>
      <c r="K25" s="114">
        <v>8610</v>
      </c>
      <c r="L25" s="165">
        <v>1601.46</v>
      </c>
      <c r="M25" s="115">
        <v>0.46787752196963511</v>
      </c>
      <c r="N25" s="165">
        <v>1892.9160348164501</v>
      </c>
      <c r="O25" s="165">
        <v>5.9647985108873911</v>
      </c>
      <c r="P25" s="115">
        <v>1.2387468149368839</v>
      </c>
      <c r="Q25" s="5">
        <v>180</v>
      </c>
      <c r="R25" s="5">
        <v>180</v>
      </c>
      <c r="S25" s="5">
        <v>0</v>
      </c>
      <c r="T25" s="5">
        <v>0</v>
      </c>
      <c r="U25" s="5">
        <v>0</v>
      </c>
      <c r="V25" s="5">
        <v>18342</v>
      </c>
      <c r="W25" s="5">
        <v>0</v>
      </c>
      <c r="X25" s="114">
        <v>18786.967929120699</v>
      </c>
      <c r="Y25" s="114">
        <v>0</v>
      </c>
      <c r="Z25" s="114">
        <v>9996.9679291206994</v>
      </c>
      <c r="AA25" s="166">
        <v>34192.28</v>
      </c>
      <c r="AB25" s="166">
        <v>33382.44</v>
      </c>
      <c r="AC25" s="167">
        <v>0.46787752196963506</v>
      </c>
      <c r="AD25" s="170"/>
      <c r="AE25" s="168">
        <v>27.489419348425013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96" t="s">
        <v>1</v>
      </c>
      <c r="BJ25" s="183"/>
    </row>
    <row r="26" spans="1:62" ht="12.75" customHeight="1" x14ac:dyDescent="0.35">
      <c r="A26" s="105"/>
      <c r="B26" s="163" t="s">
        <v>1</v>
      </c>
      <c r="C26" s="5" t="s">
        <v>2</v>
      </c>
      <c r="D26" s="5" t="s">
        <v>306</v>
      </c>
      <c r="E26" s="5" t="s">
        <v>401</v>
      </c>
      <c r="F26" s="112">
        <v>1080893</v>
      </c>
      <c r="G26" s="113" t="s">
        <v>755</v>
      </c>
      <c r="H26" s="164">
        <v>4000</v>
      </c>
      <c r="I26" s="164">
        <v>1440</v>
      </c>
      <c r="J26" s="114">
        <v>0</v>
      </c>
      <c r="K26" s="114">
        <v>3618</v>
      </c>
      <c r="L26" s="165">
        <v>1302.48</v>
      </c>
      <c r="M26" s="115">
        <v>0.90449999999999997</v>
      </c>
      <c r="N26" s="165">
        <v>137.51999999999998</v>
      </c>
      <c r="O26" s="165">
        <v>4.6799999999999988</v>
      </c>
      <c r="P26" s="115">
        <v>1.208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4824</v>
      </c>
      <c r="Y26" s="114">
        <v>0</v>
      </c>
      <c r="Z26" s="114">
        <v>382</v>
      </c>
      <c r="AA26" s="166">
        <v>22080</v>
      </c>
      <c r="AB26" s="166">
        <v>0</v>
      </c>
      <c r="AC26" s="167">
        <v>0.90449999999999997</v>
      </c>
      <c r="AD26" s="168"/>
      <c r="AE26" s="168">
        <v>44.138526987503326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96" t="s">
        <v>1</v>
      </c>
      <c r="BJ26" s="183"/>
    </row>
    <row r="27" spans="1:62" ht="12.75" customHeight="1" x14ac:dyDescent="0.35">
      <c r="A27" s="105"/>
      <c r="B27" s="163" t="s">
        <v>1</v>
      </c>
      <c r="C27" s="5" t="s">
        <v>17</v>
      </c>
      <c r="D27" s="5" t="s">
        <v>312</v>
      </c>
      <c r="E27" s="5" t="s">
        <v>398</v>
      </c>
      <c r="F27" s="55">
        <v>1082287</v>
      </c>
      <c r="G27" s="64" t="s">
        <v>774</v>
      </c>
      <c r="H27" s="164">
        <v>8014.7382645574053</v>
      </c>
      <c r="I27" s="164">
        <v>1947.5813982874495</v>
      </c>
      <c r="J27" s="114">
        <v>0</v>
      </c>
      <c r="K27" s="114">
        <v>5140</v>
      </c>
      <c r="L27" s="165">
        <v>1249.02</v>
      </c>
      <c r="M27" s="115">
        <v>0.64319006183849126</v>
      </c>
      <c r="N27" s="165">
        <v>698.56139828744949</v>
      </c>
      <c r="O27" s="165">
        <v>6.6976493004233788</v>
      </c>
      <c r="P27" s="115">
        <v>1.2316983959829104</v>
      </c>
      <c r="Q27" s="5">
        <v>15</v>
      </c>
      <c r="R27" s="5">
        <v>15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8014.7382645574053</v>
      </c>
      <c r="Y27" s="114">
        <v>0</v>
      </c>
      <c r="Z27" s="114">
        <v>2859.7382645574053</v>
      </c>
      <c r="AA27" s="166">
        <v>20517.73</v>
      </c>
      <c r="AB27" s="166">
        <v>0</v>
      </c>
      <c r="AC27" s="167">
        <v>0.64319006183849137</v>
      </c>
      <c r="AD27" s="168"/>
      <c r="AE27" s="168">
        <v>37.655840694486706</v>
      </c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96" t="s">
        <v>1</v>
      </c>
      <c r="BJ27" s="183"/>
    </row>
    <row r="28" spans="1:62" ht="12.75" customHeight="1" x14ac:dyDescent="0.35">
      <c r="A28" s="105"/>
      <c r="B28" s="163" t="s">
        <v>27</v>
      </c>
      <c r="C28" s="5" t="s">
        <v>5</v>
      </c>
      <c r="D28" s="5" t="s">
        <v>312</v>
      </c>
      <c r="E28" s="5" t="s">
        <v>313</v>
      </c>
      <c r="F28" s="5">
        <v>1081304</v>
      </c>
      <c r="G28" s="7" t="s">
        <v>747</v>
      </c>
      <c r="H28" s="164">
        <v>15713.369658908046</v>
      </c>
      <c r="I28" s="164">
        <v>3582.6482822310345</v>
      </c>
      <c r="J28" s="114">
        <v>0</v>
      </c>
      <c r="K28" s="114">
        <v>29476</v>
      </c>
      <c r="L28" s="165">
        <v>6720.5280000000002</v>
      </c>
      <c r="M28" s="115">
        <v>1.9258122641342417</v>
      </c>
      <c r="N28" s="165">
        <v>3137.8797177689657</v>
      </c>
      <c r="O28" s="165">
        <v>12.374150209374337</v>
      </c>
      <c r="P28" s="115">
        <v>1.1964710275951378</v>
      </c>
      <c r="Q28" s="5">
        <v>785</v>
      </c>
      <c r="R28" s="5">
        <v>785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14">
        <v>40348</v>
      </c>
      <c r="Y28" s="114">
        <v>0</v>
      </c>
      <c r="Z28" s="114">
        <v>-14547.630341091954</v>
      </c>
      <c r="AA28" s="166">
        <v>31112.47</v>
      </c>
      <c r="AB28" s="166">
        <v>0</v>
      </c>
      <c r="AC28" s="167">
        <v>1.9258122641342417</v>
      </c>
      <c r="AD28" s="168"/>
      <c r="AE28" s="168">
        <v>1010.848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96" t="s">
        <v>1</v>
      </c>
      <c r="BJ28" s="183" t="s">
        <v>818</v>
      </c>
    </row>
    <row r="29" spans="1:62" ht="12.75" customHeight="1" x14ac:dyDescent="0.35">
      <c r="A29" s="105"/>
      <c r="B29" s="163" t="s">
        <v>1</v>
      </c>
      <c r="C29" s="5" t="s">
        <v>24</v>
      </c>
      <c r="D29" s="5" t="s">
        <v>316</v>
      </c>
      <c r="E29" s="5" t="s">
        <v>317</v>
      </c>
      <c r="F29" s="5">
        <v>1070721</v>
      </c>
      <c r="G29" s="7" t="s">
        <v>683</v>
      </c>
      <c r="H29" s="164">
        <v>10097.067073261038</v>
      </c>
      <c r="I29" s="164">
        <v>1090.4832439121922</v>
      </c>
      <c r="J29" s="114">
        <v>0</v>
      </c>
      <c r="K29" s="114">
        <v>517</v>
      </c>
      <c r="L29" s="165">
        <v>55.835999999999999</v>
      </c>
      <c r="M29" s="115">
        <v>5.1202987585287491E-2</v>
      </c>
      <c r="N29" s="165">
        <v>1034.6472439121922</v>
      </c>
      <c r="O29" s="165">
        <v>5.9254731662069489</v>
      </c>
      <c r="P29" s="115">
        <v>1.29</v>
      </c>
      <c r="Q29" s="5">
        <v>49</v>
      </c>
      <c r="R29" s="5">
        <v>0</v>
      </c>
      <c r="S29" s="5">
        <v>1</v>
      </c>
      <c r="T29" s="5">
        <v>0</v>
      </c>
      <c r="U29" s="5">
        <v>0</v>
      </c>
      <c r="V29" s="5">
        <v>44088</v>
      </c>
      <c r="W29" s="5">
        <v>0</v>
      </c>
      <c r="X29" s="114">
        <v>10097.067073261038</v>
      </c>
      <c r="Y29" s="114">
        <v>2.9711598211965657E-3</v>
      </c>
      <c r="Z29" s="114">
        <v>9531.0670732610379</v>
      </c>
      <c r="AA29" s="166">
        <v>53413.48</v>
      </c>
      <c r="AB29" s="166">
        <v>233230.81</v>
      </c>
      <c r="AC29" s="167">
        <v>5.6055881959908516E-2</v>
      </c>
      <c r="AD29" s="168"/>
      <c r="AE29" s="168">
        <v>163.25564506978327</v>
      </c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96" t="s">
        <v>1</v>
      </c>
      <c r="BJ29" s="183" t="s">
        <v>815</v>
      </c>
    </row>
    <row r="30" spans="1:62" ht="12.75" customHeight="1" x14ac:dyDescent="0.35">
      <c r="A30" s="105"/>
      <c r="B30" s="163" t="s">
        <v>1</v>
      </c>
      <c r="C30" s="5" t="s">
        <v>50</v>
      </c>
      <c r="D30" s="5" t="s">
        <v>310</v>
      </c>
      <c r="E30" s="5" t="s">
        <v>403</v>
      </c>
      <c r="F30" s="5">
        <v>1061420</v>
      </c>
      <c r="G30" s="7" t="s">
        <v>537</v>
      </c>
      <c r="H30" s="164">
        <v>13492.243056200467</v>
      </c>
      <c r="I30" s="164">
        <v>1753.9915973060606</v>
      </c>
      <c r="J30" s="114">
        <v>0</v>
      </c>
      <c r="K30" s="114">
        <v>17125</v>
      </c>
      <c r="L30" s="165">
        <v>2226.25</v>
      </c>
      <c r="M30" s="115">
        <v>1.2900004786084398</v>
      </c>
      <c r="N30" s="165">
        <v>472.25840269393939</v>
      </c>
      <c r="O30" s="165">
        <v>0.53551058807773255</v>
      </c>
      <c r="P30" s="115">
        <v>1.0238193571683514</v>
      </c>
      <c r="Q30" s="5">
        <v>322</v>
      </c>
      <c r="R30" s="5">
        <v>280</v>
      </c>
      <c r="S30" s="5">
        <v>42</v>
      </c>
      <c r="T30" s="5">
        <v>0</v>
      </c>
      <c r="U30" s="5">
        <v>0</v>
      </c>
      <c r="V30" s="5">
        <v>0</v>
      </c>
      <c r="W30" s="5">
        <v>140</v>
      </c>
      <c r="X30" s="114">
        <v>23206.666666666668</v>
      </c>
      <c r="Y30" s="114">
        <v>5.4294742889974143E-2</v>
      </c>
      <c r="Z30" s="114">
        <v>-3954.7569437995335</v>
      </c>
      <c r="AA30" s="166">
        <v>60310.33</v>
      </c>
      <c r="AB30" s="166">
        <v>813.54</v>
      </c>
      <c r="AC30" s="167">
        <v>1.293113378355728</v>
      </c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95"/>
      <c r="BJ30" s="183" t="s">
        <v>829</v>
      </c>
    </row>
    <row r="31" spans="1:62" ht="12.75" customHeight="1" x14ac:dyDescent="0.35">
      <c r="A31" s="105"/>
      <c r="B31" s="163" t="s">
        <v>1</v>
      </c>
      <c r="C31" s="5" t="s">
        <v>2</v>
      </c>
      <c r="D31" s="5" t="s">
        <v>310</v>
      </c>
      <c r="E31" s="5" t="s">
        <v>311</v>
      </c>
      <c r="F31" s="5">
        <v>1078888</v>
      </c>
      <c r="G31" s="7" t="s">
        <v>717</v>
      </c>
      <c r="H31" s="164">
        <v>16656</v>
      </c>
      <c r="I31" s="164">
        <v>1665.6000000000001</v>
      </c>
      <c r="J31" s="114">
        <v>0</v>
      </c>
      <c r="K31" s="114">
        <v>15431</v>
      </c>
      <c r="L31" s="165">
        <v>1543.1000000000001</v>
      </c>
      <c r="M31" s="115">
        <v>0.94086215177713739</v>
      </c>
      <c r="N31" s="165">
        <v>122.5</v>
      </c>
      <c r="O31" s="165">
        <v>50.16932801369088</v>
      </c>
      <c r="P31" s="115">
        <v>2.6228168622307195</v>
      </c>
      <c r="Q31" s="5">
        <v>315</v>
      </c>
      <c r="R31" s="5">
        <v>240</v>
      </c>
      <c r="S31" s="5">
        <v>75</v>
      </c>
      <c r="T31" s="5">
        <v>0</v>
      </c>
      <c r="U31" s="5">
        <v>0</v>
      </c>
      <c r="V31" s="5">
        <v>0</v>
      </c>
      <c r="W31" s="5">
        <v>0</v>
      </c>
      <c r="X31" s="114">
        <v>20894.666666666668</v>
      </c>
      <c r="Y31" s="114">
        <v>0.10768298130304384</v>
      </c>
      <c r="Z31" s="114">
        <v>910</v>
      </c>
      <c r="AA31" s="166">
        <v>23484.959999999999</v>
      </c>
      <c r="AB31" s="166">
        <v>105.75</v>
      </c>
      <c r="AC31" s="167">
        <v>0.9453650336215178</v>
      </c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95"/>
      <c r="BJ31" s="183" t="s">
        <v>820</v>
      </c>
    </row>
    <row r="32" spans="1:62" ht="12.75" customHeight="1" x14ac:dyDescent="0.35">
      <c r="A32" s="105"/>
      <c r="B32" s="163" t="s">
        <v>31</v>
      </c>
      <c r="C32" s="5" t="s">
        <v>5</v>
      </c>
      <c r="D32" s="5" t="s">
        <v>306</v>
      </c>
      <c r="E32" s="5" t="s">
        <v>307</v>
      </c>
      <c r="F32" s="55">
        <v>1077101</v>
      </c>
      <c r="G32" s="64" t="s">
        <v>677</v>
      </c>
      <c r="H32" s="164">
        <v>10920</v>
      </c>
      <c r="I32" s="164">
        <v>436.8</v>
      </c>
      <c r="J32" s="114">
        <v>0</v>
      </c>
      <c r="K32" s="114">
        <v>53130</v>
      </c>
      <c r="L32" s="165">
        <v>2125.1999999999998</v>
      </c>
      <c r="M32" s="115">
        <v>4.865384615384615</v>
      </c>
      <c r="N32" s="165">
        <v>1688.3999999999999</v>
      </c>
      <c r="O32" s="165">
        <v>0</v>
      </c>
      <c r="P32" s="115">
        <v>0.81287138920204804</v>
      </c>
      <c r="Q32" s="5">
        <v>600</v>
      </c>
      <c r="R32" s="5">
        <v>0</v>
      </c>
      <c r="S32" s="5">
        <v>600</v>
      </c>
      <c r="T32" s="5">
        <v>0</v>
      </c>
      <c r="U32" s="5">
        <v>0</v>
      </c>
      <c r="V32" s="5">
        <v>0</v>
      </c>
      <c r="W32" s="5">
        <v>0</v>
      </c>
      <c r="X32" s="114">
        <v>70839.999999999985</v>
      </c>
      <c r="Y32" s="114">
        <v>0.25409373235460198</v>
      </c>
      <c r="Z32" s="114">
        <v>-42810</v>
      </c>
      <c r="AA32" s="166">
        <v>9718.7999999999993</v>
      </c>
      <c r="AB32" s="166">
        <v>534</v>
      </c>
      <c r="AC32" s="167">
        <v>4.9203296703296697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96"/>
      <c r="BJ32" s="183" t="s">
        <v>813</v>
      </c>
    </row>
    <row r="33" spans="1:62" ht="12.75" customHeight="1" x14ac:dyDescent="0.35">
      <c r="A33" s="105"/>
      <c r="B33" s="163" t="s">
        <v>8</v>
      </c>
      <c r="C33" s="5" t="s">
        <v>5</v>
      </c>
      <c r="D33" s="5" t="s">
        <v>308</v>
      </c>
      <c r="E33" s="5" t="s">
        <v>309</v>
      </c>
      <c r="F33" s="5">
        <v>1028943</v>
      </c>
      <c r="G33" s="7" t="s">
        <v>102</v>
      </c>
      <c r="H33" s="164">
        <v>4239.1770177134595</v>
      </c>
      <c r="I33" s="164">
        <v>296.74239123994221</v>
      </c>
      <c r="J33" s="114">
        <v>0</v>
      </c>
      <c r="K33" s="114">
        <v>3963</v>
      </c>
      <c r="L33" s="165">
        <v>277.41000000000003</v>
      </c>
      <c r="M33" s="115">
        <v>0.94334347994672629</v>
      </c>
      <c r="N33" s="165">
        <v>19.332391239942183</v>
      </c>
      <c r="O33" s="165">
        <v>28.802760344709238</v>
      </c>
      <c r="P33" s="115">
        <v>1.9443155407324466</v>
      </c>
      <c r="Q33" s="5">
        <v>350</v>
      </c>
      <c r="R33" s="5">
        <v>36</v>
      </c>
      <c r="S33" s="5">
        <v>314</v>
      </c>
      <c r="T33" s="5">
        <v>0</v>
      </c>
      <c r="U33" s="5">
        <v>0</v>
      </c>
      <c r="V33" s="5">
        <v>0</v>
      </c>
      <c r="W33" s="5">
        <v>0</v>
      </c>
      <c r="X33" s="114">
        <v>5331.9999999999991</v>
      </c>
      <c r="Y33" s="114">
        <v>1.7666916729182298</v>
      </c>
      <c r="Z33" s="114">
        <v>-73.822982286540537</v>
      </c>
      <c r="AA33" s="166">
        <v>9919.67</v>
      </c>
      <c r="AB33" s="166">
        <v>734.76</v>
      </c>
      <c r="AC33" s="167">
        <v>1.0174144608677747</v>
      </c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96"/>
      <c r="BJ33" s="183"/>
    </row>
    <row r="34" spans="1:62" ht="12.75" customHeight="1" x14ac:dyDescent="0.35">
      <c r="A34" s="105"/>
      <c r="B34" s="163" t="s">
        <v>1</v>
      </c>
      <c r="C34" s="5" t="s">
        <v>17</v>
      </c>
      <c r="D34" s="5" t="s">
        <v>312</v>
      </c>
      <c r="E34" s="5" t="s">
        <v>398</v>
      </c>
      <c r="F34" s="5">
        <v>1067656</v>
      </c>
      <c r="G34" s="7" t="s">
        <v>536</v>
      </c>
      <c r="H34" s="164">
        <v>3426.6341979356425</v>
      </c>
      <c r="I34" s="164">
        <v>411.19610375227711</v>
      </c>
      <c r="J34" s="114">
        <v>0</v>
      </c>
      <c r="K34" s="114">
        <v>6386</v>
      </c>
      <c r="L34" s="165">
        <v>766.31999999999994</v>
      </c>
      <c r="M34" s="115">
        <v>2.1017708876946384</v>
      </c>
      <c r="N34" s="165">
        <v>355.12389624772283</v>
      </c>
      <c r="O34" s="165">
        <v>42.634175355876977</v>
      </c>
      <c r="P34" s="115">
        <v>1.4168828948727339</v>
      </c>
      <c r="Q34" s="5">
        <v>1420</v>
      </c>
      <c r="R34" s="5">
        <v>816</v>
      </c>
      <c r="S34" s="5">
        <v>604</v>
      </c>
      <c r="T34" s="5">
        <v>0</v>
      </c>
      <c r="U34" s="5">
        <v>0</v>
      </c>
      <c r="V34" s="5">
        <v>0</v>
      </c>
      <c r="W34" s="5">
        <v>0</v>
      </c>
      <c r="X34" s="114">
        <v>9602.6666666666661</v>
      </c>
      <c r="Y34" s="114">
        <v>1.8869758400444321</v>
      </c>
      <c r="Z34" s="114">
        <v>-4379.3658020643579</v>
      </c>
      <c r="AA34" s="166">
        <v>4283.29</v>
      </c>
      <c r="AB34" s="166">
        <v>755</v>
      </c>
      <c r="AC34" s="167">
        <v>2.2780371493119063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96" t="s">
        <v>1</v>
      </c>
      <c r="BJ34" s="183" t="s">
        <v>822</v>
      </c>
    </row>
    <row r="35" spans="1:62" ht="12.75" customHeight="1" x14ac:dyDescent="0.35">
      <c r="A35" s="105"/>
      <c r="B35" s="163" t="s">
        <v>15</v>
      </c>
      <c r="C35" s="5" t="s">
        <v>5</v>
      </c>
      <c r="D35" s="5" t="s">
        <v>308</v>
      </c>
      <c r="E35" s="5" t="s">
        <v>315</v>
      </c>
      <c r="F35" s="5">
        <v>1074340</v>
      </c>
      <c r="G35" s="7" t="s">
        <v>650</v>
      </c>
      <c r="H35" s="164">
        <v>24274.595096142501</v>
      </c>
      <c r="I35" s="164">
        <v>5825.9028230741997</v>
      </c>
      <c r="J35" s="114">
        <v>0</v>
      </c>
      <c r="K35" s="114">
        <v>20378</v>
      </c>
      <c r="L35" s="165">
        <v>4890.72</v>
      </c>
      <c r="M35" s="115">
        <v>1.079729647237867</v>
      </c>
      <c r="N35" s="165">
        <v>935.1828230741994</v>
      </c>
      <c r="O35" s="165">
        <v>0</v>
      </c>
      <c r="P35" s="115">
        <v>0.44195035786338555</v>
      </c>
      <c r="Q35" s="5">
        <v>9504</v>
      </c>
      <c r="R35" s="5">
        <v>5832</v>
      </c>
      <c r="S35" s="5">
        <v>3672</v>
      </c>
      <c r="T35" s="5">
        <v>0</v>
      </c>
      <c r="U35" s="5">
        <v>0</v>
      </c>
      <c r="V35" s="5">
        <v>0</v>
      </c>
      <c r="W35" s="5">
        <v>0</v>
      </c>
      <c r="X35" s="114">
        <v>34946.666666666664</v>
      </c>
      <c r="Y35" s="114">
        <v>3.1522319725295689</v>
      </c>
      <c r="Z35" s="114">
        <v>-5607.4049038574994</v>
      </c>
      <c r="AA35" s="166">
        <v>118217.28</v>
      </c>
      <c r="AB35" s="166">
        <v>17882.64</v>
      </c>
      <c r="AC35" s="167">
        <v>1.2309989057139239</v>
      </c>
      <c r="AD35" s="168"/>
      <c r="AE35" s="168">
        <v>14.083862448727313</v>
      </c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96" t="s">
        <v>1</v>
      </c>
      <c r="BJ35" s="183"/>
    </row>
    <row r="36" spans="1:62" ht="12.75" customHeight="1" x14ac:dyDescent="0.35">
      <c r="A36" s="105"/>
      <c r="B36" s="163">
        <v>0</v>
      </c>
      <c r="C36" s="5" t="s">
        <v>5</v>
      </c>
      <c r="D36" s="5" t="s">
        <v>318</v>
      </c>
      <c r="E36" s="5" t="s">
        <v>319</v>
      </c>
      <c r="F36" s="112">
        <v>1079428</v>
      </c>
      <c r="G36" s="113" t="s">
        <v>734</v>
      </c>
      <c r="H36" s="164">
        <v>22632</v>
      </c>
      <c r="I36" s="164">
        <v>18111.2</v>
      </c>
      <c r="J36" s="114">
        <v>0</v>
      </c>
      <c r="K36" s="114">
        <v>10884</v>
      </c>
      <c r="L36" s="165">
        <v>8707.2000000000007</v>
      </c>
      <c r="M36" s="115">
        <v>0.82741251325556731</v>
      </c>
      <c r="N36" s="165">
        <v>9404</v>
      </c>
      <c r="O36" s="165">
        <v>5.3804347826086918</v>
      </c>
      <c r="P36" s="115">
        <v>1.1458445618195536</v>
      </c>
      <c r="Q36" s="5">
        <v>12161</v>
      </c>
      <c r="R36" s="5">
        <v>7842</v>
      </c>
      <c r="S36" s="5">
        <v>4319</v>
      </c>
      <c r="T36" s="5">
        <v>0</v>
      </c>
      <c r="U36" s="5">
        <v>0</v>
      </c>
      <c r="V36" s="5">
        <v>0</v>
      </c>
      <c r="W36" s="5">
        <v>0</v>
      </c>
      <c r="X36" s="114">
        <v>24968</v>
      </c>
      <c r="Y36" s="114">
        <v>5.1894424863825694</v>
      </c>
      <c r="Z36" s="114">
        <v>-413</v>
      </c>
      <c r="AA36" s="166">
        <v>176076.96</v>
      </c>
      <c r="AB36" s="166">
        <v>33601.82</v>
      </c>
      <c r="AC36" s="167">
        <v>1.0182484977023682</v>
      </c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96"/>
      <c r="BJ36" s="183" t="s">
        <v>825</v>
      </c>
    </row>
    <row r="37" spans="1:62" ht="12.75" customHeight="1" x14ac:dyDescent="0.35">
      <c r="A37" s="105"/>
      <c r="B37" s="163" t="s">
        <v>31</v>
      </c>
      <c r="C37" s="5" t="s">
        <v>5</v>
      </c>
      <c r="D37" s="5" t="s">
        <v>306</v>
      </c>
      <c r="E37" s="5" t="s">
        <v>307</v>
      </c>
      <c r="F37" s="5">
        <v>1076592</v>
      </c>
      <c r="G37" s="7" t="s">
        <v>676</v>
      </c>
      <c r="H37" s="164">
        <v>8737.8385101565291</v>
      </c>
      <c r="I37" s="164">
        <v>2621.3515530469585</v>
      </c>
      <c r="J37" s="114">
        <v>0</v>
      </c>
      <c r="K37" s="114">
        <v>1451</v>
      </c>
      <c r="L37" s="165">
        <v>435.3</v>
      </c>
      <c r="M37" s="115">
        <v>0.20268170416991083</v>
      </c>
      <c r="N37" s="165">
        <v>2186.0515530469584</v>
      </c>
      <c r="O37" s="165">
        <v>0</v>
      </c>
      <c r="P37" s="115">
        <v>0.13703217699985706</v>
      </c>
      <c r="Q37" s="5">
        <v>2080</v>
      </c>
      <c r="R37" s="5">
        <v>320</v>
      </c>
      <c r="S37" s="5">
        <v>1660</v>
      </c>
      <c r="T37" s="5">
        <v>0</v>
      </c>
      <c r="U37" s="5">
        <v>0</v>
      </c>
      <c r="V37" s="5">
        <v>0</v>
      </c>
      <c r="W37" s="5">
        <v>2</v>
      </c>
      <c r="X37" s="114">
        <v>8737.8385101565291</v>
      </c>
      <c r="Y37" s="114">
        <v>5.6993500099726475</v>
      </c>
      <c r="Z37" s="114">
        <v>5206.8385101565291</v>
      </c>
      <c r="AA37" s="166">
        <v>51553.25</v>
      </c>
      <c r="AB37" s="166">
        <v>9805.7999999999993</v>
      </c>
      <c r="AC37" s="167">
        <v>0.40410451576733775</v>
      </c>
      <c r="AD37" s="168"/>
      <c r="AE37" s="168">
        <v>10.813953488372093</v>
      </c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96" t="s">
        <v>1</v>
      </c>
      <c r="BJ37" s="183" t="s">
        <v>823</v>
      </c>
    </row>
    <row r="38" spans="1:62" ht="12.75" customHeight="1" x14ac:dyDescent="0.35">
      <c r="A38" s="105"/>
      <c r="B38" s="163" t="s">
        <v>21</v>
      </c>
      <c r="C38" s="5" t="s">
        <v>5</v>
      </c>
      <c r="D38" s="5" t="s">
        <v>396</v>
      </c>
      <c r="E38" s="5" t="s">
        <v>307</v>
      </c>
      <c r="F38" s="5">
        <v>1058296</v>
      </c>
      <c r="G38" s="7" t="s">
        <v>249</v>
      </c>
      <c r="H38" s="164">
        <v>5953.2536023431476</v>
      </c>
      <c r="I38" s="164">
        <v>2976.6268011715738</v>
      </c>
      <c r="J38" s="114">
        <v>0</v>
      </c>
      <c r="K38" s="114">
        <v>1424</v>
      </c>
      <c r="L38" s="165">
        <v>712</v>
      </c>
      <c r="M38" s="115">
        <v>0.63158740600603636</v>
      </c>
      <c r="N38" s="165">
        <v>2264.6268011715738</v>
      </c>
      <c r="O38" s="165">
        <v>18.722676071344171</v>
      </c>
      <c r="P38" s="115">
        <v>1.6199875336103122</v>
      </c>
      <c r="Q38" s="5">
        <v>3648</v>
      </c>
      <c r="R38" s="5">
        <v>2336</v>
      </c>
      <c r="S38" s="5">
        <v>1312</v>
      </c>
      <c r="T38" s="5">
        <v>0</v>
      </c>
      <c r="U38" s="5">
        <v>0</v>
      </c>
      <c r="V38" s="5">
        <v>3824</v>
      </c>
      <c r="W38" s="5">
        <v>0</v>
      </c>
      <c r="X38" s="114">
        <v>5953.2536023431476</v>
      </c>
      <c r="Y38" s="114">
        <v>6.611510718190849</v>
      </c>
      <c r="Z38" s="114">
        <v>881.25360234314758</v>
      </c>
      <c r="AA38" s="166">
        <v>33040.559999999998</v>
      </c>
      <c r="AB38" s="166">
        <v>28504.799999999999</v>
      </c>
      <c r="AC38" s="167">
        <v>0.851971096612398</v>
      </c>
      <c r="AD38" s="170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96"/>
      <c r="BJ38" s="183" t="s">
        <v>826</v>
      </c>
    </row>
    <row r="39" spans="1:62" ht="12.75" customHeight="1" x14ac:dyDescent="0.35">
      <c r="A39" s="105"/>
      <c r="B39" s="163" t="s">
        <v>15</v>
      </c>
      <c r="C39" s="5" t="s">
        <v>5</v>
      </c>
      <c r="D39" s="5" t="s">
        <v>308</v>
      </c>
      <c r="E39" s="5" t="s">
        <v>315</v>
      </c>
      <c r="F39" s="5">
        <v>1073436</v>
      </c>
      <c r="G39" s="7" t="s">
        <v>635</v>
      </c>
      <c r="H39" s="164">
        <v>70914.916366409438</v>
      </c>
      <c r="I39" s="164">
        <v>14384.778265263414</v>
      </c>
      <c r="J39" s="114">
        <v>0</v>
      </c>
      <c r="K39" s="114">
        <v>49265.032000000007</v>
      </c>
      <c r="L39" s="165">
        <v>11035.367168000002</v>
      </c>
      <c r="M39" s="115">
        <v>0.81045053628834984</v>
      </c>
      <c r="N39" s="165">
        <v>3349.4110972634116</v>
      </c>
      <c r="O39" s="165">
        <v>7.1207358552096292</v>
      </c>
      <c r="P39" s="115">
        <v>1.3259930417093857</v>
      </c>
      <c r="Q39" s="5">
        <v>27419</v>
      </c>
      <c r="R39" s="5">
        <v>8208</v>
      </c>
      <c r="S39" s="5">
        <v>19211</v>
      </c>
      <c r="T39" s="5">
        <v>0</v>
      </c>
      <c r="U39" s="5">
        <v>0</v>
      </c>
      <c r="V39" s="5">
        <v>0</v>
      </c>
      <c r="W39" s="5">
        <v>0</v>
      </c>
      <c r="X39" s="114">
        <v>76630.709333333332</v>
      </c>
      <c r="Y39" s="114">
        <v>7.5208751819462032</v>
      </c>
      <c r="Z39" s="114">
        <v>-5769.1156335905689</v>
      </c>
      <c r="AA39" s="166">
        <v>314862.23</v>
      </c>
      <c r="AB39" s="166">
        <v>85296.84</v>
      </c>
      <c r="AC39" s="167">
        <v>1.081352639602396</v>
      </c>
      <c r="AD39" s="170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96"/>
      <c r="BJ39" s="182"/>
    </row>
    <row r="40" spans="1:62" ht="12.75" customHeight="1" x14ac:dyDescent="0.35">
      <c r="A40" s="105"/>
      <c r="B40" s="163" t="s">
        <v>1</v>
      </c>
      <c r="C40" s="5" t="s">
        <v>2</v>
      </c>
      <c r="D40" s="5" t="s">
        <v>310</v>
      </c>
      <c r="E40" s="5" t="s">
        <v>311</v>
      </c>
      <c r="F40" s="5">
        <v>1080401</v>
      </c>
      <c r="G40" s="7" t="s">
        <v>754</v>
      </c>
      <c r="H40" s="164">
        <v>20113.2</v>
      </c>
      <c r="I40" s="164">
        <v>0</v>
      </c>
      <c r="J40" s="114">
        <v>0</v>
      </c>
      <c r="K40" s="114">
        <v>10362</v>
      </c>
      <c r="L40" s="165">
        <v>0</v>
      </c>
      <c r="M40" s="115">
        <v>0.52592327426764507</v>
      </c>
      <c r="N40" s="165">
        <v>0</v>
      </c>
      <c r="O40" s="165">
        <v>1.7655544130321981</v>
      </c>
      <c r="P40" s="115">
        <v>1.070844920206403</v>
      </c>
      <c r="Q40" s="5">
        <v>5302</v>
      </c>
      <c r="R40" s="5">
        <v>216</v>
      </c>
      <c r="S40" s="5">
        <v>5086</v>
      </c>
      <c r="T40" s="5">
        <v>0</v>
      </c>
      <c r="U40" s="5">
        <v>0</v>
      </c>
      <c r="V40" s="5">
        <v>0</v>
      </c>
      <c r="W40" s="5">
        <v>3215</v>
      </c>
      <c r="X40" s="114">
        <v>20113.2</v>
      </c>
      <c r="Y40" s="114">
        <v>7.5860628840761288</v>
      </c>
      <c r="Z40" s="114">
        <v>4449.2000000000007</v>
      </c>
      <c r="AA40" s="166">
        <v>27555.08</v>
      </c>
      <c r="AB40" s="166">
        <v>11372.37</v>
      </c>
      <c r="AC40" s="167">
        <v>0.77879203707018274</v>
      </c>
      <c r="AD40" s="170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96" t="s">
        <v>1</v>
      </c>
      <c r="BJ40" s="183"/>
    </row>
    <row r="41" spans="1:62" ht="12.75" customHeight="1" x14ac:dyDescent="0.35">
      <c r="A41" s="105"/>
      <c r="B41" s="163" t="s">
        <v>1</v>
      </c>
      <c r="C41" s="5" t="s">
        <v>2</v>
      </c>
      <c r="D41" s="5" t="s">
        <v>396</v>
      </c>
      <c r="E41" s="5" t="s">
        <v>397</v>
      </c>
      <c r="F41" s="161">
        <v>1043306</v>
      </c>
      <c r="G41" s="3" t="s">
        <v>10</v>
      </c>
      <c r="H41" s="164">
        <v>391</v>
      </c>
      <c r="I41" s="164">
        <v>391</v>
      </c>
      <c r="J41" s="114">
        <v>0</v>
      </c>
      <c r="K41" s="114">
        <v>618</v>
      </c>
      <c r="L41" s="165">
        <v>618</v>
      </c>
      <c r="M41" s="115">
        <v>2.6035805626598467</v>
      </c>
      <c r="N41" s="165">
        <v>227</v>
      </c>
      <c r="O41" s="165">
        <v>0</v>
      </c>
      <c r="P41" s="115">
        <v>0.66513718257614229</v>
      </c>
      <c r="Q41" s="5">
        <v>763</v>
      </c>
      <c r="R41" s="5">
        <v>400</v>
      </c>
      <c r="S41" s="5">
        <v>363</v>
      </c>
      <c r="T41" s="5">
        <v>0</v>
      </c>
      <c r="U41" s="5">
        <v>0</v>
      </c>
      <c r="V41" s="5">
        <v>0</v>
      </c>
      <c r="W41" s="5">
        <v>9</v>
      </c>
      <c r="X41" s="114">
        <v>1357.3333333333333</v>
      </c>
      <c r="Y41" s="114">
        <v>8.0230844793713167</v>
      </c>
      <c r="Z41" s="114">
        <v>-990</v>
      </c>
      <c r="AA41" s="166">
        <v>11812.11</v>
      </c>
      <c r="AB41" s="166">
        <v>11238.12</v>
      </c>
      <c r="AC41" s="167">
        <v>3.5319693094629154</v>
      </c>
      <c r="AD41" s="170"/>
      <c r="AE41" s="168">
        <v>13.682250396196514</v>
      </c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96" t="s">
        <v>1</v>
      </c>
      <c r="BJ41" s="183" t="s">
        <v>811</v>
      </c>
    </row>
    <row r="42" spans="1:62" ht="12.75" customHeight="1" x14ac:dyDescent="0.35">
      <c r="A42" s="105"/>
      <c r="B42" s="163" t="s">
        <v>4</v>
      </c>
      <c r="C42" s="5" t="s">
        <v>5</v>
      </c>
      <c r="D42" s="5" t="s">
        <v>308</v>
      </c>
      <c r="E42" s="5" t="s">
        <v>314</v>
      </c>
      <c r="F42" s="161">
        <v>1075185</v>
      </c>
      <c r="G42" s="3" t="s">
        <v>703</v>
      </c>
      <c r="H42" s="164">
        <v>29838.789037921411</v>
      </c>
      <c r="I42" s="164">
        <v>28645.237476404553</v>
      </c>
      <c r="J42" s="114">
        <v>0</v>
      </c>
      <c r="K42" s="114">
        <v>1201</v>
      </c>
      <c r="L42" s="165">
        <v>1152.96</v>
      </c>
      <c r="M42" s="115">
        <v>4.1858267050069474E-2</v>
      </c>
      <c r="N42" s="165">
        <v>27492.277476404553</v>
      </c>
      <c r="O42" s="165">
        <v>0</v>
      </c>
      <c r="P42" s="115">
        <v>5.5550595387848921E-2</v>
      </c>
      <c r="Q42" s="5">
        <v>10465</v>
      </c>
      <c r="R42" s="5">
        <v>48</v>
      </c>
      <c r="S42" s="5">
        <v>10416</v>
      </c>
      <c r="T42" s="5">
        <v>0</v>
      </c>
      <c r="U42" s="5">
        <v>0</v>
      </c>
      <c r="V42" s="5">
        <v>0</v>
      </c>
      <c r="W42" s="5">
        <v>28326</v>
      </c>
      <c r="X42" s="114">
        <v>29838.789037921411</v>
      </c>
      <c r="Y42" s="114">
        <v>10.472274850124666</v>
      </c>
      <c r="Z42" s="114">
        <v>18172.789037921411</v>
      </c>
      <c r="AA42" s="166">
        <v>37596.870000000003</v>
      </c>
      <c r="AB42" s="166">
        <v>48814.92</v>
      </c>
      <c r="AC42" s="167">
        <v>0.39096760881193793</v>
      </c>
      <c r="AD42" s="170"/>
      <c r="AE42" s="168">
        <v>0</v>
      </c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96" t="s">
        <v>1</v>
      </c>
      <c r="BJ42" s="183" t="s">
        <v>824</v>
      </c>
    </row>
    <row r="43" spans="1:62" ht="12.5" customHeight="1" x14ac:dyDescent="0.35">
      <c r="A43" s="105"/>
      <c r="B43" s="163" t="s">
        <v>1</v>
      </c>
      <c r="C43" s="5" t="s">
        <v>2</v>
      </c>
      <c r="D43" s="5" t="s">
        <v>310</v>
      </c>
      <c r="E43" s="5" t="s">
        <v>311</v>
      </c>
      <c r="F43" s="5">
        <v>1078887</v>
      </c>
      <c r="G43" s="7" t="s">
        <v>721</v>
      </c>
      <c r="H43" s="164">
        <v>12324</v>
      </c>
      <c r="I43" s="164">
        <v>1232.4000000000001</v>
      </c>
      <c r="J43" s="114">
        <v>0</v>
      </c>
      <c r="K43" s="114">
        <v>9138</v>
      </c>
      <c r="L43" s="165">
        <v>913.80000000000007</v>
      </c>
      <c r="M43" s="115">
        <v>0.76679649464459587</v>
      </c>
      <c r="N43" s="165">
        <v>318.60000000000002</v>
      </c>
      <c r="O43" s="165">
        <v>10.060870147518477</v>
      </c>
      <c r="P43" s="115">
        <v>1.3228407450565216</v>
      </c>
      <c r="Q43" s="5">
        <v>4964</v>
      </c>
      <c r="R43" s="5">
        <v>312</v>
      </c>
      <c r="S43" s="5">
        <v>4652</v>
      </c>
      <c r="T43" s="5">
        <v>0</v>
      </c>
      <c r="U43" s="5">
        <v>0</v>
      </c>
      <c r="V43" s="5">
        <v>0</v>
      </c>
      <c r="W43" s="5">
        <v>0</v>
      </c>
      <c r="X43" s="114">
        <v>12600</v>
      </c>
      <c r="Y43" s="114">
        <v>11.076190476190476</v>
      </c>
      <c r="Z43" s="114">
        <v>-1778</v>
      </c>
      <c r="AA43" s="166">
        <v>26866.32</v>
      </c>
      <c r="AB43" s="166">
        <v>10141.36</v>
      </c>
      <c r="AC43" s="167">
        <v>1.144271340473872</v>
      </c>
      <c r="AD43" s="170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96" t="s">
        <v>1</v>
      </c>
      <c r="BJ43" s="183"/>
    </row>
    <row r="44" spans="1:62" ht="12.5" customHeight="1" x14ac:dyDescent="0.35">
      <c r="A44" s="105"/>
      <c r="B44" s="163" t="s">
        <v>4</v>
      </c>
      <c r="C44" s="5" t="s">
        <v>5</v>
      </c>
      <c r="D44" s="5" t="s">
        <v>308</v>
      </c>
      <c r="E44" s="5" t="s">
        <v>314</v>
      </c>
      <c r="F44" s="55">
        <v>1069728</v>
      </c>
      <c r="G44" s="197" t="s">
        <v>568</v>
      </c>
      <c r="H44" s="164">
        <v>22600.000733976594</v>
      </c>
      <c r="I44" s="164">
        <v>4576.5001486302608</v>
      </c>
      <c r="J44" s="114">
        <v>0</v>
      </c>
      <c r="K44" s="114">
        <v>13008</v>
      </c>
      <c r="L44" s="165">
        <v>2634.1200000000003</v>
      </c>
      <c r="M44" s="115">
        <v>0.62641590885953025</v>
      </c>
      <c r="N44" s="165">
        <v>1942.3801486302605</v>
      </c>
      <c r="O44" s="165">
        <v>0</v>
      </c>
      <c r="P44" s="115">
        <v>0.9086126964420782</v>
      </c>
      <c r="Q44" s="5">
        <v>10287</v>
      </c>
      <c r="R44" s="5">
        <v>1149</v>
      </c>
      <c r="S44" s="5">
        <v>9138</v>
      </c>
      <c r="T44" s="5">
        <v>0</v>
      </c>
      <c r="U44" s="5">
        <v>0</v>
      </c>
      <c r="V44" s="5">
        <v>0</v>
      </c>
      <c r="W44" s="5">
        <v>0</v>
      </c>
      <c r="X44" s="114">
        <v>22600.000733976594</v>
      </c>
      <c r="Y44" s="114">
        <v>12.130088101628285</v>
      </c>
      <c r="Z44" s="114">
        <v>-694.99926602340565</v>
      </c>
      <c r="AA44" s="166">
        <v>53110</v>
      </c>
      <c r="AB44" s="166">
        <v>21474.3</v>
      </c>
      <c r="AC44" s="167">
        <v>1.0307521789138065</v>
      </c>
      <c r="AD44" s="170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96"/>
      <c r="BJ44" s="183"/>
    </row>
    <row r="45" spans="1:62" ht="12.75" customHeight="1" x14ac:dyDescent="0.35">
      <c r="A45" s="105"/>
      <c r="B45" s="163" t="s">
        <v>15</v>
      </c>
      <c r="C45" s="5" t="s">
        <v>5</v>
      </c>
      <c r="D45" s="5" t="s">
        <v>312</v>
      </c>
      <c r="E45" s="5" t="s">
        <v>315</v>
      </c>
      <c r="F45" s="5">
        <v>1078687</v>
      </c>
      <c r="G45" s="7" t="s">
        <v>709</v>
      </c>
      <c r="H45" s="164">
        <v>2063.0487804878048</v>
      </c>
      <c r="I45" s="164">
        <v>717.94097560975604</v>
      </c>
      <c r="J45" s="114">
        <v>0</v>
      </c>
      <c r="K45" s="114">
        <v>1142</v>
      </c>
      <c r="L45" s="165">
        <v>397.416</v>
      </c>
      <c r="M45" s="115">
        <v>0.56954542767630201</v>
      </c>
      <c r="N45" s="165">
        <v>320.52497560975604</v>
      </c>
      <c r="O45" s="165">
        <v>10.905479694981381</v>
      </c>
      <c r="P45" s="115">
        <v>1.3974201553593817</v>
      </c>
      <c r="Q45" s="5">
        <v>877</v>
      </c>
      <c r="R45" s="5">
        <v>33</v>
      </c>
      <c r="S45" s="5">
        <v>844</v>
      </c>
      <c r="T45" s="5">
        <v>0</v>
      </c>
      <c r="U45" s="5">
        <v>0</v>
      </c>
      <c r="V45" s="5">
        <v>0</v>
      </c>
      <c r="W45" s="5">
        <v>0</v>
      </c>
      <c r="X45" s="114">
        <v>2063.0487804878048</v>
      </c>
      <c r="Y45" s="114">
        <v>12.273098067033162</v>
      </c>
      <c r="Z45" s="114">
        <v>44.048780487804834</v>
      </c>
      <c r="AA45" s="166">
        <v>9634.44</v>
      </c>
      <c r="AB45" s="166">
        <v>3941.48</v>
      </c>
      <c r="AC45" s="167">
        <v>0.97864869657740738</v>
      </c>
      <c r="AD45" s="168"/>
      <c r="AE45" s="168">
        <v>7.7885819816926292</v>
      </c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96" t="s">
        <v>1</v>
      </c>
      <c r="BJ45" s="183"/>
    </row>
    <row r="46" spans="1:62" ht="12.75" customHeight="1" x14ac:dyDescent="0.35">
      <c r="A46" s="105"/>
      <c r="B46" s="163" t="s">
        <v>21</v>
      </c>
      <c r="C46" s="5" t="s">
        <v>5</v>
      </c>
      <c r="D46" s="5" t="s">
        <v>396</v>
      </c>
      <c r="E46" s="5" t="s">
        <v>397</v>
      </c>
      <c r="F46" s="5">
        <v>1040796</v>
      </c>
      <c r="G46" s="7" t="s">
        <v>85</v>
      </c>
      <c r="H46" s="164">
        <v>9329.9575940031755</v>
      </c>
      <c r="I46" s="164">
        <v>93299.575940031762</v>
      </c>
      <c r="J46" s="114">
        <v>0</v>
      </c>
      <c r="K46" s="114">
        <v>5311</v>
      </c>
      <c r="L46" s="165">
        <v>53110</v>
      </c>
      <c r="M46" s="115">
        <v>0.62283241284344282</v>
      </c>
      <c r="N46" s="165">
        <v>40189.575940031762</v>
      </c>
      <c r="O46" s="165">
        <v>0</v>
      </c>
      <c r="P46" s="115">
        <v>0.99019605135258626</v>
      </c>
      <c r="Q46" s="5">
        <v>4362</v>
      </c>
      <c r="R46" s="5">
        <v>500</v>
      </c>
      <c r="S46" s="5">
        <v>3862</v>
      </c>
      <c r="T46" s="5">
        <v>0</v>
      </c>
      <c r="U46" s="5">
        <v>230</v>
      </c>
      <c r="V46" s="5">
        <v>6100</v>
      </c>
      <c r="W46" s="5">
        <v>2</v>
      </c>
      <c r="X46" s="114">
        <v>9329.9575940031755</v>
      </c>
      <c r="Y46" s="114">
        <v>12.418062872490324</v>
      </c>
      <c r="Z46" s="114">
        <v>-343.04240599682453</v>
      </c>
      <c r="AA46" s="166">
        <v>103562.53</v>
      </c>
      <c r="AB46" s="166">
        <v>113153.4</v>
      </c>
      <c r="AC46" s="167">
        <v>1.0367678419264537</v>
      </c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96" t="s">
        <v>1</v>
      </c>
      <c r="BJ46" s="183"/>
    </row>
    <row r="47" spans="1:62" ht="12.5" customHeight="1" x14ac:dyDescent="0.35">
      <c r="A47" s="105"/>
      <c r="B47" s="163" t="s">
        <v>15</v>
      </c>
      <c r="C47" s="5" t="s">
        <v>5</v>
      </c>
      <c r="D47" s="5" t="s">
        <v>308</v>
      </c>
      <c r="E47" s="5" t="s">
        <v>315</v>
      </c>
      <c r="F47" s="55">
        <v>1074235</v>
      </c>
      <c r="G47" s="64" t="s">
        <v>636</v>
      </c>
      <c r="H47" s="164">
        <v>1297.7416631167148</v>
      </c>
      <c r="I47" s="164">
        <v>973.30624733753609</v>
      </c>
      <c r="J47" s="114">
        <v>0</v>
      </c>
      <c r="K47" s="114">
        <v>830</v>
      </c>
      <c r="L47" s="165">
        <v>622.5</v>
      </c>
      <c r="M47" s="115">
        <v>0.79368647033054762</v>
      </c>
      <c r="N47" s="165">
        <v>350.80624733753609</v>
      </c>
      <c r="O47" s="165">
        <v>0</v>
      </c>
      <c r="P47" s="115">
        <v>0.80983145963938763</v>
      </c>
      <c r="Q47" s="5">
        <v>769</v>
      </c>
      <c r="R47" s="5">
        <v>200</v>
      </c>
      <c r="S47" s="5">
        <v>569</v>
      </c>
      <c r="T47" s="5">
        <v>0</v>
      </c>
      <c r="U47" s="5">
        <v>0</v>
      </c>
      <c r="V47" s="5">
        <v>0</v>
      </c>
      <c r="W47" s="5">
        <v>0</v>
      </c>
      <c r="X47" s="114">
        <v>1373.333333333333</v>
      </c>
      <c r="Y47" s="114">
        <v>12.429611650485441</v>
      </c>
      <c r="Z47" s="114">
        <v>-301.25833688328521</v>
      </c>
      <c r="AA47" s="166">
        <v>11744.56</v>
      </c>
      <c r="AB47" s="166">
        <v>5149.45</v>
      </c>
      <c r="AC47" s="167">
        <v>1.2321404524840249</v>
      </c>
      <c r="AD47" s="168"/>
      <c r="AE47" s="168" t="s">
        <v>574</v>
      </c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96" t="s">
        <v>1</v>
      </c>
      <c r="BJ47" s="183"/>
    </row>
    <row r="48" spans="1:62" ht="12.5" customHeight="1" x14ac:dyDescent="0.35">
      <c r="A48" s="105"/>
      <c r="B48" s="163" t="s">
        <v>31</v>
      </c>
      <c r="C48" s="5" t="s">
        <v>5</v>
      </c>
      <c r="D48" s="5" t="s">
        <v>306</v>
      </c>
      <c r="E48" s="5" t="s">
        <v>307</v>
      </c>
      <c r="F48" s="5">
        <v>1071168</v>
      </c>
      <c r="G48" s="124" t="s">
        <v>594</v>
      </c>
      <c r="H48" s="164">
        <v>302538.53394920955</v>
      </c>
      <c r="I48" s="164">
        <v>12101.541357968383</v>
      </c>
      <c r="J48" s="114">
        <v>0</v>
      </c>
      <c r="K48" s="114">
        <v>183659</v>
      </c>
      <c r="L48" s="165">
        <v>7346.3600000000006</v>
      </c>
      <c r="M48" s="115">
        <v>0.64811248154232781</v>
      </c>
      <c r="N48" s="165">
        <v>4755.1813579683821</v>
      </c>
      <c r="O48" s="165">
        <v>0</v>
      </c>
      <c r="P48" s="115">
        <v>0.95754976207796361</v>
      </c>
      <c r="Q48" s="5">
        <v>138693</v>
      </c>
      <c r="R48" s="5">
        <v>12420</v>
      </c>
      <c r="S48" s="5">
        <v>126273</v>
      </c>
      <c r="T48" s="5">
        <v>0</v>
      </c>
      <c r="U48" s="5">
        <v>840</v>
      </c>
      <c r="V48" s="5">
        <v>0</v>
      </c>
      <c r="W48" s="5">
        <v>0</v>
      </c>
      <c r="X48" s="114">
        <v>302538.53394920955</v>
      </c>
      <c r="Y48" s="114">
        <v>12.521347117507897</v>
      </c>
      <c r="Z48" s="114">
        <v>-19813.466050790448</v>
      </c>
      <c r="AA48" s="166">
        <v>260183.14</v>
      </c>
      <c r="AB48" s="166">
        <v>109317.18</v>
      </c>
      <c r="AC48" s="167">
        <v>1.0654907187925911</v>
      </c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95" t="s">
        <v>1</v>
      </c>
      <c r="BJ48" s="183"/>
    </row>
    <row r="49" spans="1:62" ht="12.75" customHeight="1" x14ac:dyDescent="0.35">
      <c r="A49" s="105"/>
      <c r="B49" s="163" t="s">
        <v>27</v>
      </c>
      <c r="C49" s="5" t="s">
        <v>5</v>
      </c>
      <c r="D49" s="5" t="s">
        <v>312</v>
      </c>
      <c r="E49" s="5" t="s">
        <v>313</v>
      </c>
      <c r="F49" s="5">
        <v>1072810</v>
      </c>
      <c r="G49" s="7" t="s">
        <v>609</v>
      </c>
      <c r="H49" s="164">
        <v>7256.8202693216708</v>
      </c>
      <c r="I49" s="164">
        <v>9927.330128432046</v>
      </c>
      <c r="J49" s="114">
        <v>0</v>
      </c>
      <c r="K49" s="114">
        <v>4124</v>
      </c>
      <c r="L49" s="165">
        <v>5641.6320000000005</v>
      </c>
      <c r="M49" s="115">
        <v>0.57173801279604053</v>
      </c>
      <c r="N49" s="165">
        <v>4285.6981284320455</v>
      </c>
      <c r="O49" s="165">
        <v>0</v>
      </c>
      <c r="P49" s="115">
        <v>0.89423399748198396</v>
      </c>
      <c r="Q49" s="5">
        <v>3123</v>
      </c>
      <c r="R49" s="5">
        <v>25</v>
      </c>
      <c r="S49" s="5">
        <v>3098</v>
      </c>
      <c r="T49" s="5">
        <v>0</v>
      </c>
      <c r="U49" s="5">
        <v>0</v>
      </c>
      <c r="V49" s="5">
        <v>0</v>
      </c>
      <c r="W49" s="5">
        <v>0</v>
      </c>
      <c r="X49" s="114">
        <v>7256.8202693216708</v>
      </c>
      <c r="Y49" s="114">
        <v>12.807262209993736</v>
      </c>
      <c r="Z49" s="114">
        <v>9.8202693216708212</v>
      </c>
      <c r="AA49" s="166">
        <v>86791.57</v>
      </c>
      <c r="AB49" s="166">
        <v>37052.080000000002</v>
      </c>
      <c r="AC49" s="167">
        <v>0.99864675312916507</v>
      </c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95" t="s">
        <v>1</v>
      </c>
      <c r="BJ49" s="183"/>
    </row>
    <row r="50" spans="1:62" ht="12.75" customHeight="1" x14ac:dyDescent="0.35">
      <c r="A50" s="105"/>
      <c r="B50" s="163" t="s">
        <v>1</v>
      </c>
      <c r="C50" s="5" t="s">
        <v>2</v>
      </c>
      <c r="D50" s="5" t="s">
        <v>310</v>
      </c>
      <c r="E50" s="5" t="s">
        <v>311</v>
      </c>
      <c r="F50" s="125">
        <v>1080750</v>
      </c>
      <c r="G50" s="127" t="s">
        <v>770</v>
      </c>
      <c r="H50" s="164">
        <v>4992.7532115089925</v>
      </c>
      <c r="I50" s="164">
        <v>2995.6519269053961</v>
      </c>
      <c r="J50" s="114">
        <v>0</v>
      </c>
      <c r="K50" s="114">
        <v>2643</v>
      </c>
      <c r="L50" s="165">
        <v>1585.8000000000002</v>
      </c>
      <c r="M50" s="115">
        <v>0.89629905793951536</v>
      </c>
      <c r="N50" s="165">
        <v>1409.8519269053959</v>
      </c>
      <c r="O50" s="165">
        <v>1.2291211591471685</v>
      </c>
      <c r="P50" s="115">
        <v>1.0440812663272718</v>
      </c>
      <c r="Q50" s="5">
        <v>4400</v>
      </c>
      <c r="R50" s="5">
        <v>1832</v>
      </c>
      <c r="S50" s="5">
        <v>2568</v>
      </c>
      <c r="T50" s="5">
        <v>0</v>
      </c>
      <c r="U50" s="5">
        <v>0</v>
      </c>
      <c r="V50" s="5">
        <v>0</v>
      </c>
      <c r="W50" s="5">
        <v>1</v>
      </c>
      <c r="X50" s="114">
        <v>5966.666666666667</v>
      </c>
      <c r="Y50" s="114">
        <v>12.911731843575417</v>
      </c>
      <c r="Z50" s="114">
        <v>-2050.2467884910075</v>
      </c>
      <c r="AA50" s="166">
        <v>52973.11</v>
      </c>
      <c r="AB50" s="166">
        <v>27257.09</v>
      </c>
      <c r="AC50" s="167">
        <v>1.4106445285068172</v>
      </c>
      <c r="AD50" s="168"/>
      <c r="AE50" s="168">
        <v>18.339424394700778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96" t="s">
        <v>1</v>
      </c>
      <c r="BJ50" s="183"/>
    </row>
    <row r="51" spans="1:62" ht="12.5" customHeight="1" x14ac:dyDescent="0.35">
      <c r="A51" s="105"/>
      <c r="B51" s="163" t="s">
        <v>21</v>
      </c>
      <c r="C51" s="5" t="s">
        <v>5</v>
      </c>
      <c r="D51" s="5" t="s">
        <v>396</v>
      </c>
      <c r="E51" s="5" t="s">
        <v>307</v>
      </c>
      <c r="F51" s="5">
        <v>1063072</v>
      </c>
      <c r="G51" s="7" t="s">
        <v>448</v>
      </c>
      <c r="H51" s="164">
        <v>34609.822786917728</v>
      </c>
      <c r="I51" s="164">
        <v>17304.911393458864</v>
      </c>
      <c r="J51" s="114">
        <v>0</v>
      </c>
      <c r="K51" s="114">
        <v>17553.031999999999</v>
      </c>
      <c r="L51" s="165">
        <v>8776.5159999999996</v>
      </c>
      <c r="M51" s="115">
        <v>0.53028390561240657</v>
      </c>
      <c r="N51" s="165">
        <v>8528.3953934588644</v>
      </c>
      <c r="O51" s="165">
        <v>2.8954771259916998</v>
      </c>
      <c r="P51" s="115">
        <v>1.1196520525369504</v>
      </c>
      <c r="Q51" s="5">
        <v>16489</v>
      </c>
      <c r="R51" s="5">
        <v>800</v>
      </c>
      <c r="S51" s="5">
        <v>15687</v>
      </c>
      <c r="T51" s="5">
        <v>0</v>
      </c>
      <c r="U51" s="5">
        <v>0</v>
      </c>
      <c r="V51" s="5">
        <v>0</v>
      </c>
      <c r="W51" s="5">
        <v>0</v>
      </c>
      <c r="X51" s="114">
        <v>34609.822786917728</v>
      </c>
      <c r="Y51" s="114">
        <v>13.59758479254298</v>
      </c>
      <c r="Z51" s="114">
        <v>567.79078691772884</v>
      </c>
      <c r="AA51" s="166">
        <v>197968.19</v>
      </c>
      <c r="AB51" s="166">
        <v>89729.64</v>
      </c>
      <c r="AC51" s="167">
        <v>0.9835945190932226</v>
      </c>
      <c r="AD51" s="168"/>
      <c r="AE51" s="168">
        <v>10.101209577882004</v>
      </c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96" t="s">
        <v>1</v>
      </c>
      <c r="BJ51" s="183"/>
    </row>
    <row r="52" spans="1:62" ht="12.5" customHeight="1" x14ac:dyDescent="0.35">
      <c r="A52" s="105"/>
      <c r="B52" s="163" t="s">
        <v>27</v>
      </c>
      <c r="C52" s="5" t="s">
        <v>5</v>
      </c>
      <c r="D52" s="5" t="s">
        <v>312</v>
      </c>
      <c r="E52" s="5" t="s">
        <v>313</v>
      </c>
      <c r="F52" s="55">
        <v>1072352</v>
      </c>
      <c r="G52" s="64" t="s">
        <v>592</v>
      </c>
      <c r="H52" s="164">
        <v>64588.226079896296</v>
      </c>
      <c r="I52" s="164">
        <v>14726.115546216355</v>
      </c>
      <c r="J52" s="114">
        <v>0</v>
      </c>
      <c r="K52" s="114">
        <v>35578</v>
      </c>
      <c r="L52" s="165">
        <v>8111.7840000000006</v>
      </c>
      <c r="M52" s="115">
        <v>0.57220955339882806</v>
      </c>
      <c r="N52" s="165">
        <v>6614.3315462163546</v>
      </c>
      <c r="O52" s="165">
        <v>4.8588329849503769</v>
      </c>
      <c r="P52" s="115">
        <v>1.1854313604337203</v>
      </c>
      <c r="Q52" s="5">
        <v>30870</v>
      </c>
      <c r="R52" s="5">
        <v>1380</v>
      </c>
      <c r="S52" s="5">
        <v>29483</v>
      </c>
      <c r="T52" s="5">
        <v>0</v>
      </c>
      <c r="U52" s="5">
        <v>0</v>
      </c>
      <c r="V52" s="5">
        <v>0</v>
      </c>
      <c r="W52" s="5">
        <v>30</v>
      </c>
      <c r="X52" s="114">
        <v>64588.226079896289</v>
      </c>
      <c r="Y52" s="114">
        <v>13.694291571127483</v>
      </c>
      <c r="Z52" s="114">
        <v>-1859.7739201037039</v>
      </c>
      <c r="AA52" s="166">
        <v>140156.45000000001</v>
      </c>
      <c r="AB52" s="166">
        <v>64043.21</v>
      </c>
      <c r="AC52" s="167">
        <v>1.0287943179892129</v>
      </c>
      <c r="AD52" s="168"/>
      <c r="AE52" s="168">
        <v>4.7401500938086309</v>
      </c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96" t="s">
        <v>1</v>
      </c>
      <c r="BJ52" s="183"/>
    </row>
    <row r="53" spans="1:62" ht="12.75" customHeight="1" x14ac:dyDescent="0.35">
      <c r="A53" s="105"/>
      <c r="B53" s="163" t="s">
        <v>1</v>
      </c>
      <c r="C53" s="5" t="s">
        <v>50</v>
      </c>
      <c r="D53" s="5" t="s">
        <v>320</v>
      </c>
      <c r="E53" s="5" t="s">
        <v>402</v>
      </c>
      <c r="F53" s="5">
        <v>1060792</v>
      </c>
      <c r="G53" s="7" t="s">
        <v>429</v>
      </c>
      <c r="H53" s="164">
        <v>9021.503149760536</v>
      </c>
      <c r="I53" s="164">
        <v>1623.8705669568965</v>
      </c>
      <c r="J53" s="114">
        <v>0</v>
      </c>
      <c r="K53" s="114">
        <v>5306</v>
      </c>
      <c r="L53" s="165">
        <v>955.07999999999993</v>
      </c>
      <c r="M53" s="115">
        <v>0.70254367756533276</v>
      </c>
      <c r="N53" s="165">
        <v>668.79056695689655</v>
      </c>
      <c r="O53" s="165">
        <v>15.623338904542095</v>
      </c>
      <c r="P53" s="115">
        <v>1.5165241163483654</v>
      </c>
      <c r="Q53" s="5">
        <v>5264</v>
      </c>
      <c r="R53" s="5">
        <v>1032</v>
      </c>
      <c r="S53" s="5">
        <v>4232</v>
      </c>
      <c r="T53" s="5">
        <v>0</v>
      </c>
      <c r="U53" s="5">
        <v>0</v>
      </c>
      <c r="V53" s="5">
        <v>0</v>
      </c>
      <c r="W53" s="5">
        <v>0</v>
      </c>
      <c r="X53" s="114">
        <v>9021.503149760536</v>
      </c>
      <c r="Y53" s="114">
        <v>14.073042805884292</v>
      </c>
      <c r="Z53" s="114">
        <v>-1548.496850239464</v>
      </c>
      <c r="AA53" s="166">
        <v>62970.09</v>
      </c>
      <c r="AB53" s="166">
        <v>29539.360000000001</v>
      </c>
      <c r="AC53" s="167">
        <v>1.1716451044281426</v>
      </c>
      <c r="AD53" s="168"/>
      <c r="AE53" s="168" t="s">
        <v>574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95" t="s">
        <v>1</v>
      </c>
      <c r="BJ53" s="183"/>
    </row>
    <row r="54" spans="1:62" ht="12.75" customHeight="1" x14ac:dyDescent="0.35">
      <c r="A54" s="105"/>
      <c r="B54" s="163" t="s">
        <v>15</v>
      </c>
      <c r="C54" s="5" t="s">
        <v>5</v>
      </c>
      <c r="D54" s="5" t="s">
        <v>312</v>
      </c>
      <c r="E54" s="5" t="s">
        <v>315</v>
      </c>
      <c r="F54" s="5">
        <v>1078686</v>
      </c>
      <c r="G54" s="7" t="s">
        <v>720</v>
      </c>
      <c r="H54" s="164">
        <v>30.001300000000001</v>
      </c>
      <c r="I54" s="164">
        <v>3.1501364999999999</v>
      </c>
      <c r="J54" s="114">
        <v>0</v>
      </c>
      <c r="K54" s="114">
        <v>2458</v>
      </c>
      <c r="L54" s="165">
        <v>258.08999999999997</v>
      </c>
      <c r="M54" s="115">
        <v>86.929566385456624</v>
      </c>
      <c r="N54" s="165">
        <v>254.93986349999997</v>
      </c>
      <c r="O54" s="165">
        <v>107.97091101662014</v>
      </c>
      <c r="P54" s="115">
        <v>1.0579260599607541</v>
      </c>
      <c r="Q54" s="5">
        <v>1782</v>
      </c>
      <c r="R54" s="5">
        <v>150</v>
      </c>
      <c r="S54" s="5">
        <v>1632</v>
      </c>
      <c r="T54" s="5">
        <v>0</v>
      </c>
      <c r="U54" s="5">
        <v>0</v>
      </c>
      <c r="V54" s="5">
        <v>0</v>
      </c>
      <c r="W54" s="5">
        <v>0</v>
      </c>
      <c r="X54" s="114">
        <v>3477.333333333333</v>
      </c>
      <c r="Y54" s="114">
        <v>14.079754601226997</v>
      </c>
      <c r="Z54" s="114">
        <v>-4209.9987000000001</v>
      </c>
      <c r="AA54" s="166">
        <v>42</v>
      </c>
      <c r="AB54" s="166">
        <v>2284.8000000000002</v>
      </c>
      <c r="AC54" s="167">
        <v>141.32720915426998</v>
      </c>
      <c r="AD54" s="168"/>
      <c r="AE54" s="168">
        <v>104.89112227805695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96" t="s">
        <v>1</v>
      </c>
      <c r="BJ54" s="183"/>
    </row>
    <row r="55" spans="1:62" ht="12.75" customHeight="1" x14ac:dyDescent="0.35">
      <c r="A55" s="105"/>
      <c r="B55" s="163" t="s">
        <v>1</v>
      </c>
      <c r="C55" s="5" t="s">
        <v>2</v>
      </c>
      <c r="D55" s="5" t="s">
        <v>306</v>
      </c>
      <c r="E55" s="5" t="s">
        <v>401</v>
      </c>
      <c r="F55" s="5">
        <v>1075854</v>
      </c>
      <c r="G55" s="7" t="s">
        <v>689</v>
      </c>
      <c r="H55" s="164">
        <v>36523.69741020193</v>
      </c>
      <c r="I55" s="164">
        <v>13148.531067672695</v>
      </c>
      <c r="J55" s="114">
        <v>0</v>
      </c>
      <c r="K55" s="114">
        <v>12874</v>
      </c>
      <c r="L55" s="165">
        <v>4634.6399999999994</v>
      </c>
      <c r="M55" s="115">
        <v>0.37548224775757111</v>
      </c>
      <c r="N55" s="165">
        <v>8513.8910676726955</v>
      </c>
      <c r="O55" s="165">
        <v>4.8876005053823128</v>
      </c>
      <c r="P55" s="115">
        <v>1.3226647771786719</v>
      </c>
      <c r="Q55" s="5">
        <v>18178</v>
      </c>
      <c r="R55" s="5">
        <v>840</v>
      </c>
      <c r="S55" s="5">
        <v>17338</v>
      </c>
      <c r="T55" s="5">
        <v>0</v>
      </c>
      <c r="U55" s="5">
        <v>0</v>
      </c>
      <c r="V55" s="5">
        <v>0</v>
      </c>
      <c r="W55" s="5">
        <v>0</v>
      </c>
      <c r="X55" s="114">
        <v>36523.69741020193</v>
      </c>
      <c r="Y55" s="114">
        <v>14.24116496635723</v>
      </c>
      <c r="Z55" s="114">
        <v>5471.6974102019303</v>
      </c>
      <c r="AA55" s="166">
        <v>165087.10999999999</v>
      </c>
      <c r="AB55" s="166">
        <v>78367.759999999995</v>
      </c>
      <c r="AC55" s="167">
        <v>0.85018774663614538</v>
      </c>
      <c r="AD55" s="168"/>
      <c r="AE55" s="168">
        <v>31.309116809116805</v>
      </c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96" t="s">
        <v>1</v>
      </c>
      <c r="BJ55" s="183" t="s">
        <v>821</v>
      </c>
    </row>
    <row r="56" spans="1:62" ht="12.5" customHeight="1" x14ac:dyDescent="0.35">
      <c r="A56" s="105"/>
      <c r="B56" s="163" t="s">
        <v>4</v>
      </c>
      <c r="C56" s="5" t="s">
        <v>5</v>
      </c>
      <c r="D56" s="5" t="s">
        <v>308</v>
      </c>
      <c r="E56" s="5" t="s">
        <v>314</v>
      </c>
      <c r="F56" s="5">
        <v>1075503</v>
      </c>
      <c r="G56" s="7" t="s">
        <v>643</v>
      </c>
      <c r="H56" s="164">
        <v>352631.38953647052</v>
      </c>
      <c r="I56" s="164">
        <v>70526.277907294105</v>
      </c>
      <c r="J56" s="114">
        <v>0</v>
      </c>
      <c r="K56" s="114">
        <v>169466</v>
      </c>
      <c r="L56" s="165">
        <v>33893.200000000004</v>
      </c>
      <c r="M56" s="115">
        <v>0.53148983772080305</v>
      </c>
      <c r="N56" s="165">
        <v>36633.0779072941</v>
      </c>
      <c r="O56" s="165">
        <v>15.11938573309733</v>
      </c>
      <c r="P56" s="115">
        <v>2.4212176221740624</v>
      </c>
      <c r="Q56" s="5">
        <v>186568</v>
      </c>
      <c r="R56" s="5">
        <v>17954</v>
      </c>
      <c r="S56" s="5">
        <v>168614</v>
      </c>
      <c r="T56" s="5">
        <v>0</v>
      </c>
      <c r="U56" s="5">
        <v>0</v>
      </c>
      <c r="V56" s="5">
        <v>0</v>
      </c>
      <c r="W56" s="5">
        <v>1</v>
      </c>
      <c r="X56" s="114">
        <v>352631.38953647052</v>
      </c>
      <c r="Y56" s="114">
        <v>14.344780839417695</v>
      </c>
      <c r="Z56" s="114">
        <v>-3402.610463529476</v>
      </c>
      <c r="AA56" s="166">
        <v>818104.82</v>
      </c>
      <c r="AB56" s="166">
        <v>391186.8</v>
      </c>
      <c r="AC56" s="167">
        <v>1.0096491990347263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95" t="s">
        <v>1</v>
      </c>
      <c r="BJ56" s="183"/>
    </row>
    <row r="57" spans="1:62" ht="14" customHeight="1" x14ac:dyDescent="0.35">
      <c r="A57" s="105"/>
      <c r="B57" s="163" t="s">
        <v>148</v>
      </c>
      <c r="C57" s="5" t="s">
        <v>5</v>
      </c>
      <c r="D57" s="5" t="s">
        <v>318</v>
      </c>
      <c r="E57" s="5" t="s">
        <v>307</v>
      </c>
      <c r="F57" s="112">
        <v>1079366</v>
      </c>
      <c r="G57" s="113" t="s">
        <v>719</v>
      </c>
      <c r="H57" s="164">
        <v>49073</v>
      </c>
      <c r="I57" s="164">
        <v>41712.049999999996</v>
      </c>
      <c r="J57" s="114">
        <v>0</v>
      </c>
      <c r="K57" s="114">
        <v>440</v>
      </c>
      <c r="L57" s="165">
        <v>374</v>
      </c>
      <c r="M57" s="115">
        <v>8.0247794102663375E-2</v>
      </c>
      <c r="N57" s="165">
        <v>41338.049999999996</v>
      </c>
      <c r="O57" s="165">
        <v>0</v>
      </c>
      <c r="P57" s="115">
        <v>0.22202700203439985</v>
      </c>
      <c r="Q57" s="5">
        <v>27562</v>
      </c>
      <c r="R57" s="5">
        <v>3498</v>
      </c>
      <c r="S57" s="5">
        <v>24064</v>
      </c>
      <c r="T57" s="5">
        <v>2670</v>
      </c>
      <c r="U57" s="5">
        <v>0</v>
      </c>
      <c r="V57" s="5">
        <v>0</v>
      </c>
      <c r="W57" s="5">
        <v>0</v>
      </c>
      <c r="X57" s="114">
        <v>49073</v>
      </c>
      <c r="Y57" s="114">
        <v>14.711144621278503</v>
      </c>
      <c r="Z57" s="114">
        <v>18401</v>
      </c>
      <c r="AA57" s="166">
        <v>435277.51</v>
      </c>
      <c r="AB57" s="166">
        <v>237130.58</v>
      </c>
      <c r="AC57" s="167">
        <v>0.62502801948118103</v>
      </c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96" t="s">
        <v>1</v>
      </c>
      <c r="BJ57" s="183"/>
    </row>
    <row r="58" spans="1:62" ht="12.75" customHeight="1" x14ac:dyDescent="0.35">
      <c r="A58" s="105"/>
      <c r="B58" s="163" t="s">
        <v>1</v>
      </c>
      <c r="C58" s="5" t="s">
        <v>50</v>
      </c>
      <c r="D58" s="5" t="s">
        <v>316</v>
      </c>
      <c r="E58" s="5" t="s">
        <v>408</v>
      </c>
      <c r="F58" s="5">
        <v>1060662</v>
      </c>
      <c r="G58" s="7" t="s">
        <v>426</v>
      </c>
      <c r="H58" s="164">
        <v>2164.1550615642545</v>
      </c>
      <c r="I58" s="164">
        <v>4934.2735403665001</v>
      </c>
      <c r="J58" s="114">
        <v>0</v>
      </c>
      <c r="K58" s="114">
        <v>950</v>
      </c>
      <c r="L58" s="165">
        <v>2166</v>
      </c>
      <c r="M58" s="115">
        <v>0.57759262365262221</v>
      </c>
      <c r="N58" s="165">
        <v>2768.2735403665001</v>
      </c>
      <c r="O58" s="165">
        <v>0</v>
      </c>
      <c r="P58" s="115">
        <v>0.72334683837531744</v>
      </c>
      <c r="Q58" s="5">
        <v>1407</v>
      </c>
      <c r="R58" s="5">
        <v>300</v>
      </c>
      <c r="S58" s="5">
        <v>1107</v>
      </c>
      <c r="T58" s="5">
        <v>0</v>
      </c>
      <c r="U58" s="5">
        <v>0</v>
      </c>
      <c r="V58" s="5">
        <v>0</v>
      </c>
      <c r="W58" s="5">
        <v>0</v>
      </c>
      <c r="X58" s="114">
        <v>2164.1550615642545</v>
      </c>
      <c r="Y58" s="114">
        <v>15.345480825202868</v>
      </c>
      <c r="Z58" s="114">
        <v>-192.84493843574546</v>
      </c>
      <c r="AA58" s="166">
        <v>26770.6</v>
      </c>
      <c r="AB58" s="166">
        <v>13693.59</v>
      </c>
      <c r="AC58" s="167">
        <v>1.0891086511593846</v>
      </c>
      <c r="AD58" s="168"/>
      <c r="AE58" s="168">
        <v>0</v>
      </c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96" t="s">
        <v>1</v>
      </c>
      <c r="BJ58" s="183"/>
    </row>
    <row r="59" spans="1:62" ht="12.5" customHeight="1" x14ac:dyDescent="0.35">
      <c r="A59" s="105"/>
      <c r="B59" s="163" t="s">
        <v>31</v>
      </c>
      <c r="C59" s="5" t="s">
        <v>5</v>
      </c>
      <c r="D59" s="5" t="s">
        <v>306</v>
      </c>
      <c r="E59" s="5" t="s">
        <v>307</v>
      </c>
      <c r="F59" s="5">
        <v>1071764</v>
      </c>
      <c r="G59" s="7" t="s">
        <v>604</v>
      </c>
      <c r="H59" s="164">
        <v>8560.6585386186744</v>
      </c>
      <c r="I59" s="164">
        <v>3081.8370739027228</v>
      </c>
      <c r="J59" s="114">
        <v>0</v>
      </c>
      <c r="K59" s="114">
        <v>4225</v>
      </c>
      <c r="L59" s="165">
        <v>1521</v>
      </c>
      <c r="M59" s="115">
        <v>0.51596497863734625</v>
      </c>
      <c r="N59" s="165">
        <v>1560.8370739027228</v>
      </c>
      <c r="O59" s="165">
        <v>0</v>
      </c>
      <c r="P59" s="115">
        <v>0.92594896659440995</v>
      </c>
      <c r="Q59" s="5">
        <v>4591</v>
      </c>
      <c r="R59" s="5">
        <v>192</v>
      </c>
      <c r="S59" s="5">
        <v>4399</v>
      </c>
      <c r="T59" s="5">
        <v>0</v>
      </c>
      <c r="U59" s="5">
        <v>12</v>
      </c>
      <c r="V59" s="5">
        <v>0</v>
      </c>
      <c r="W59" s="5">
        <v>0</v>
      </c>
      <c r="X59" s="114">
        <v>8560.6585386186744</v>
      </c>
      <c r="Y59" s="114">
        <v>15.415870099789583</v>
      </c>
      <c r="Z59" s="114">
        <v>-255.34146138132564</v>
      </c>
      <c r="AA59" s="166">
        <v>59924.61</v>
      </c>
      <c r="AB59" s="166">
        <v>30877</v>
      </c>
      <c r="AC59" s="167">
        <v>1.029827315296999</v>
      </c>
      <c r="AD59" s="168"/>
      <c r="AE59" s="168"/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96"/>
      <c r="BJ59" s="183"/>
    </row>
    <row r="60" spans="1:62" ht="12.75" customHeight="1" x14ac:dyDescent="0.35">
      <c r="A60" s="105"/>
      <c r="B60" s="163" t="s">
        <v>31</v>
      </c>
      <c r="C60" s="5" t="s">
        <v>5</v>
      </c>
      <c r="D60" s="5" t="s">
        <v>306</v>
      </c>
      <c r="E60" s="5" t="s">
        <v>404</v>
      </c>
      <c r="F60" s="5">
        <v>1072598</v>
      </c>
      <c r="G60" s="7" t="s">
        <v>608</v>
      </c>
      <c r="H60" s="164">
        <v>19796.575242424195</v>
      </c>
      <c r="I60" s="164">
        <v>2969.486286363629</v>
      </c>
      <c r="J60" s="114">
        <v>0</v>
      </c>
      <c r="K60" s="114">
        <v>13872</v>
      </c>
      <c r="L60" s="165">
        <v>2080.7999999999997</v>
      </c>
      <c r="M60" s="115">
        <v>0.80983704523009192</v>
      </c>
      <c r="N60" s="165">
        <v>888.68628636362928</v>
      </c>
      <c r="O60" s="165">
        <v>6.7063490074163266</v>
      </c>
      <c r="P60" s="115">
        <v>1.2492273818096709</v>
      </c>
      <c r="Q60" s="5">
        <v>13234</v>
      </c>
      <c r="R60" s="5">
        <v>2160</v>
      </c>
      <c r="S60" s="5">
        <v>11074</v>
      </c>
      <c r="T60" s="5">
        <v>0</v>
      </c>
      <c r="U60" s="5">
        <v>0</v>
      </c>
      <c r="V60" s="5">
        <v>0</v>
      </c>
      <c r="W60" s="5">
        <v>1</v>
      </c>
      <c r="X60" s="114">
        <v>21376</v>
      </c>
      <c r="Y60" s="114">
        <v>15.541729041916167</v>
      </c>
      <c r="Z60" s="114">
        <v>-7309.4247575758054</v>
      </c>
      <c r="AA60" s="166">
        <v>28507.07</v>
      </c>
      <c r="AB60" s="166">
        <v>15948</v>
      </c>
      <c r="AC60" s="167">
        <v>1.3692267307888517</v>
      </c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95" t="s">
        <v>1</v>
      </c>
      <c r="BJ60" s="183"/>
    </row>
    <row r="61" spans="1:62" ht="12.75" customHeight="1" x14ac:dyDescent="0.35">
      <c r="A61" s="105"/>
      <c r="B61" s="163" t="s">
        <v>4</v>
      </c>
      <c r="C61" s="5" t="s">
        <v>5</v>
      </c>
      <c r="D61" s="5" t="s">
        <v>308</v>
      </c>
      <c r="E61" s="5" t="s">
        <v>315</v>
      </c>
      <c r="F61" s="5">
        <v>1071156</v>
      </c>
      <c r="G61" s="3" t="s">
        <v>616</v>
      </c>
      <c r="H61" s="164">
        <v>23618.789150673896</v>
      </c>
      <c r="I61" s="164">
        <v>4251.3820471213012</v>
      </c>
      <c r="J61" s="114">
        <v>0</v>
      </c>
      <c r="K61" s="114">
        <v>17740</v>
      </c>
      <c r="L61" s="165">
        <v>3193.2</v>
      </c>
      <c r="M61" s="115">
        <v>0.76786324160409125</v>
      </c>
      <c r="N61" s="165">
        <v>1058.1820471213014</v>
      </c>
      <c r="O61" s="165">
        <v>4.3677721199777801</v>
      </c>
      <c r="P61" s="115">
        <v>1.1712228110698926</v>
      </c>
      <c r="Q61" s="5">
        <v>13154</v>
      </c>
      <c r="R61" s="5">
        <v>396</v>
      </c>
      <c r="S61" s="5">
        <v>12758</v>
      </c>
      <c r="T61" s="5">
        <v>1620</v>
      </c>
      <c r="U61" s="5">
        <v>0</v>
      </c>
      <c r="V61" s="5">
        <v>0</v>
      </c>
      <c r="W61" s="5">
        <v>0</v>
      </c>
      <c r="X61" s="114">
        <v>24181.333333333328</v>
      </c>
      <c r="Y61" s="114">
        <v>15.827911336568155</v>
      </c>
      <c r="Z61" s="114">
        <v>-8895.2108493261039</v>
      </c>
      <c r="AA61" s="166">
        <v>90932.34</v>
      </c>
      <c r="AB61" s="166">
        <v>55355.3</v>
      </c>
      <c r="AC61" s="167">
        <v>1.3766158710584155</v>
      </c>
      <c r="AD61" s="168"/>
      <c r="AE61" s="168">
        <v>14.604715532689871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96" t="s">
        <v>1</v>
      </c>
      <c r="BJ61" s="183"/>
    </row>
    <row r="62" spans="1:62" ht="12.75" customHeight="1" x14ac:dyDescent="0.35">
      <c r="A62" s="105"/>
      <c r="B62" s="163" t="s">
        <v>4</v>
      </c>
      <c r="C62" s="5" t="s">
        <v>5</v>
      </c>
      <c r="D62" s="5" t="s">
        <v>308</v>
      </c>
      <c r="E62" s="5" t="s">
        <v>314</v>
      </c>
      <c r="F62" s="5">
        <v>1075137</v>
      </c>
      <c r="G62" s="7" t="s">
        <v>652</v>
      </c>
      <c r="H62" s="164">
        <v>15488.341256209749</v>
      </c>
      <c r="I62" s="164">
        <v>2230.3211408942038</v>
      </c>
      <c r="J62" s="114">
        <v>0</v>
      </c>
      <c r="K62" s="114">
        <v>10150</v>
      </c>
      <c r="L62" s="165">
        <v>1461.6</v>
      </c>
      <c r="M62" s="115">
        <v>0.70956597728590032</v>
      </c>
      <c r="N62" s="165">
        <v>768.72114089420393</v>
      </c>
      <c r="O62" s="165">
        <v>0</v>
      </c>
      <c r="P62" s="115">
        <v>0.61452529903786657</v>
      </c>
      <c r="Q62" s="5">
        <v>9431</v>
      </c>
      <c r="R62" s="5">
        <v>840</v>
      </c>
      <c r="S62" s="5">
        <v>8591</v>
      </c>
      <c r="T62" s="5">
        <v>0</v>
      </c>
      <c r="U62" s="5">
        <v>0</v>
      </c>
      <c r="V62" s="5">
        <v>0</v>
      </c>
      <c r="W62" s="5">
        <v>0</v>
      </c>
      <c r="X62" s="114">
        <v>15488.341256209749</v>
      </c>
      <c r="Y62" s="114">
        <v>16.640258355404466</v>
      </c>
      <c r="Z62" s="114">
        <v>-4092.6587437902508</v>
      </c>
      <c r="AA62" s="166">
        <v>39959.919999999998</v>
      </c>
      <c r="AB62" s="166">
        <v>22164.78</v>
      </c>
      <c r="AC62" s="167">
        <v>1.2642412557993825</v>
      </c>
      <c r="AD62" s="168"/>
      <c r="AE62" s="168">
        <v>339.04983660130716</v>
      </c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96" t="s">
        <v>1</v>
      </c>
      <c r="BJ62" s="183"/>
    </row>
    <row r="63" spans="1:62" ht="12.75" customHeight="1" x14ac:dyDescent="0.35">
      <c r="A63" s="105"/>
      <c r="B63" s="163" t="s">
        <v>31</v>
      </c>
      <c r="C63" s="5" t="s">
        <v>5</v>
      </c>
      <c r="D63" s="5" t="s">
        <v>306</v>
      </c>
      <c r="E63" s="5" t="s">
        <v>307</v>
      </c>
      <c r="F63" s="5">
        <v>1074077</v>
      </c>
      <c r="G63" s="7" t="s">
        <v>696</v>
      </c>
      <c r="H63" s="164">
        <v>32045.20277449823</v>
      </c>
      <c r="I63" s="164">
        <v>5960.4077160566703</v>
      </c>
      <c r="J63" s="114">
        <v>0</v>
      </c>
      <c r="K63" s="114">
        <v>17872</v>
      </c>
      <c r="L63" s="165">
        <v>3324.192</v>
      </c>
      <c r="M63" s="115">
        <v>0.56969525605649274</v>
      </c>
      <c r="N63" s="165">
        <v>2636.2157160566703</v>
      </c>
      <c r="O63" s="165">
        <v>0</v>
      </c>
      <c r="P63" s="115">
        <v>0.97081035429919083</v>
      </c>
      <c r="Q63" s="5">
        <v>18236</v>
      </c>
      <c r="R63" s="5">
        <v>384</v>
      </c>
      <c r="S63" s="5">
        <v>17852</v>
      </c>
      <c r="T63" s="5">
        <v>2904</v>
      </c>
      <c r="U63" s="5">
        <v>0</v>
      </c>
      <c r="V63" s="5">
        <v>0</v>
      </c>
      <c r="W63" s="5">
        <v>0</v>
      </c>
      <c r="X63" s="114">
        <v>32045.202774498226</v>
      </c>
      <c r="Y63" s="114">
        <v>16.71264194421644</v>
      </c>
      <c r="Z63" s="114">
        <v>-6966.7972255017703</v>
      </c>
      <c r="AA63" s="166">
        <v>101903.74</v>
      </c>
      <c r="AB63" s="166">
        <v>66004.08</v>
      </c>
      <c r="AC63" s="167">
        <v>1.2174053094476278</v>
      </c>
      <c r="AD63" s="168"/>
      <c r="AE63" s="168" t="s">
        <v>574</v>
      </c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95" t="s">
        <v>1</v>
      </c>
      <c r="BJ63" s="183"/>
    </row>
    <row r="64" spans="1:62" ht="12" customHeight="1" x14ac:dyDescent="0.35">
      <c r="A64" s="105"/>
      <c r="B64" s="163" t="s">
        <v>27</v>
      </c>
      <c r="C64" s="5" t="s">
        <v>5</v>
      </c>
      <c r="D64" s="5" t="s">
        <v>312</v>
      </c>
      <c r="E64" s="5" t="s">
        <v>313</v>
      </c>
      <c r="F64" s="5">
        <v>1072811</v>
      </c>
      <c r="G64" s="3" t="s">
        <v>606</v>
      </c>
      <c r="H64" s="164">
        <v>78455.474890217287</v>
      </c>
      <c r="I64" s="164">
        <v>17887.848274969543</v>
      </c>
      <c r="J64" s="114">
        <v>0</v>
      </c>
      <c r="K64" s="114">
        <v>24067</v>
      </c>
      <c r="L64" s="165">
        <v>5487.2759999999998</v>
      </c>
      <c r="M64" s="115">
        <v>0.35188111522657234</v>
      </c>
      <c r="N64" s="165">
        <v>12400.572274969543</v>
      </c>
      <c r="O64" s="165">
        <v>1.8727119803958034</v>
      </c>
      <c r="P64" s="115">
        <v>1.0728353060539924</v>
      </c>
      <c r="Q64" s="5">
        <v>47475</v>
      </c>
      <c r="R64" s="5">
        <v>3540</v>
      </c>
      <c r="S64" s="5">
        <v>43935</v>
      </c>
      <c r="T64" s="5">
        <v>0</v>
      </c>
      <c r="U64" s="5">
        <v>0</v>
      </c>
      <c r="V64" s="5">
        <v>0</v>
      </c>
      <c r="W64" s="5">
        <v>0</v>
      </c>
      <c r="X64" s="114">
        <v>78455.474890217287</v>
      </c>
      <c r="Y64" s="114">
        <v>16.799974786263761</v>
      </c>
      <c r="Z64" s="114">
        <v>6913.4748902172869</v>
      </c>
      <c r="AA64" s="166">
        <v>156126.39999999999</v>
      </c>
      <c r="AB64" s="166">
        <v>87430.65</v>
      </c>
      <c r="AC64" s="167">
        <v>0.91188027476869771</v>
      </c>
      <c r="AD64" s="168"/>
      <c r="AE64" s="168">
        <v>46.744578313253015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96" t="s">
        <v>1</v>
      </c>
      <c r="BJ64" s="183"/>
    </row>
    <row r="65" spans="1:62" ht="12.75" customHeight="1" x14ac:dyDescent="0.35">
      <c r="A65" s="105"/>
      <c r="B65" s="163" t="s">
        <v>148</v>
      </c>
      <c r="C65" s="5" t="s">
        <v>5</v>
      </c>
      <c r="D65" s="5" t="s">
        <v>318</v>
      </c>
      <c r="E65" s="5" t="s">
        <v>307</v>
      </c>
      <c r="F65" s="112">
        <v>1079365</v>
      </c>
      <c r="G65" s="184" t="s">
        <v>718</v>
      </c>
      <c r="H65" s="164">
        <v>176967</v>
      </c>
      <c r="I65" s="164">
        <v>150421.94999999998</v>
      </c>
      <c r="J65" s="114">
        <v>0</v>
      </c>
      <c r="K65" s="114">
        <v>3271</v>
      </c>
      <c r="L65" s="165">
        <v>2780.35</v>
      </c>
      <c r="M65" s="115">
        <v>7.6347567625602519E-2</v>
      </c>
      <c r="N65" s="165">
        <v>147641.59999999998</v>
      </c>
      <c r="O65" s="165">
        <v>0</v>
      </c>
      <c r="P65" s="115">
        <v>0.19056917097027318</v>
      </c>
      <c r="Q65" s="5">
        <v>109371</v>
      </c>
      <c r="R65" s="5">
        <v>10240</v>
      </c>
      <c r="S65" s="5">
        <v>99131</v>
      </c>
      <c r="T65" s="5">
        <v>10710</v>
      </c>
      <c r="U65" s="5">
        <v>0</v>
      </c>
      <c r="V65" s="5">
        <v>0</v>
      </c>
      <c r="W65" s="5">
        <v>0</v>
      </c>
      <c r="X65" s="114">
        <v>176967</v>
      </c>
      <c r="Y65" s="114">
        <v>16.804997541914595</v>
      </c>
      <c r="Z65" s="114">
        <v>53615</v>
      </c>
      <c r="AA65" s="166">
        <v>1339640.19</v>
      </c>
      <c r="AB65" s="166">
        <v>831496.37</v>
      </c>
      <c r="AC65" s="167">
        <v>0.6970339102770573</v>
      </c>
      <c r="AD65" s="168"/>
      <c r="AE65" s="168"/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95"/>
      <c r="BJ65" s="183"/>
    </row>
    <row r="66" spans="1:62" ht="12.75" customHeight="1" x14ac:dyDescent="0.35">
      <c r="A66" s="105"/>
      <c r="B66" s="163" t="s">
        <v>22</v>
      </c>
      <c r="C66" s="5" t="s">
        <v>5</v>
      </c>
      <c r="D66" s="5" t="s">
        <v>396</v>
      </c>
      <c r="E66" s="5" t="s">
        <v>397</v>
      </c>
      <c r="F66" s="5">
        <v>1051097</v>
      </c>
      <c r="G66" s="7" t="s">
        <v>187</v>
      </c>
      <c r="H66" s="164">
        <v>2517.6325989881461</v>
      </c>
      <c r="I66" s="164">
        <v>2517.6325989881461</v>
      </c>
      <c r="J66" s="114">
        <v>0</v>
      </c>
      <c r="K66" s="114">
        <v>1955</v>
      </c>
      <c r="L66" s="165">
        <v>1955</v>
      </c>
      <c r="M66" s="115">
        <v>0.78843910775455683</v>
      </c>
      <c r="N66" s="165">
        <v>562.63259898814613</v>
      </c>
      <c r="O66" s="165">
        <v>5.7351674820593415</v>
      </c>
      <c r="P66" s="115">
        <v>1.1867899890925415</v>
      </c>
      <c r="Q66" s="5">
        <v>1569</v>
      </c>
      <c r="R66" s="5">
        <v>30</v>
      </c>
      <c r="S66" s="5">
        <v>1539</v>
      </c>
      <c r="T66" s="5">
        <v>0</v>
      </c>
      <c r="U66" s="5">
        <v>0</v>
      </c>
      <c r="V66" s="5">
        <v>0</v>
      </c>
      <c r="W66" s="5">
        <v>0</v>
      </c>
      <c r="X66" s="114">
        <v>2646.6666666666665</v>
      </c>
      <c r="Y66" s="114">
        <v>17.444584382871536</v>
      </c>
      <c r="Z66" s="114">
        <v>-1006.3674010118539</v>
      </c>
      <c r="AA66" s="166">
        <v>51259</v>
      </c>
      <c r="AB66" s="166">
        <v>31334.04</v>
      </c>
      <c r="AC66" s="167">
        <v>1.3997276653536819</v>
      </c>
      <c r="AD66" s="168"/>
      <c r="AE66" s="168">
        <v>0</v>
      </c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96" t="s">
        <v>1</v>
      </c>
      <c r="BJ66" s="183"/>
    </row>
    <row r="67" spans="1:62" ht="12.5" customHeight="1" x14ac:dyDescent="0.35">
      <c r="A67" s="105"/>
      <c r="B67" s="163" t="s">
        <v>27</v>
      </c>
      <c r="C67" s="5" t="s">
        <v>5</v>
      </c>
      <c r="D67" s="5" t="s">
        <v>312</v>
      </c>
      <c r="E67" s="5" t="s">
        <v>313</v>
      </c>
      <c r="F67" s="5">
        <v>1052861</v>
      </c>
      <c r="G67" s="7" t="s">
        <v>196</v>
      </c>
      <c r="H67" s="164">
        <v>19530.429103499744</v>
      </c>
      <c r="I67" s="164">
        <v>898.39973876098816</v>
      </c>
      <c r="J67" s="114">
        <v>0</v>
      </c>
      <c r="K67" s="114">
        <v>19756</v>
      </c>
      <c r="L67" s="165">
        <v>908.77599999999995</v>
      </c>
      <c r="M67" s="115">
        <v>1.011549715334203</v>
      </c>
      <c r="N67" s="165">
        <v>10.376261239011797</v>
      </c>
      <c r="O67" s="165">
        <v>26.236140736295823</v>
      </c>
      <c r="P67" s="115">
        <v>1.8534974365456907</v>
      </c>
      <c r="Q67" s="5">
        <v>15487</v>
      </c>
      <c r="R67" s="5">
        <v>0</v>
      </c>
      <c r="S67" s="5">
        <v>15487</v>
      </c>
      <c r="T67" s="5">
        <v>0</v>
      </c>
      <c r="U67" s="5">
        <v>0</v>
      </c>
      <c r="V67" s="5">
        <v>0</v>
      </c>
      <c r="W67" s="5">
        <v>0</v>
      </c>
      <c r="X67" s="114">
        <v>26341.333333333336</v>
      </c>
      <c r="Y67" s="114">
        <v>17.638059323749744</v>
      </c>
      <c r="Z67" s="114">
        <v>-15712.570896500256</v>
      </c>
      <c r="AA67" s="166">
        <v>9960.52</v>
      </c>
      <c r="AB67" s="166">
        <v>7898.37</v>
      </c>
      <c r="AC67" s="167">
        <v>1.8045174436891738</v>
      </c>
      <c r="AD67" s="168"/>
      <c r="AE67" s="168"/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96" t="s">
        <v>1</v>
      </c>
      <c r="BJ67" s="183"/>
    </row>
    <row r="68" spans="1:62" ht="12.75" customHeight="1" x14ac:dyDescent="0.35">
      <c r="A68" s="105"/>
      <c r="B68" s="163" t="s">
        <v>15</v>
      </c>
      <c r="C68" s="5" t="s">
        <v>5</v>
      </c>
      <c r="D68" s="5" t="s">
        <v>308</v>
      </c>
      <c r="E68" s="5" t="s">
        <v>315</v>
      </c>
      <c r="F68" s="5">
        <v>1058339</v>
      </c>
      <c r="G68" s="7" t="s">
        <v>232</v>
      </c>
      <c r="H68" s="164">
        <v>24768.029986324997</v>
      </c>
      <c r="I68" s="164">
        <v>7727.6253557333985</v>
      </c>
      <c r="J68" s="114">
        <v>0</v>
      </c>
      <c r="K68" s="114">
        <v>15226</v>
      </c>
      <c r="L68" s="165">
        <v>4750.5119999999997</v>
      </c>
      <c r="M68" s="115">
        <v>0.68160447194714091</v>
      </c>
      <c r="N68" s="165">
        <v>2977.1133557333987</v>
      </c>
      <c r="O68" s="165">
        <v>5.2052328273989783</v>
      </c>
      <c r="P68" s="115">
        <v>16.767284140046339</v>
      </c>
      <c r="Q68" s="5">
        <v>16267</v>
      </c>
      <c r="R68" s="5">
        <v>1656</v>
      </c>
      <c r="S68" s="5">
        <v>14611</v>
      </c>
      <c r="T68" s="5">
        <v>0</v>
      </c>
      <c r="U68" s="5">
        <v>0</v>
      </c>
      <c r="V68" s="5">
        <v>0</v>
      </c>
      <c r="W68" s="5">
        <v>0</v>
      </c>
      <c r="X68" s="114">
        <v>24768.029986324997</v>
      </c>
      <c r="Y68" s="114">
        <v>17.697410744496523</v>
      </c>
      <c r="Z68" s="114">
        <v>-6724.9700136750034</v>
      </c>
      <c r="AA68" s="166">
        <v>120372.63</v>
      </c>
      <c r="AB68" s="166">
        <v>71009.460000000006</v>
      </c>
      <c r="AC68" s="167">
        <v>1.2715181634303583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95" t="s">
        <v>1</v>
      </c>
      <c r="BJ68" s="183"/>
    </row>
    <row r="69" spans="1:62" ht="12.75" customHeight="1" x14ac:dyDescent="0.35">
      <c r="A69" s="105"/>
      <c r="B69" s="163" t="s">
        <v>1</v>
      </c>
      <c r="C69" s="5" t="s">
        <v>2</v>
      </c>
      <c r="D69" s="5" t="s">
        <v>310</v>
      </c>
      <c r="E69" s="5" t="s">
        <v>311</v>
      </c>
      <c r="F69" s="55">
        <v>1068803</v>
      </c>
      <c r="G69" s="64" t="s">
        <v>561</v>
      </c>
      <c r="H69" s="164">
        <v>19441.595953535158</v>
      </c>
      <c r="I69" s="164">
        <v>2916.2393930302737</v>
      </c>
      <c r="J69" s="114">
        <v>0</v>
      </c>
      <c r="K69" s="114">
        <v>11973</v>
      </c>
      <c r="L69" s="165">
        <v>1795.95</v>
      </c>
      <c r="M69" s="115">
        <v>0.62078236935098097</v>
      </c>
      <c r="N69" s="165">
        <v>1120.2893930302737</v>
      </c>
      <c r="O69" s="165">
        <v>7.9710044844568753</v>
      </c>
      <c r="P69" s="115">
        <v>1.2690804148299311</v>
      </c>
      <c r="Q69" s="5">
        <v>11583</v>
      </c>
      <c r="R69" s="5">
        <v>96</v>
      </c>
      <c r="S69" s="5">
        <v>11487</v>
      </c>
      <c r="T69" s="5">
        <v>0</v>
      </c>
      <c r="U69" s="5">
        <v>0</v>
      </c>
      <c r="V69" s="5">
        <v>16260</v>
      </c>
      <c r="W69" s="5">
        <v>30117</v>
      </c>
      <c r="X69" s="114">
        <v>19441.595953535158</v>
      </c>
      <c r="Y69" s="114">
        <v>17.725396661035841</v>
      </c>
      <c r="Z69" s="114">
        <v>-4114.4040464648424</v>
      </c>
      <c r="AA69" s="166">
        <v>41605.019999999997</v>
      </c>
      <c r="AB69" s="166">
        <v>123828.96</v>
      </c>
      <c r="AC69" s="167">
        <v>1.2116289247188423</v>
      </c>
      <c r="AD69" s="168"/>
      <c r="AE69" s="168">
        <v>29.433634992458529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96" t="s">
        <v>1</v>
      </c>
      <c r="BJ69" s="183"/>
    </row>
    <row r="70" spans="1:62" ht="12.75" customHeight="1" x14ac:dyDescent="0.35">
      <c r="A70" s="105"/>
      <c r="B70" s="163" t="s">
        <v>31</v>
      </c>
      <c r="C70" s="5" t="s">
        <v>5</v>
      </c>
      <c r="D70" s="5" t="s">
        <v>306</v>
      </c>
      <c r="E70" s="5" t="s">
        <v>307</v>
      </c>
      <c r="F70" s="55">
        <v>1075354</v>
      </c>
      <c r="G70" s="64" t="s">
        <v>670</v>
      </c>
      <c r="H70" s="164">
        <v>8970.2174190883052</v>
      </c>
      <c r="I70" s="164">
        <v>807.31956771794739</v>
      </c>
      <c r="J70" s="114">
        <v>0</v>
      </c>
      <c r="K70" s="114">
        <v>5132</v>
      </c>
      <c r="L70" s="165">
        <v>461.88</v>
      </c>
      <c r="M70" s="115">
        <v>0.60555945817332102</v>
      </c>
      <c r="N70" s="165">
        <v>345.4395677179474</v>
      </c>
      <c r="O70" s="165">
        <v>0.36808026247159725</v>
      </c>
      <c r="P70" s="115">
        <v>1.0108400770228381</v>
      </c>
      <c r="Q70" s="5">
        <v>5628</v>
      </c>
      <c r="R70" s="5">
        <v>300</v>
      </c>
      <c r="S70" s="5">
        <v>5328</v>
      </c>
      <c r="T70" s="5">
        <v>0</v>
      </c>
      <c r="U70" s="5">
        <v>0</v>
      </c>
      <c r="V70" s="5">
        <v>0</v>
      </c>
      <c r="W70" s="5">
        <v>0</v>
      </c>
      <c r="X70" s="114">
        <v>8970.2174190883052</v>
      </c>
      <c r="Y70" s="114">
        <v>17.818966088811418</v>
      </c>
      <c r="Z70" s="114">
        <v>-1789.7825809116948</v>
      </c>
      <c r="AA70" s="166">
        <v>15966.99</v>
      </c>
      <c r="AB70" s="166">
        <v>9483.84</v>
      </c>
      <c r="AC70" s="167">
        <v>1.199524994467035</v>
      </c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96" t="s">
        <v>1</v>
      </c>
      <c r="BJ70" s="183"/>
    </row>
    <row r="71" spans="1:62" ht="12.75" customHeight="1" x14ac:dyDescent="0.35">
      <c r="A71" s="105"/>
      <c r="B71" s="163" t="s">
        <v>27</v>
      </c>
      <c r="C71" s="5" t="s">
        <v>5</v>
      </c>
      <c r="D71" s="5" t="s">
        <v>312</v>
      </c>
      <c r="E71" s="5" t="s">
        <v>313</v>
      </c>
      <c r="F71" s="118">
        <v>1072351</v>
      </c>
      <c r="G71" s="119" t="s">
        <v>595</v>
      </c>
      <c r="H71" s="164">
        <v>268221.98205871019</v>
      </c>
      <c r="I71" s="164">
        <v>61154.611909385923</v>
      </c>
      <c r="J71" s="114">
        <v>0</v>
      </c>
      <c r="K71" s="114">
        <v>140809</v>
      </c>
      <c r="L71" s="165">
        <v>32104.452000000001</v>
      </c>
      <c r="M71" s="115">
        <v>0.55540936226245552</v>
      </c>
      <c r="N71" s="165">
        <v>29050.159909385922</v>
      </c>
      <c r="O71" s="165">
        <v>9.5104377701860727</v>
      </c>
      <c r="P71" s="115">
        <v>1.3512940828871753</v>
      </c>
      <c r="Q71" s="5">
        <v>168002</v>
      </c>
      <c r="R71" s="5">
        <v>8164</v>
      </c>
      <c r="S71" s="5">
        <v>159838</v>
      </c>
      <c r="T71" s="5">
        <v>13500</v>
      </c>
      <c r="U71" s="5">
        <v>0</v>
      </c>
      <c r="V71" s="5">
        <v>0</v>
      </c>
      <c r="W71" s="5">
        <v>0</v>
      </c>
      <c r="X71" s="114">
        <v>268221.98205871019</v>
      </c>
      <c r="Y71" s="114">
        <v>17.877505651085706</v>
      </c>
      <c r="Z71" s="114">
        <v>-54089.017941289814</v>
      </c>
      <c r="AA71" s="166">
        <v>514986.21</v>
      </c>
      <c r="AB71" s="166">
        <v>332808.96000000002</v>
      </c>
      <c r="AC71" s="167">
        <v>1.2016576625306217</v>
      </c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96" t="s">
        <v>1</v>
      </c>
      <c r="BJ71" s="183"/>
    </row>
    <row r="72" spans="1:62" ht="12.75" customHeight="1" x14ac:dyDescent="0.35">
      <c r="A72" s="105"/>
      <c r="B72" s="163" t="s">
        <v>4</v>
      </c>
      <c r="C72" s="5" t="s">
        <v>5</v>
      </c>
      <c r="D72" s="5" t="s">
        <v>308</v>
      </c>
      <c r="E72" s="5" t="s">
        <v>314</v>
      </c>
      <c r="F72" s="128">
        <v>1083030</v>
      </c>
      <c r="G72" s="129" t="s">
        <v>775</v>
      </c>
      <c r="H72" s="164">
        <v>120090.00000000001</v>
      </c>
      <c r="I72" s="164">
        <v>24018.000000000004</v>
      </c>
      <c r="J72" s="114">
        <v>0</v>
      </c>
      <c r="K72" s="114">
        <v>75703</v>
      </c>
      <c r="L72" s="165">
        <v>15140.6</v>
      </c>
      <c r="M72" s="115">
        <v>0.6866433508202181</v>
      </c>
      <c r="N72" s="165">
        <v>8877.4000000000033</v>
      </c>
      <c r="O72" s="165">
        <v>0</v>
      </c>
      <c r="P72" s="115">
        <v>0.1266799642894485</v>
      </c>
      <c r="Q72" s="5">
        <v>78505</v>
      </c>
      <c r="R72" s="5">
        <v>6756</v>
      </c>
      <c r="S72" s="5">
        <v>71749</v>
      </c>
      <c r="T72" s="5">
        <v>0</v>
      </c>
      <c r="U72" s="5">
        <v>0</v>
      </c>
      <c r="V72" s="5">
        <v>0</v>
      </c>
      <c r="W72" s="5">
        <v>0</v>
      </c>
      <c r="X72" s="114">
        <v>120090.00000000003</v>
      </c>
      <c r="Y72" s="114">
        <v>17.923807144641515</v>
      </c>
      <c r="Z72" s="114">
        <v>-34117.999999999985</v>
      </c>
      <c r="AA72" s="166">
        <v>506779.8</v>
      </c>
      <c r="AB72" s="166">
        <v>302780.78000000003</v>
      </c>
      <c r="AC72" s="167">
        <v>1.2841035889749353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95"/>
      <c r="BJ72" s="183"/>
    </row>
    <row r="73" spans="1:62" ht="12.75" customHeight="1" x14ac:dyDescent="0.35">
      <c r="A73" s="105"/>
      <c r="B73" s="163" t="s">
        <v>8</v>
      </c>
      <c r="C73" s="5" t="s">
        <v>5</v>
      </c>
      <c r="D73" s="5" t="s">
        <v>308</v>
      </c>
      <c r="E73" s="5" t="s">
        <v>309</v>
      </c>
      <c r="F73" s="5">
        <v>1079778</v>
      </c>
      <c r="G73" s="7" t="s">
        <v>749</v>
      </c>
      <c r="H73" s="164">
        <v>4367.8530833860186</v>
      </c>
      <c r="I73" s="164">
        <v>1257.9416880151732</v>
      </c>
      <c r="J73" s="114">
        <v>0</v>
      </c>
      <c r="K73" s="114">
        <v>1024.9960000000001</v>
      </c>
      <c r="L73" s="165">
        <v>295.198848</v>
      </c>
      <c r="M73" s="115">
        <v>0.3294515572131998</v>
      </c>
      <c r="N73" s="165">
        <v>962.74284001517321</v>
      </c>
      <c r="O73" s="165">
        <v>0</v>
      </c>
      <c r="P73" s="115">
        <v>0.88079320895182611</v>
      </c>
      <c r="Q73" s="5">
        <v>3024</v>
      </c>
      <c r="R73" s="5">
        <v>414</v>
      </c>
      <c r="S73" s="5">
        <v>2610</v>
      </c>
      <c r="T73" s="5">
        <v>0</v>
      </c>
      <c r="U73" s="5">
        <v>0</v>
      </c>
      <c r="V73" s="5">
        <v>0</v>
      </c>
      <c r="W73" s="5">
        <v>0</v>
      </c>
      <c r="X73" s="114">
        <v>4367.8530833860186</v>
      </c>
      <c r="Y73" s="114">
        <v>17.926427126825608</v>
      </c>
      <c r="Z73" s="114">
        <v>318.85708338601853</v>
      </c>
      <c r="AA73" s="166">
        <v>47129.13</v>
      </c>
      <c r="AB73" s="166">
        <v>28161.9</v>
      </c>
      <c r="AC73" s="167">
        <v>0.92699912810738672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95" t="s">
        <v>1</v>
      </c>
      <c r="BJ73" s="183"/>
    </row>
    <row r="74" spans="1:62" ht="12.75" customHeight="1" x14ac:dyDescent="0.35">
      <c r="A74" s="105"/>
      <c r="B74" s="163" t="s">
        <v>27</v>
      </c>
      <c r="C74" s="5" t="s">
        <v>5</v>
      </c>
      <c r="D74" s="5" t="s">
        <v>312</v>
      </c>
      <c r="E74" s="5" t="s">
        <v>313</v>
      </c>
      <c r="F74" s="5">
        <v>1072353</v>
      </c>
      <c r="G74" s="7" t="s">
        <v>598</v>
      </c>
      <c r="H74" s="164">
        <v>239161.70301653663</v>
      </c>
      <c r="I74" s="164">
        <v>72705.157717027134</v>
      </c>
      <c r="J74" s="114">
        <v>0</v>
      </c>
      <c r="K74" s="114">
        <v>48397</v>
      </c>
      <c r="L74" s="165">
        <v>14712.688</v>
      </c>
      <c r="M74" s="115">
        <v>0.25002748870652336</v>
      </c>
      <c r="N74" s="165">
        <v>57992.469717027132</v>
      </c>
      <c r="O74" s="165">
        <v>5.9973405266246509</v>
      </c>
      <c r="P74" s="115">
        <v>1.2435729249890848</v>
      </c>
      <c r="Q74" s="5">
        <v>154764</v>
      </c>
      <c r="R74" s="5">
        <v>11400</v>
      </c>
      <c r="S74" s="5">
        <v>143364</v>
      </c>
      <c r="T74" s="5">
        <v>0</v>
      </c>
      <c r="U74" s="5">
        <v>0</v>
      </c>
      <c r="V74" s="5">
        <v>0</v>
      </c>
      <c r="W74" s="5">
        <v>0</v>
      </c>
      <c r="X74" s="114">
        <v>239161.70301653663</v>
      </c>
      <c r="Y74" s="114">
        <v>17.983313991130998</v>
      </c>
      <c r="Z74" s="114">
        <v>36000.70301653663</v>
      </c>
      <c r="AA74" s="166">
        <v>619428.81000000006</v>
      </c>
      <c r="AB74" s="166">
        <v>371312.76</v>
      </c>
      <c r="AC74" s="167">
        <v>0.84947128841088992</v>
      </c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95"/>
      <c r="BJ74" s="183"/>
    </row>
    <row r="75" spans="1:62" ht="12.75" customHeight="1" x14ac:dyDescent="0.35">
      <c r="B75" s="163" t="s">
        <v>1</v>
      </c>
      <c r="C75" s="5" t="s">
        <v>5</v>
      </c>
      <c r="D75" s="5" t="s">
        <v>396</v>
      </c>
      <c r="E75" s="5" t="s">
        <v>397</v>
      </c>
      <c r="F75" s="5">
        <v>1071302</v>
      </c>
      <c r="G75" s="7" t="s">
        <v>685</v>
      </c>
      <c r="H75" s="164">
        <v>310.39273027148516</v>
      </c>
      <c r="I75" s="164">
        <v>1396.7672862216832</v>
      </c>
      <c r="J75" s="114">
        <v>0</v>
      </c>
      <c r="K75" s="114">
        <v>231</v>
      </c>
      <c r="L75" s="165">
        <v>1039.5</v>
      </c>
      <c r="M75" s="115">
        <v>0.77643571029904346</v>
      </c>
      <c r="N75" s="165">
        <v>357.26728622168321</v>
      </c>
      <c r="O75" s="165">
        <v>0</v>
      </c>
      <c r="P75" s="115">
        <v>0.68030796158620588</v>
      </c>
      <c r="Q75" s="5">
        <v>208</v>
      </c>
      <c r="R75" s="5">
        <v>10</v>
      </c>
      <c r="S75" s="5">
        <v>198</v>
      </c>
      <c r="T75" s="5">
        <v>0</v>
      </c>
      <c r="U75" s="5">
        <v>0</v>
      </c>
      <c r="V75" s="5">
        <v>0</v>
      </c>
      <c r="W75" s="5">
        <v>0</v>
      </c>
      <c r="X75" s="114">
        <v>321.33333333333331</v>
      </c>
      <c r="Y75" s="114">
        <v>18.485477178423238</v>
      </c>
      <c r="Z75" s="114">
        <v>-128.60726972851484</v>
      </c>
      <c r="AA75" s="166">
        <v>21640.58</v>
      </c>
      <c r="AB75" s="166">
        <v>13804.56</v>
      </c>
      <c r="AC75" s="167">
        <v>1.4143372482210792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95" t="s">
        <v>1</v>
      </c>
      <c r="BJ75" s="183"/>
    </row>
    <row r="76" spans="1:62" ht="12.75" customHeight="1" x14ac:dyDescent="0.35">
      <c r="A76" s="105"/>
      <c r="B76" s="163" t="s">
        <v>27</v>
      </c>
      <c r="C76" s="5" t="s">
        <v>5</v>
      </c>
      <c r="D76" s="5" t="s">
        <v>312</v>
      </c>
      <c r="E76" s="5" t="s">
        <v>313</v>
      </c>
      <c r="F76" s="125">
        <v>1076340</v>
      </c>
      <c r="G76" s="127" t="s">
        <v>651</v>
      </c>
      <c r="H76" s="164">
        <v>298.26548980715523</v>
      </c>
      <c r="I76" s="164">
        <v>1700.1132919007848</v>
      </c>
      <c r="J76" s="114">
        <v>0</v>
      </c>
      <c r="K76" s="114">
        <v>192</v>
      </c>
      <c r="L76" s="165">
        <v>1094.4000000000001</v>
      </c>
      <c r="M76" s="115">
        <v>0.64372180678407809</v>
      </c>
      <c r="N76" s="165">
        <v>605.71329190078472</v>
      </c>
      <c r="O76" s="165">
        <v>0</v>
      </c>
      <c r="P76" s="115">
        <v>0.64372180678407809</v>
      </c>
      <c r="Q76" s="5">
        <v>185</v>
      </c>
      <c r="R76" s="5">
        <v>0</v>
      </c>
      <c r="S76" s="5">
        <v>185</v>
      </c>
      <c r="T76" s="5">
        <v>0</v>
      </c>
      <c r="U76" s="5">
        <v>0</v>
      </c>
      <c r="V76" s="5">
        <v>0</v>
      </c>
      <c r="W76" s="5">
        <v>0</v>
      </c>
      <c r="X76" s="114">
        <v>298.26548980715523</v>
      </c>
      <c r="Y76" s="114">
        <v>18.607583477352257</v>
      </c>
      <c r="Z76" s="114">
        <v>-78.734510192844766</v>
      </c>
      <c r="AA76" s="166">
        <v>13156.49</v>
      </c>
      <c r="AB76" s="166">
        <v>8160.35</v>
      </c>
      <c r="AC76" s="167">
        <v>1.2639745893624867</v>
      </c>
      <c r="AD76" s="168"/>
      <c r="AE76" s="168">
        <v>20.158570908248073</v>
      </c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96" t="s">
        <v>1</v>
      </c>
      <c r="BJ76" s="183"/>
    </row>
    <row r="77" spans="1:62" ht="12.75" customHeight="1" x14ac:dyDescent="0.35">
      <c r="A77" s="105"/>
      <c r="B77" s="163" t="s">
        <v>15</v>
      </c>
      <c r="C77" s="5" t="s">
        <v>5</v>
      </c>
      <c r="D77" s="5" t="s">
        <v>308</v>
      </c>
      <c r="E77" s="5" t="s">
        <v>315</v>
      </c>
      <c r="F77" s="5">
        <v>1073438</v>
      </c>
      <c r="G77" s="7" t="s">
        <v>634</v>
      </c>
      <c r="H77" s="164">
        <v>59100.691802685658</v>
      </c>
      <c r="I77" s="164">
        <v>22694.665652231291</v>
      </c>
      <c r="J77" s="114">
        <v>0</v>
      </c>
      <c r="K77" s="114">
        <v>37955</v>
      </c>
      <c r="L77" s="165">
        <v>14574.720000000001</v>
      </c>
      <c r="M77" s="115">
        <v>0.68038120660666668</v>
      </c>
      <c r="N77" s="165">
        <v>8119.9456522312903</v>
      </c>
      <c r="O77" s="165">
        <v>0</v>
      </c>
      <c r="P77" s="115">
        <v>0.96285703677687362</v>
      </c>
      <c r="Q77" s="5">
        <v>39436</v>
      </c>
      <c r="R77" s="5">
        <v>2256</v>
      </c>
      <c r="S77" s="5">
        <v>37180</v>
      </c>
      <c r="T77" s="5">
        <v>0</v>
      </c>
      <c r="U77" s="5">
        <v>24</v>
      </c>
      <c r="V77" s="5">
        <v>0</v>
      </c>
      <c r="W77" s="5">
        <v>0</v>
      </c>
      <c r="X77" s="114">
        <v>59100.691802685658</v>
      </c>
      <c r="Y77" s="114">
        <v>18.872875527817662</v>
      </c>
      <c r="Z77" s="114">
        <v>-18290.308197314342</v>
      </c>
      <c r="AA77" s="166">
        <v>368788.32</v>
      </c>
      <c r="AB77" s="166">
        <v>232152.95999999999</v>
      </c>
      <c r="AC77" s="167">
        <v>1.3094770575339221</v>
      </c>
      <c r="AD77" s="168"/>
      <c r="AE77" s="168" t="s">
        <v>574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96" t="s">
        <v>1</v>
      </c>
      <c r="BJ77" s="183"/>
    </row>
    <row r="78" spans="1:62" ht="12.5" customHeight="1" x14ac:dyDescent="0.35">
      <c r="A78" s="105"/>
      <c r="B78" s="163" t="s">
        <v>1</v>
      </c>
      <c r="C78" s="5" t="s">
        <v>50</v>
      </c>
      <c r="D78" s="5" t="s">
        <v>310</v>
      </c>
      <c r="E78" s="5" t="s">
        <v>403</v>
      </c>
      <c r="F78" s="5">
        <v>1076302</v>
      </c>
      <c r="G78" s="7" t="s">
        <v>692</v>
      </c>
      <c r="H78" s="164">
        <v>21542.418597118834</v>
      </c>
      <c r="I78" s="164">
        <v>797.06948809339679</v>
      </c>
      <c r="J78" s="114">
        <v>0</v>
      </c>
      <c r="K78" s="114">
        <v>11654</v>
      </c>
      <c r="L78" s="165">
        <v>431.19799999999998</v>
      </c>
      <c r="M78" s="115">
        <v>0.55657631690452758</v>
      </c>
      <c r="N78" s="165">
        <v>365.87148809339681</v>
      </c>
      <c r="O78" s="165">
        <v>5.4226275945938767</v>
      </c>
      <c r="P78" s="115">
        <v>1.2048214181914827</v>
      </c>
      <c r="Q78" s="5">
        <v>14082</v>
      </c>
      <c r="R78" s="5">
        <v>336</v>
      </c>
      <c r="S78" s="5">
        <v>13746</v>
      </c>
      <c r="T78" s="5">
        <v>0</v>
      </c>
      <c r="U78" s="5">
        <v>0</v>
      </c>
      <c r="V78" s="5">
        <v>0</v>
      </c>
      <c r="W78" s="5">
        <v>0</v>
      </c>
      <c r="X78" s="114">
        <v>21542.418597118834</v>
      </c>
      <c r="Y78" s="114">
        <v>19.142697378239291</v>
      </c>
      <c r="Z78" s="114">
        <v>-4193.5814028811656</v>
      </c>
      <c r="AA78" s="166">
        <v>48685.87</v>
      </c>
      <c r="AB78" s="166">
        <v>31065.96</v>
      </c>
      <c r="AC78" s="167">
        <v>1.1946662295125039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96" t="s">
        <v>1</v>
      </c>
      <c r="BJ78" s="183"/>
    </row>
    <row r="79" spans="1:62" ht="12.75" customHeight="1" x14ac:dyDescent="0.35">
      <c r="A79" s="105"/>
      <c r="B79" s="163">
        <v>0</v>
      </c>
      <c r="C79" s="5" t="s">
        <v>2</v>
      </c>
      <c r="D79" s="5" t="s">
        <v>310</v>
      </c>
      <c r="E79" s="5" t="s">
        <v>311</v>
      </c>
      <c r="F79" s="116">
        <v>1080745</v>
      </c>
      <c r="G79" s="117" t="s">
        <v>788</v>
      </c>
      <c r="H79" s="164">
        <v>1575.9174267125502</v>
      </c>
      <c r="I79" s="164">
        <v>756.44036482202409</v>
      </c>
      <c r="J79" s="114">
        <v>0</v>
      </c>
      <c r="K79" s="114">
        <v>1462</v>
      </c>
      <c r="L79" s="165">
        <v>701.76</v>
      </c>
      <c r="M79" s="115">
        <v>0.95309562197890918</v>
      </c>
      <c r="N79" s="165">
        <v>54.680364822024103</v>
      </c>
      <c r="O79" s="165">
        <v>24.601187766473362</v>
      </c>
      <c r="P79" s="115">
        <v>1.6501606031614453</v>
      </c>
      <c r="Q79" s="5">
        <v>1356</v>
      </c>
      <c r="R79" s="5">
        <v>40</v>
      </c>
      <c r="S79" s="5">
        <v>1316</v>
      </c>
      <c r="T79" s="5">
        <v>0</v>
      </c>
      <c r="U79" s="5">
        <v>0</v>
      </c>
      <c r="V79" s="5">
        <v>0</v>
      </c>
      <c r="W79" s="5">
        <v>0</v>
      </c>
      <c r="X79" s="114">
        <v>2002.6666666666667</v>
      </c>
      <c r="Y79" s="114">
        <v>19.713715046604527</v>
      </c>
      <c r="Z79" s="114">
        <v>-1242.0825732874498</v>
      </c>
      <c r="AA79" s="166">
        <v>36072.75</v>
      </c>
      <c r="AB79" s="166">
        <v>30123.24</v>
      </c>
      <c r="AC79" s="167">
        <v>1.7881647554837323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95"/>
      <c r="BJ79" s="183"/>
    </row>
    <row r="80" spans="1:62" ht="12.75" customHeight="1" x14ac:dyDescent="0.35">
      <c r="A80" s="105"/>
      <c r="B80" s="163" t="s">
        <v>4</v>
      </c>
      <c r="C80" s="5" t="s">
        <v>5</v>
      </c>
      <c r="D80" s="5" t="s">
        <v>308</v>
      </c>
      <c r="E80" s="5" t="s">
        <v>314</v>
      </c>
      <c r="F80" s="5">
        <v>1075243</v>
      </c>
      <c r="G80" s="7" t="s">
        <v>662</v>
      </c>
      <c r="H80" s="164">
        <v>17160.490990911258</v>
      </c>
      <c r="I80" s="164">
        <v>4118.517837818702</v>
      </c>
      <c r="J80" s="114">
        <v>0</v>
      </c>
      <c r="K80" s="114">
        <v>12333</v>
      </c>
      <c r="L80" s="165">
        <v>2959.92</v>
      </c>
      <c r="M80" s="115">
        <v>0.72567853720476327</v>
      </c>
      <c r="N80" s="165">
        <v>1158.5978378187019</v>
      </c>
      <c r="O80" s="165">
        <v>18.651577686332892</v>
      </c>
      <c r="P80" s="115">
        <v>1.7302041827438894</v>
      </c>
      <c r="Q80" s="5">
        <v>11718</v>
      </c>
      <c r="R80" s="5">
        <v>120</v>
      </c>
      <c r="S80" s="5">
        <v>11598</v>
      </c>
      <c r="T80" s="5">
        <v>0</v>
      </c>
      <c r="U80" s="5">
        <v>0</v>
      </c>
      <c r="V80" s="5">
        <v>0</v>
      </c>
      <c r="W80" s="5">
        <v>0</v>
      </c>
      <c r="X80" s="114">
        <v>17160.490990911258</v>
      </c>
      <c r="Y80" s="114">
        <v>20.275643638884233</v>
      </c>
      <c r="Z80" s="114">
        <v>-6890.5090090887425</v>
      </c>
      <c r="AA80" s="166">
        <v>59546.9</v>
      </c>
      <c r="AB80" s="166">
        <v>40245.06</v>
      </c>
      <c r="AC80" s="167">
        <v>1.401533325167571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96"/>
      <c r="BJ80" s="183"/>
    </row>
    <row r="81" spans="1:62" ht="12.75" customHeight="1" x14ac:dyDescent="0.35">
      <c r="A81" s="105"/>
      <c r="B81" s="163" t="s">
        <v>27</v>
      </c>
      <c r="C81" s="5" t="s">
        <v>5</v>
      </c>
      <c r="D81" s="5" t="s">
        <v>308</v>
      </c>
      <c r="E81" s="5" t="s">
        <v>315</v>
      </c>
      <c r="F81" s="5">
        <v>1078707</v>
      </c>
      <c r="G81" s="7" t="s">
        <v>695</v>
      </c>
      <c r="H81" s="164">
        <v>9991.5962308497637</v>
      </c>
      <c r="I81" s="164">
        <v>6534.5039349757453</v>
      </c>
      <c r="J81" s="114">
        <v>0</v>
      </c>
      <c r="K81" s="114">
        <v>1838</v>
      </c>
      <c r="L81" s="165">
        <v>1202.0520000000001</v>
      </c>
      <c r="M81" s="115">
        <v>0.19035997412780151</v>
      </c>
      <c r="N81" s="165">
        <v>5332.4519349757447</v>
      </c>
      <c r="O81" s="165">
        <v>0.62483159034184943</v>
      </c>
      <c r="P81" s="115">
        <v>1.0416796362208247</v>
      </c>
      <c r="Q81" s="5">
        <v>6830</v>
      </c>
      <c r="R81" s="5">
        <v>64</v>
      </c>
      <c r="S81" s="5">
        <v>6765</v>
      </c>
      <c r="T81" s="5">
        <v>184</v>
      </c>
      <c r="U81" s="5">
        <v>0</v>
      </c>
      <c r="V81" s="5">
        <v>0</v>
      </c>
      <c r="W81" s="5">
        <v>0</v>
      </c>
      <c r="X81" s="114">
        <v>9991.5962308497637</v>
      </c>
      <c r="Y81" s="114">
        <v>20.312069794551689</v>
      </c>
      <c r="Z81" s="114">
        <v>1139.5962308497637</v>
      </c>
      <c r="AA81" s="166">
        <v>119399.58</v>
      </c>
      <c r="AB81" s="166">
        <v>83040.55</v>
      </c>
      <c r="AC81" s="167">
        <v>0.88594452732875861</v>
      </c>
      <c r="AD81" s="170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96"/>
      <c r="BJ81" s="183"/>
    </row>
    <row r="82" spans="1:62" ht="12.75" customHeight="1" x14ac:dyDescent="0.35">
      <c r="A82" s="105"/>
      <c r="B82" s="163" t="s">
        <v>1</v>
      </c>
      <c r="C82" s="5" t="s">
        <v>50</v>
      </c>
      <c r="D82" s="5" t="s">
        <v>310</v>
      </c>
      <c r="E82" s="5" t="s">
        <v>403</v>
      </c>
      <c r="F82" s="55">
        <v>1076300</v>
      </c>
      <c r="G82" s="64" t="s">
        <v>690</v>
      </c>
      <c r="H82" s="164">
        <v>43251.966474551089</v>
      </c>
      <c r="I82" s="164">
        <v>5622.7556416916414</v>
      </c>
      <c r="J82" s="114">
        <v>0</v>
      </c>
      <c r="K82" s="114">
        <v>25937</v>
      </c>
      <c r="L82" s="165">
        <v>3371.81</v>
      </c>
      <c r="M82" s="115">
        <v>0.60711690451000566</v>
      </c>
      <c r="N82" s="165">
        <v>2250.9456416916414</v>
      </c>
      <c r="O82" s="165">
        <v>2.565329007662827</v>
      </c>
      <c r="P82" s="115">
        <v>1.118108848565885</v>
      </c>
      <c r="Q82" s="5">
        <v>29609</v>
      </c>
      <c r="R82" s="5">
        <v>322</v>
      </c>
      <c r="S82" s="5">
        <v>29287</v>
      </c>
      <c r="T82" s="5">
        <v>0</v>
      </c>
      <c r="U82" s="5">
        <v>0</v>
      </c>
      <c r="V82" s="5">
        <v>0</v>
      </c>
      <c r="W82" s="5">
        <v>2534</v>
      </c>
      <c r="X82" s="114">
        <v>43251.966474551089</v>
      </c>
      <c r="Y82" s="114">
        <v>20.313758462680834</v>
      </c>
      <c r="Z82" s="114">
        <v>-12294.033525448911</v>
      </c>
      <c r="AA82" s="166">
        <v>195498.89</v>
      </c>
      <c r="AB82" s="166">
        <v>143830.92000000001</v>
      </c>
      <c r="AC82" s="167">
        <v>1.284242186599367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95"/>
      <c r="BJ82" s="183"/>
    </row>
    <row r="83" spans="1:62" ht="12.75" customHeight="1" x14ac:dyDescent="0.35">
      <c r="A83" s="105"/>
      <c r="B83" s="163" t="s">
        <v>1</v>
      </c>
      <c r="C83" s="5" t="s">
        <v>2</v>
      </c>
      <c r="D83" s="5" t="s">
        <v>310</v>
      </c>
      <c r="E83" s="5" t="s">
        <v>311</v>
      </c>
      <c r="F83" s="122">
        <v>1068296</v>
      </c>
      <c r="G83" s="123" t="s">
        <v>571</v>
      </c>
      <c r="H83" s="164">
        <v>6164.6380467214813</v>
      </c>
      <c r="I83" s="164">
        <v>1109.6348484098667</v>
      </c>
      <c r="J83" s="114">
        <v>0</v>
      </c>
      <c r="K83" s="114">
        <v>4176</v>
      </c>
      <c r="L83" s="165">
        <v>751.68</v>
      </c>
      <c r="M83" s="115">
        <v>0.70369094943166433</v>
      </c>
      <c r="N83" s="165">
        <v>357.95484840986671</v>
      </c>
      <c r="O83" s="165">
        <v>28.224694220569848</v>
      </c>
      <c r="P83" s="115">
        <v>1.8439601483131627</v>
      </c>
      <c r="Q83" s="5">
        <v>4391</v>
      </c>
      <c r="R83" s="5">
        <v>162</v>
      </c>
      <c r="S83" s="5">
        <v>4229</v>
      </c>
      <c r="T83" s="5">
        <v>0</v>
      </c>
      <c r="U83" s="5">
        <v>0</v>
      </c>
      <c r="V83" s="5">
        <v>0</v>
      </c>
      <c r="W83" s="5">
        <v>0</v>
      </c>
      <c r="X83" s="114">
        <v>6164.6380467214813</v>
      </c>
      <c r="Y83" s="114">
        <v>20.580283714706145</v>
      </c>
      <c r="Z83" s="114">
        <v>-2402.3619532785187</v>
      </c>
      <c r="AA83" s="166">
        <v>13377.26</v>
      </c>
      <c r="AB83" s="166">
        <v>9176.93</v>
      </c>
      <c r="AC83" s="167">
        <v>1.3897004065885359</v>
      </c>
      <c r="AD83" s="168"/>
      <c r="AE83" s="168"/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95"/>
      <c r="BJ83" s="183"/>
    </row>
    <row r="84" spans="1:62" ht="12.75" customHeight="1" x14ac:dyDescent="0.35">
      <c r="A84" s="105"/>
      <c r="B84" s="163" t="s">
        <v>1</v>
      </c>
      <c r="C84" s="5" t="s">
        <v>24</v>
      </c>
      <c r="D84" s="5" t="s">
        <v>316</v>
      </c>
      <c r="E84" s="5" t="s">
        <v>400</v>
      </c>
      <c r="F84" s="5">
        <v>1057538</v>
      </c>
      <c r="G84" s="7" t="s">
        <v>450</v>
      </c>
      <c r="H84" s="164">
        <v>10484.314580520584</v>
      </c>
      <c r="I84" s="164">
        <v>8911.6673934424962</v>
      </c>
      <c r="J84" s="114">
        <v>0</v>
      </c>
      <c r="K84" s="114">
        <v>8081</v>
      </c>
      <c r="L84" s="165">
        <v>6868.8499999999995</v>
      </c>
      <c r="M84" s="115">
        <v>0.7917541901521068</v>
      </c>
      <c r="N84" s="165">
        <v>2042.8173934424967</v>
      </c>
      <c r="O84" s="165">
        <v>9.5492722587913939</v>
      </c>
      <c r="P84" s="115">
        <v>1.4127327090816184</v>
      </c>
      <c r="Q84" s="5">
        <v>7849</v>
      </c>
      <c r="R84" s="5">
        <v>220</v>
      </c>
      <c r="S84" s="5">
        <v>7629</v>
      </c>
      <c r="T84" s="5">
        <v>0</v>
      </c>
      <c r="U84" s="5">
        <v>0</v>
      </c>
      <c r="V84" s="5">
        <v>0</v>
      </c>
      <c r="W84" s="5">
        <v>0</v>
      </c>
      <c r="X84" s="114">
        <v>11068</v>
      </c>
      <c r="Y84" s="114">
        <v>20.678532706902782</v>
      </c>
      <c r="Z84" s="114">
        <v>-5445.6854194794159</v>
      </c>
      <c r="AA84" s="166">
        <v>194064.66</v>
      </c>
      <c r="AB84" s="166">
        <v>141212.79</v>
      </c>
      <c r="AC84" s="167">
        <v>1.5194126309026696</v>
      </c>
      <c r="AD84" s="168"/>
      <c r="AE84" s="168" t="s">
        <v>574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96" t="s">
        <v>1</v>
      </c>
      <c r="BJ84" s="183" t="s">
        <v>816</v>
      </c>
    </row>
    <row r="85" spans="1:62" ht="12.75" customHeight="1" x14ac:dyDescent="0.35">
      <c r="A85" s="105"/>
      <c r="B85" s="163" t="s">
        <v>8</v>
      </c>
      <c r="C85" s="5" t="s">
        <v>5</v>
      </c>
      <c r="D85" s="5" t="s">
        <v>308</v>
      </c>
      <c r="E85" s="5" t="s">
        <v>309</v>
      </c>
      <c r="F85" s="5">
        <v>1079847</v>
      </c>
      <c r="G85" s="7" t="s">
        <v>728</v>
      </c>
      <c r="H85" s="164">
        <v>8803.7221690381721</v>
      </c>
      <c r="I85" s="164">
        <v>3380.629312910658</v>
      </c>
      <c r="J85" s="114">
        <v>0</v>
      </c>
      <c r="K85" s="114">
        <v>2615</v>
      </c>
      <c r="L85" s="165">
        <v>1004.16</v>
      </c>
      <c r="M85" s="115">
        <v>0.32702076970638178</v>
      </c>
      <c r="N85" s="165">
        <v>2376.4693129106581</v>
      </c>
      <c r="O85" s="165">
        <v>2.2749891932305513</v>
      </c>
      <c r="P85" s="115">
        <v>1.0784467711635637</v>
      </c>
      <c r="Q85" s="5">
        <v>6338</v>
      </c>
      <c r="R85" s="5">
        <v>264</v>
      </c>
      <c r="S85" s="5">
        <v>6074</v>
      </c>
      <c r="T85" s="5">
        <v>0</v>
      </c>
      <c r="U85" s="5">
        <v>0</v>
      </c>
      <c r="V85" s="5">
        <v>0</v>
      </c>
      <c r="W85" s="5">
        <v>1</v>
      </c>
      <c r="X85" s="114">
        <v>8803.7221690381721</v>
      </c>
      <c r="Y85" s="114">
        <v>20.698063444215659</v>
      </c>
      <c r="Z85" s="114">
        <v>-149.27783096182793</v>
      </c>
      <c r="AA85" s="166">
        <v>79057.429999999993</v>
      </c>
      <c r="AB85" s="166">
        <v>54553.5</v>
      </c>
      <c r="AC85" s="167">
        <v>1.0169562178469038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96"/>
      <c r="BJ85" s="183"/>
    </row>
    <row r="86" spans="1:62" ht="12.5" customHeight="1" x14ac:dyDescent="0.35">
      <c r="A86" s="105"/>
      <c r="B86" s="163" t="s">
        <v>38</v>
      </c>
      <c r="C86" s="5" t="s">
        <v>5</v>
      </c>
      <c r="D86" s="5" t="s">
        <v>308</v>
      </c>
      <c r="E86" s="5" t="s">
        <v>405</v>
      </c>
      <c r="F86" s="5">
        <v>1059307</v>
      </c>
      <c r="G86" s="7" t="s">
        <v>269</v>
      </c>
      <c r="H86" s="164">
        <v>8364.4169360268806</v>
      </c>
      <c r="I86" s="164">
        <v>4182.2084680134403</v>
      </c>
      <c r="J86" s="114">
        <v>0</v>
      </c>
      <c r="K86" s="114">
        <v>5949</v>
      </c>
      <c r="L86" s="165">
        <v>2974.5</v>
      </c>
      <c r="M86" s="115">
        <v>0.75665764253572598</v>
      </c>
      <c r="N86" s="165">
        <v>1207.7084680134403</v>
      </c>
      <c r="O86" s="165">
        <v>19.239824033800023</v>
      </c>
      <c r="P86" s="115">
        <v>1.7198830024650413</v>
      </c>
      <c r="Q86" s="5">
        <v>6210</v>
      </c>
      <c r="R86" s="5">
        <v>380</v>
      </c>
      <c r="S86" s="5">
        <v>5830</v>
      </c>
      <c r="T86" s="5">
        <v>0</v>
      </c>
      <c r="U86" s="5">
        <v>0</v>
      </c>
      <c r="V86" s="5">
        <v>0</v>
      </c>
      <c r="W86" s="5">
        <v>0</v>
      </c>
      <c r="X86" s="114">
        <v>8438.6666666666661</v>
      </c>
      <c r="Y86" s="114">
        <v>20.726023068415234</v>
      </c>
      <c r="Z86" s="114">
        <v>-3794.5830639731194</v>
      </c>
      <c r="AA86" s="166">
        <v>49015.48</v>
      </c>
      <c r="AB86" s="166">
        <v>34163.800000000003</v>
      </c>
      <c r="AC86" s="167">
        <v>1.453657809384088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96"/>
      <c r="BJ86" s="183"/>
    </row>
    <row r="87" spans="1:62" ht="12.75" customHeight="1" x14ac:dyDescent="0.35">
      <c r="A87" s="105"/>
      <c r="B87" s="163" t="s">
        <v>1</v>
      </c>
      <c r="C87" s="5" t="s">
        <v>2</v>
      </c>
      <c r="D87" s="5" t="s">
        <v>310</v>
      </c>
      <c r="E87" s="5" t="s">
        <v>311</v>
      </c>
      <c r="F87" s="125">
        <v>1080749</v>
      </c>
      <c r="G87" s="127" t="s">
        <v>769</v>
      </c>
      <c r="H87" s="164">
        <v>7631.7479273040208</v>
      </c>
      <c r="I87" s="164">
        <v>1373.7146269147238</v>
      </c>
      <c r="J87" s="114">
        <v>0</v>
      </c>
      <c r="K87" s="114">
        <v>5389</v>
      </c>
      <c r="L87" s="165">
        <v>970.02</v>
      </c>
      <c r="M87" s="115">
        <v>0.73207344545689879</v>
      </c>
      <c r="N87" s="165">
        <v>403.69462691472381</v>
      </c>
      <c r="O87" s="165">
        <v>15.820856441118208</v>
      </c>
      <c r="P87" s="115">
        <v>1.4475209086619174</v>
      </c>
      <c r="Q87" s="5">
        <v>5868</v>
      </c>
      <c r="R87" s="5">
        <v>198</v>
      </c>
      <c r="S87" s="5">
        <v>5670</v>
      </c>
      <c r="T87" s="5">
        <v>0</v>
      </c>
      <c r="U87" s="5">
        <v>0</v>
      </c>
      <c r="V87" s="5">
        <v>0</v>
      </c>
      <c r="W87" s="5">
        <v>2</v>
      </c>
      <c r="X87" s="114">
        <v>7631.7479273040208</v>
      </c>
      <c r="Y87" s="114">
        <v>22.288472001471</v>
      </c>
      <c r="Z87" s="114">
        <v>-3625.2520726959792</v>
      </c>
      <c r="AA87" s="166">
        <v>30298.04</v>
      </c>
      <c r="AB87" s="166">
        <v>22517.84</v>
      </c>
      <c r="AC87" s="167">
        <v>1.4750225121725986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95"/>
      <c r="BJ87" s="183"/>
    </row>
    <row r="88" spans="1:62" ht="12.75" customHeight="1" x14ac:dyDescent="0.35">
      <c r="A88" s="105"/>
      <c r="B88" s="163" t="s">
        <v>1</v>
      </c>
      <c r="C88" s="5" t="s">
        <v>2</v>
      </c>
      <c r="D88" s="5" t="s">
        <v>306</v>
      </c>
      <c r="E88" s="5" t="s">
        <v>401</v>
      </c>
      <c r="F88" s="5">
        <v>1075852</v>
      </c>
      <c r="G88" s="7" t="s">
        <v>687</v>
      </c>
      <c r="H88" s="164">
        <v>9108.3048098534618</v>
      </c>
      <c r="I88" s="164">
        <v>819.74743288681157</v>
      </c>
      <c r="J88" s="114">
        <v>0</v>
      </c>
      <c r="K88" s="114">
        <v>5088</v>
      </c>
      <c r="L88" s="165">
        <v>457.91999999999996</v>
      </c>
      <c r="M88" s="115">
        <v>0.79575729527178707</v>
      </c>
      <c r="N88" s="165">
        <v>361.82743288681161</v>
      </c>
      <c r="O88" s="165">
        <v>0</v>
      </c>
      <c r="P88" s="115">
        <v>0.79897783531740163</v>
      </c>
      <c r="Q88" s="5">
        <v>9556</v>
      </c>
      <c r="R88" s="5">
        <v>2160</v>
      </c>
      <c r="S88" s="5">
        <v>7396</v>
      </c>
      <c r="T88" s="5">
        <v>0</v>
      </c>
      <c r="U88" s="5">
        <v>0</v>
      </c>
      <c r="V88" s="5">
        <v>0</v>
      </c>
      <c r="W88" s="5">
        <v>8</v>
      </c>
      <c r="X88" s="114">
        <v>9664</v>
      </c>
      <c r="Y88" s="114">
        <v>22.959437086092716</v>
      </c>
      <c r="Z88" s="114">
        <v>-5535.6951901465382</v>
      </c>
      <c r="AA88" s="166">
        <v>3552.24</v>
      </c>
      <c r="AB88" s="166">
        <v>2887.56</v>
      </c>
      <c r="AC88" s="167">
        <v>1.6077634977869826</v>
      </c>
      <c r="AD88" s="168"/>
      <c r="AE88" s="168">
        <v>22.123413866612527</v>
      </c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96" t="s">
        <v>1</v>
      </c>
      <c r="BJ88" s="183"/>
    </row>
    <row r="89" spans="1:62" ht="12.75" customHeight="1" x14ac:dyDescent="0.35">
      <c r="A89" s="105"/>
      <c r="B89" s="163" t="s">
        <v>148</v>
      </c>
      <c r="C89" s="5" t="s">
        <v>5</v>
      </c>
      <c r="D89" s="5" t="s">
        <v>318</v>
      </c>
      <c r="E89" s="5" t="s">
        <v>307</v>
      </c>
      <c r="F89" s="112">
        <v>1072128</v>
      </c>
      <c r="G89" s="113" t="s">
        <v>738</v>
      </c>
      <c r="H89" s="164">
        <v>6421</v>
      </c>
      <c r="I89" s="164">
        <v>3210.5</v>
      </c>
      <c r="J89" s="114">
        <v>0</v>
      </c>
      <c r="K89" s="114">
        <v>197</v>
      </c>
      <c r="L89" s="165">
        <v>98.5</v>
      </c>
      <c r="M89" s="115">
        <v>9.9828687120386228E-2</v>
      </c>
      <c r="N89" s="165">
        <v>3112</v>
      </c>
      <c r="O89" s="165">
        <v>16.969319420650994</v>
      </c>
      <c r="P89" s="115">
        <v>2.4093907644547925</v>
      </c>
      <c r="Q89" s="5">
        <v>5594</v>
      </c>
      <c r="R89" s="5">
        <v>444</v>
      </c>
      <c r="S89" s="5">
        <v>5150</v>
      </c>
      <c r="T89" s="5">
        <v>0</v>
      </c>
      <c r="U89" s="5">
        <v>0</v>
      </c>
      <c r="V89" s="5">
        <v>0</v>
      </c>
      <c r="W89" s="5">
        <v>0</v>
      </c>
      <c r="X89" s="114">
        <v>6421</v>
      </c>
      <c r="Y89" s="114">
        <v>24.061672636660958</v>
      </c>
      <c r="Z89" s="114">
        <v>630</v>
      </c>
      <c r="AA89" s="166">
        <v>40644.93</v>
      </c>
      <c r="AB89" s="166">
        <v>32599.5</v>
      </c>
      <c r="AC89" s="167">
        <v>0.90188444167575144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95"/>
      <c r="BJ89" s="183"/>
    </row>
    <row r="90" spans="1:62" ht="12.75" customHeight="1" x14ac:dyDescent="0.35">
      <c r="A90" s="105"/>
      <c r="B90" s="163" t="s">
        <v>15</v>
      </c>
      <c r="C90" s="5" t="s">
        <v>5</v>
      </c>
      <c r="D90" s="5" t="s">
        <v>308</v>
      </c>
      <c r="E90" s="5" t="s">
        <v>315</v>
      </c>
      <c r="F90" s="5">
        <v>1071558</v>
      </c>
      <c r="G90" s="7" t="s">
        <v>589</v>
      </c>
      <c r="H90" s="164">
        <v>5954.3307360132703</v>
      </c>
      <c r="I90" s="164">
        <v>1548.1259913634503</v>
      </c>
      <c r="J90" s="114">
        <v>0</v>
      </c>
      <c r="K90" s="114">
        <v>2658</v>
      </c>
      <c r="L90" s="165">
        <v>691.08</v>
      </c>
      <c r="M90" s="115">
        <v>0.44639777631493599</v>
      </c>
      <c r="N90" s="165">
        <v>857.0459913634503</v>
      </c>
      <c r="O90" s="165">
        <v>1.568467340942032</v>
      </c>
      <c r="P90" s="115">
        <v>1.0793601945042646</v>
      </c>
      <c r="Q90" s="5">
        <v>4932</v>
      </c>
      <c r="R90" s="5">
        <v>0</v>
      </c>
      <c r="S90" s="5">
        <v>4932</v>
      </c>
      <c r="T90" s="5">
        <v>0</v>
      </c>
      <c r="U90" s="5">
        <v>0</v>
      </c>
      <c r="V90" s="5">
        <v>0</v>
      </c>
      <c r="W90" s="5">
        <v>0</v>
      </c>
      <c r="X90" s="114">
        <v>5954.3307360132703</v>
      </c>
      <c r="Y90" s="114">
        <v>24.849140324890115</v>
      </c>
      <c r="Z90" s="114">
        <v>-1635.6692639867297</v>
      </c>
      <c r="AA90" s="166">
        <v>10717.8</v>
      </c>
      <c r="AB90" s="166">
        <v>8877.6</v>
      </c>
      <c r="AC90" s="167">
        <v>1.2747024538112732</v>
      </c>
      <c r="AD90" s="168"/>
      <c r="AE90" s="168">
        <v>87.428449744463364</v>
      </c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96" t="s">
        <v>1</v>
      </c>
      <c r="BJ90" s="183"/>
    </row>
    <row r="91" spans="1:62" ht="12.75" customHeight="1" x14ac:dyDescent="0.35">
      <c r="A91" s="105"/>
      <c r="B91" s="163">
        <v>0</v>
      </c>
      <c r="C91" s="5" t="s">
        <v>2</v>
      </c>
      <c r="D91" s="5" t="s">
        <v>310</v>
      </c>
      <c r="E91" s="5" t="s">
        <v>311</v>
      </c>
      <c r="F91" s="116">
        <v>1080746</v>
      </c>
      <c r="G91" s="117" t="s">
        <v>789</v>
      </c>
      <c r="H91" s="164">
        <v>7692.5959200090883</v>
      </c>
      <c r="I91" s="164">
        <v>3692.4460416043621</v>
      </c>
      <c r="J91" s="114">
        <v>0</v>
      </c>
      <c r="K91" s="114">
        <v>7091</v>
      </c>
      <c r="L91" s="165">
        <v>3403.68</v>
      </c>
      <c r="M91" s="115">
        <v>0.97236356592498141</v>
      </c>
      <c r="N91" s="165">
        <v>288.76604160436227</v>
      </c>
      <c r="O91" s="165">
        <v>4.6871812305316896</v>
      </c>
      <c r="P91" s="115">
        <v>1.160699039181293</v>
      </c>
      <c r="Q91" s="5">
        <v>8694</v>
      </c>
      <c r="R91" s="5">
        <v>389</v>
      </c>
      <c r="S91" s="5">
        <v>8305</v>
      </c>
      <c r="T91" s="5">
        <v>0</v>
      </c>
      <c r="U91" s="5">
        <v>0</v>
      </c>
      <c r="V91" s="5">
        <v>0</v>
      </c>
      <c r="W91" s="5">
        <v>0</v>
      </c>
      <c r="X91" s="114">
        <v>9973.3333333333339</v>
      </c>
      <c r="Y91" s="114">
        <v>24.981617647058822</v>
      </c>
      <c r="Z91" s="114">
        <v>-8092.4040799909117</v>
      </c>
      <c r="AA91" s="166">
        <v>176083.52</v>
      </c>
      <c r="AB91" s="166">
        <v>190101.45</v>
      </c>
      <c r="AC91" s="167">
        <v>2.0519731133858063</v>
      </c>
      <c r="AD91" s="168"/>
      <c r="AE91" s="168"/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96" t="s">
        <v>1</v>
      </c>
      <c r="BJ91" s="183"/>
    </row>
    <row r="92" spans="1:62" ht="12.75" customHeight="1" x14ac:dyDescent="0.35">
      <c r="A92" s="105"/>
      <c r="B92" s="163" t="s">
        <v>15</v>
      </c>
      <c r="C92" s="5" t="s">
        <v>5</v>
      </c>
      <c r="D92" s="5" t="s">
        <v>312</v>
      </c>
      <c r="E92" s="5" t="s">
        <v>315</v>
      </c>
      <c r="F92" s="5">
        <v>1080723</v>
      </c>
      <c r="G92" s="7" t="s">
        <v>737</v>
      </c>
      <c r="H92" s="164">
        <v>240</v>
      </c>
      <c r="I92" s="164">
        <v>11.28</v>
      </c>
      <c r="J92" s="114">
        <v>0</v>
      </c>
      <c r="K92" s="114">
        <v>352</v>
      </c>
      <c r="L92" s="165">
        <v>16.544</v>
      </c>
      <c r="M92" s="115">
        <v>1.65</v>
      </c>
      <c r="N92" s="165">
        <v>5.2640000000000011</v>
      </c>
      <c r="O92" s="165">
        <v>0</v>
      </c>
      <c r="P92" s="115">
        <v>0</v>
      </c>
      <c r="Q92" s="5">
        <v>484</v>
      </c>
      <c r="R92" s="5">
        <v>44</v>
      </c>
      <c r="S92" s="5">
        <v>440</v>
      </c>
      <c r="T92" s="5">
        <v>0</v>
      </c>
      <c r="U92" s="5">
        <v>0</v>
      </c>
      <c r="V92" s="5">
        <v>0</v>
      </c>
      <c r="W92" s="5">
        <v>0</v>
      </c>
      <c r="X92" s="114">
        <v>528</v>
      </c>
      <c r="Y92" s="114">
        <v>25</v>
      </c>
      <c r="Z92" s="114">
        <v>-596</v>
      </c>
      <c r="AA92" s="166">
        <v>156</v>
      </c>
      <c r="AB92" s="166">
        <v>286</v>
      </c>
      <c r="AC92" s="167">
        <v>3.4833333333333334</v>
      </c>
      <c r="AD92" s="168"/>
      <c r="AE92" s="168">
        <v>0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96" t="s">
        <v>1</v>
      </c>
      <c r="BJ92" s="183"/>
    </row>
    <row r="93" spans="1:62" ht="12.75" customHeight="1" x14ac:dyDescent="0.35">
      <c r="A93" s="105"/>
      <c r="B93" s="163" t="s">
        <v>21</v>
      </c>
      <c r="C93" s="5" t="s">
        <v>5</v>
      </c>
      <c r="D93" s="5" t="s">
        <v>306</v>
      </c>
      <c r="E93" s="5" t="s">
        <v>307</v>
      </c>
      <c r="F93" s="55">
        <v>1016065</v>
      </c>
      <c r="G93" s="64" t="s">
        <v>288</v>
      </c>
      <c r="H93" s="164">
        <v>6836</v>
      </c>
      <c r="I93" s="164">
        <v>6562.5599999999995</v>
      </c>
      <c r="J93" s="114">
        <v>0</v>
      </c>
      <c r="K93" s="114">
        <v>2079</v>
      </c>
      <c r="L93" s="165">
        <v>1995.84</v>
      </c>
      <c r="M93" s="115">
        <v>0.36468695143358687</v>
      </c>
      <c r="N93" s="165">
        <v>4566.7199999999993</v>
      </c>
      <c r="O93" s="165">
        <v>0.89440547776975521</v>
      </c>
      <c r="P93" s="115">
        <v>1.0801689919499318</v>
      </c>
      <c r="Q93" s="5">
        <v>6150</v>
      </c>
      <c r="R93" s="5">
        <v>414</v>
      </c>
      <c r="S93" s="5">
        <v>5736</v>
      </c>
      <c r="T93" s="5">
        <v>0</v>
      </c>
      <c r="U93" s="5">
        <v>0</v>
      </c>
      <c r="V93" s="5">
        <v>0</v>
      </c>
      <c r="W93" s="5">
        <v>0</v>
      </c>
      <c r="X93" s="114">
        <v>6836</v>
      </c>
      <c r="Y93" s="114">
        <v>25.172615564657697</v>
      </c>
      <c r="Z93" s="114">
        <v>-1393</v>
      </c>
      <c r="AA93" s="166">
        <v>74854.2</v>
      </c>
      <c r="AB93" s="166">
        <v>62809.2</v>
      </c>
      <c r="AC93" s="167">
        <v>1.2037741369221768</v>
      </c>
      <c r="AD93" s="168"/>
      <c r="AE93" s="168">
        <v>38.569490221929236</v>
      </c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96" t="s">
        <v>1</v>
      </c>
      <c r="BJ93" s="183"/>
    </row>
    <row r="94" spans="1:62" ht="12.75" customHeight="1" x14ac:dyDescent="0.35">
      <c r="A94" s="105"/>
      <c r="B94" s="163" t="s">
        <v>31</v>
      </c>
      <c r="C94" s="5" t="s">
        <v>5</v>
      </c>
      <c r="D94" s="5" t="s">
        <v>306</v>
      </c>
      <c r="E94" s="5" t="s">
        <v>307</v>
      </c>
      <c r="F94" s="5">
        <v>1078161</v>
      </c>
      <c r="G94" s="7" t="s">
        <v>705</v>
      </c>
      <c r="H94" s="164">
        <v>5228.8080612139183</v>
      </c>
      <c r="I94" s="164">
        <v>1939.8877907103638</v>
      </c>
      <c r="J94" s="114">
        <v>0</v>
      </c>
      <c r="K94" s="114">
        <v>1968</v>
      </c>
      <c r="L94" s="165">
        <v>730.12800000000004</v>
      </c>
      <c r="M94" s="115">
        <v>0.42916090507231847</v>
      </c>
      <c r="N94" s="165">
        <v>1209.7597907103636</v>
      </c>
      <c r="O94" s="165">
        <v>0</v>
      </c>
      <c r="P94" s="115">
        <v>0.64032146287084846</v>
      </c>
      <c r="Q94" s="5">
        <v>4678</v>
      </c>
      <c r="R94" s="5">
        <v>276</v>
      </c>
      <c r="S94" s="5">
        <v>4402</v>
      </c>
      <c r="T94" s="5">
        <v>0</v>
      </c>
      <c r="U94" s="5">
        <v>0</v>
      </c>
      <c r="V94" s="5">
        <v>0</v>
      </c>
      <c r="W94" s="5">
        <v>0</v>
      </c>
      <c r="X94" s="114">
        <v>5228.8080612139183</v>
      </c>
      <c r="Y94" s="114">
        <v>25.256234012411042</v>
      </c>
      <c r="Z94" s="114">
        <v>-1417.1919387860817</v>
      </c>
      <c r="AA94" s="166">
        <v>50824.01</v>
      </c>
      <c r="AB94" s="166">
        <v>42787.44</v>
      </c>
      <c r="AC94" s="167">
        <v>1.2710353721526866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95"/>
      <c r="BJ94" s="183"/>
    </row>
    <row r="95" spans="1:62" ht="12.75" customHeight="1" x14ac:dyDescent="0.35">
      <c r="A95" s="105"/>
      <c r="B95" s="163" t="s">
        <v>22</v>
      </c>
      <c r="C95" s="5" t="s">
        <v>5</v>
      </c>
      <c r="D95" s="5" t="s">
        <v>306</v>
      </c>
      <c r="E95" s="5" t="s">
        <v>307</v>
      </c>
      <c r="F95" s="5">
        <v>1062351</v>
      </c>
      <c r="G95" s="7" t="s">
        <v>412</v>
      </c>
      <c r="H95" s="164">
        <v>56125.985831683684</v>
      </c>
      <c r="I95" s="164">
        <v>8418.8978747525525</v>
      </c>
      <c r="J95" s="114">
        <v>0</v>
      </c>
      <c r="K95" s="114">
        <v>19156</v>
      </c>
      <c r="L95" s="165">
        <v>2873.4</v>
      </c>
      <c r="M95" s="115">
        <v>0.36696014679840777</v>
      </c>
      <c r="N95" s="165">
        <v>5545.4978747525529</v>
      </c>
      <c r="O95" s="165">
        <v>0</v>
      </c>
      <c r="P95" s="115">
        <v>0.69145543739900928</v>
      </c>
      <c r="Q95" s="5">
        <v>48900</v>
      </c>
      <c r="R95" s="5">
        <v>1440</v>
      </c>
      <c r="S95" s="5">
        <v>47460</v>
      </c>
      <c r="T95" s="5">
        <v>0</v>
      </c>
      <c r="U95" s="5">
        <v>0</v>
      </c>
      <c r="V95" s="5">
        <v>0</v>
      </c>
      <c r="W95" s="5">
        <v>0</v>
      </c>
      <c r="X95" s="114">
        <v>56125.985831683691</v>
      </c>
      <c r="Y95" s="114">
        <v>25.36792857892663</v>
      </c>
      <c r="Z95" s="114">
        <v>-11930.014168316316</v>
      </c>
      <c r="AA95" s="166">
        <v>188583.31</v>
      </c>
      <c r="AB95" s="166">
        <v>159465.60000000001</v>
      </c>
      <c r="AC95" s="167">
        <v>1.2125577660959623</v>
      </c>
      <c r="AD95" s="168"/>
      <c r="AE95" s="168">
        <v>9.4224010042222996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96" t="s">
        <v>1</v>
      </c>
      <c r="BJ95" s="183"/>
    </row>
    <row r="96" spans="1:62" ht="12.75" customHeight="1" x14ac:dyDescent="0.35">
      <c r="A96" s="105"/>
      <c r="B96" s="163" t="s">
        <v>1</v>
      </c>
      <c r="C96" s="5" t="s">
        <v>2</v>
      </c>
      <c r="D96" s="5" t="s">
        <v>306</v>
      </c>
      <c r="E96" s="5" t="s">
        <v>401</v>
      </c>
      <c r="F96" s="5">
        <v>1076131</v>
      </c>
      <c r="G96" s="7" t="s">
        <v>682</v>
      </c>
      <c r="H96" s="164">
        <v>69768.273377473495</v>
      </c>
      <c r="I96" s="164">
        <v>19535.116545692581</v>
      </c>
      <c r="J96" s="114">
        <v>0</v>
      </c>
      <c r="K96" s="114">
        <v>28397</v>
      </c>
      <c r="L96" s="165">
        <v>7951.1600000000008</v>
      </c>
      <c r="M96" s="115">
        <v>0.42163864140427537</v>
      </c>
      <c r="N96" s="165">
        <v>11583.956545692581</v>
      </c>
      <c r="O96" s="165">
        <v>0.31288064458435655</v>
      </c>
      <c r="P96" s="115">
        <v>1.0132901053555643</v>
      </c>
      <c r="Q96" s="5">
        <v>60194</v>
      </c>
      <c r="R96" s="5">
        <v>1020</v>
      </c>
      <c r="S96" s="5">
        <v>59174</v>
      </c>
      <c r="T96" s="5">
        <v>0</v>
      </c>
      <c r="U96" s="5">
        <v>0</v>
      </c>
      <c r="V96" s="5">
        <v>24120</v>
      </c>
      <c r="W96" s="5">
        <v>0</v>
      </c>
      <c r="X96" s="114">
        <v>69768.273377473495</v>
      </c>
      <c r="Y96" s="114">
        <v>25.444516741805682</v>
      </c>
      <c r="Z96" s="114">
        <v>-18822.726622526505</v>
      </c>
      <c r="AA96" s="166">
        <v>286049.91999999998</v>
      </c>
      <c r="AB96" s="166">
        <v>341505.4</v>
      </c>
      <c r="AC96" s="167">
        <v>1.2697891994644648</v>
      </c>
      <c r="AD96" s="168"/>
      <c r="AE96" s="168"/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95"/>
      <c r="BJ96" s="183"/>
    </row>
    <row r="97" spans="1:62" ht="12.75" customHeight="1" x14ac:dyDescent="0.35">
      <c r="A97" s="105"/>
      <c r="B97" s="163" t="s">
        <v>15</v>
      </c>
      <c r="C97" s="5" t="s">
        <v>5</v>
      </c>
      <c r="D97" s="5" t="s">
        <v>308</v>
      </c>
      <c r="E97" s="5" t="s">
        <v>315</v>
      </c>
      <c r="F97" s="5">
        <v>1074225</v>
      </c>
      <c r="G97" s="7" t="s">
        <v>632</v>
      </c>
      <c r="H97" s="164">
        <v>1003.5453625837021</v>
      </c>
      <c r="I97" s="164">
        <v>752.65902193777652</v>
      </c>
      <c r="J97" s="114">
        <v>0</v>
      </c>
      <c r="K97" s="114">
        <v>253</v>
      </c>
      <c r="L97" s="165">
        <v>189.75</v>
      </c>
      <c r="M97" s="115">
        <v>0.25210619213926982</v>
      </c>
      <c r="N97" s="165">
        <v>562.90902193777652</v>
      </c>
      <c r="O97" s="165">
        <v>0</v>
      </c>
      <c r="P97" s="115">
        <v>0.98868563578802648</v>
      </c>
      <c r="Q97" s="5">
        <v>870</v>
      </c>
      <c r="R97" s="5">
        <v>0</v>
      </c>
      <c r="S97" s="5">
        <v>870</v>
      </c>
      <c r="T97" s="5">
        <v>0</v>
      </c>
      <c r="U97" s="5">
        <v>0</v>
      </c>
      <c r="V97" s="5">
        <v>0</v>
      </c>
      <c r="W97" s="5">
        <v>0</v>
      </c>
      <c r="X97" s="114">
        <v>1003.5453625837021</v>
      </c>
      <c r="Y97" s="114">
        <v>26.007792944011634</v>
      </c>
      <c r="Z97" s="114">
        <v>-119.45463741629794</v>
      </c>
      <c r="AA97" s="166">
        <v>8660.6</v>
      </c>
      <c r="AB97" s="166">
        <v>7508.1</v>
      </c>
      <c r="AC97" s="167">
        <v>1.1190326236063242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96" t="s">
        <v>1</v>
      </c>
      <c r="BJ97" s="183"/>
    </row>
    <row r="98" spans="1:62" ht="12.75" customHeight="1" x14ac:dyDescent="0.35">
      <c r="A98" s="105"/>
      <c r="B98" s="163" t="s">
        <v>1</v>
      </c>
      <c r="C98" s="5" t="s">
        <v>5</v>
      </c>
      <c r="D98" s="5" t="s">
        <v>308</v>
      </c>
      <c r="E98" s="5" t="s">
        <v>307</v>
      </c>
      <c r="F98" s="120">
        <v>1082266</v>
      </c>
      <c r="G98" s="121" t="s">
        <v>756</v>
      </c>
      <c r="H98" s="164">
        <v>82587</v>
      </c>
      <c r="I98" s="164">
        <v>0</v>
      </c>
      <c r="J98" s="114">
        <v>0</v>
      </c>
      <c r="K98" s="114">
        <v>25517</v>
      </c>
      <c r="L98" s="165">
        <v>0</v>
      </c>
      <c r="M98" s="115">
        <v>0.32158814341240149</v>
      </c>
      <c r="N98" s="165">
        <v>0</v>
      </c>
      <c r="O98" s="165">
        <v>0</v>
      </c>
      <c r="P98" s="115">
        <v>0.82808485245039842</v>
      </c>
      <c r="Q98" s="5">
        <v>73250</v>
      </c>
      <c r="R98" s="5">
        <v>1042</v>
      </c>
      <c r="S98" s="5">
        <v>72208</v>
      </c>
      <c r="T98" s="5">
        <v>0</v>
      </c>
      <c r="U98" s="5">
        <v>0</v>
      </c>
      <c r="V98" s="5">
        <v>0</v>
      </c>
      <c r="W98" s="5">
        <v>0</v>
      </c>
      <c r="X98" s="114">
        <v>82587</v>
      </c>
      <c r="Y98" s="114">
        <v>26.229794035380873</v>
      </c>
      <c r="Z98" s="114">
        <v>-16180</v>
      </c>
      <c r="AA98" s="166">
        <v>620228.37</v>
      </c>
      <c r="AB98" s="166">
        <v>542282.07999999996</v>
      </c>
      <c r="AC98" s="167">
        <v>1.1959146112584305</v>
      </c>
      <c r="AD98" s="168"/>
      <c r="AE98" s="168">
        <v>3.8736178813458575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96" t="s">
        <v>1</v>
      </c>
      <c r="BJ98" s="183"/>
    </row>
    <row r="99" spans="1:62" ht="12.75" customHeight="1" x14ac:dyDescent="0.35">
      <c r="A99" s="105"/>
      <c r="B99" s="163" t="s">
        <v>31</v>
      </c>
      <c r="C99" s="5" t="s">
        <v>5</v>
      </c>
      <c r="D99" s="5" t="s">
        <v>306</v>
      </c>
      <c r="E99" s="5" t="s">
        <v>307</v>
      </c>
      <c r="F99" s="5">
        <v>1071183</v>
      </c>
      <c r="G99" s="7" t="s">
        <v>591</v>
      </c>
      <c r="H99" s="164">
        <v>223865.18722675345</v>
      </c>
      <c r="I99" s="164">
        <v>31341.126211745486</v>
      </c>
      <c r="J99" s="114">
        <v>0</v>
      </c>
      <c r="K99" s="114">
        <v>79287</v>
      </c>
      <c r="L99" s="165">
        <v>11100.18</v>
      </c>
      <c r="M99" s="115">
        <v>0.38365500712267919</v>
      </c>
      <c r="N99" s="165">
        <v>20240.946211745486</v>
      </c>
      <c r="O99" s="165">
        <v>5.8950374695068231</v>
      </c>
      <c r="P99" s="115">
        <v>1.2382808284978963</v>
      </c>
      <c r="Q99" s="5">
        <v>203506</v>
      </c>
      <c r="R99" s="5">
        <v>6600</v>
      </c>
      <c r="S99" s="5">
        <v>196906</v>
      </c>
      <c r="T99" s="5">
        <v>0</v>
      </c>
      <c r="U99" s="5">
        <v>450</v>
      </c>
      <c r="V99" s="5">
        <v>0</v>
      </c>
      <c r="W99" s="5">
        <v>0</v>
      </c>
      <c r="X99" s="114">
        <v>223865.18722675342</v>
      </c>
      <c r="Y99" s="114">
        <v>26.387220242585588</v>
      </c>
      <c r="Z99" s="114">
        <v>-58927.812773246551</v>
      </c>
      <c r="AA99" s="166">
        <v>602197.35</v>
      </c>
      <c r="AB99" s="166">
        <v>530887.64</v>
      </c>
      <c r="AC99" s="167">
        <v>1.2632290152088652</v>
      </c>
      <c r="AD99" s="168"/>
      <c r="AE99" s="168">
        <v>21.299374464661145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96" t="s">
        <v>1</v>
      </c>
      <c r="BJ99" s="183"/>
    </row>
    <row r="100" spans="1:62" ht="12.75" customHeight="1" x14ac:dyDescent="0.35">
      <c r="A100" s="105"/>
      <c r="B100" s="163" t="s">
        <v>31</v>
      </c>
      <c r="C100" s="5" t="s">
        <v>5</v>
      </c>
      <c r="D100" s="5" t="s">
        <v>306</v>
      </c>
      <c r="E100" s="5" t="s">
        <v>404</v>
      </c>
      <c r="F100" s="5">
        <v>1072597</v>
      </c>
      <c r="G100" s="7" t="s">
        <v>611</v>
      </c>
      <c r="H100" s="164">
        <v>1586.8377610651905</v>
      </c>
      <c r="I100" s="164">
        <v>793.41888053259527</v>
      </c>
      <c r="J100" s="114">
        <v>0</v>
      </c>
      <c r="K100" s="114">
        <v>236</v>
      </c>
      <c r="L100" s="165">
        <v>118</v>
      </c>
      <c r="M100" s="115">
        <v>0.28484323419212543</v>
      </c>
      <c r="N100" s="165">
        <v>675.41888053259527</v>
      </c>
      <c r="O100" s="165">
        <v>0</v>
      </c>
      <c r="P100" s="115">
        <v>0.54315610777738565</v>
      </c>
      <c r="Q100" s="5">
        <v>1616</v>
      </c>
      <c r="R100" s="5">
        <v>216</v>
      </c>
      <c r="S100" s="5">
        <v>1400</v>
      </c>
      <c r="T100" s="5">
        <v>0</v>
      </c>
      <c r="U100" s="5">
        <v>0</v>
      </c>
      <c r="V100" s="5">
        <v>0</v>
      </c>
      <c r="W100" s="5">
        <v>0</v>
      </c>
      <c r="X100" s="114">
        <v>1586.8377610651905</v>
      </c>
      <c r="Y100" s="114">
        <v>26.467734150595721</v>
      </c>
      <c r="Z100" s="114">
        <v>-265.16223893480947</v>
      </c>
      <c r="AA100" s="166">
        <v>12250.39</v>
      </c>
      <c r="AB100" s="166">
        <v>10808</v>
      </c>
      <c r="AC100" s="167">
        <v>1.1671010392119829</v>
      </c>
      <c r="AD100" s="168"/>
      <c r="AE100" s="168">
        <v>35.095263157894735</v>
      </c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96" t="s">
        <v>1</v>
      </c>
      <c r="BJ100" s="183"/>
    </row>
    <row r="101" spans="1:62" ht="12.75" customHeight="1" x14ac:dyDescent="0.35">
      <c r="A101" s="105"/>
      <c r="B101" s="163" t="s">
        <v>31</v>
      </c>
      <c r="C101" s="5" t="s">
        <v>5</v>
      </c>
      <c r="D101" s="5" t="s">
        <v>306</v>
      </c>
      <c r="E101" s="5" t="s">
        <v>307</v>
      </c>
      <c r="F101" s="5">
        <v>1071169</v>
      </c>
      <c r="G101" s="7" t="s">
        <v>601</v>
      </c>
      <c r="H101" s="164">
        <v>22780.956000863942</v>
      </c>
      <c r="I101" s="164">
        <v>4100.572080155509</v>
      </c>
      <c r="J101" s="114">
        <v>0</v>
      </c>
      <c r="K101" s="114">
        <v>7344</v>
      </c>
      <c r="L101" s="165">
        <v>1321.9199999999998</v>
      </c>
      <c r="M101" s="115">
        <v>0.37083606147519094</v>
      </c>
      <c r="N101" s="165">
        <v>2778.6520801555089</v>
      </c>
      <c r="O101" s="165">
        <v>4.5551322652157884</v>
      </c>
      <c r="P101" s="115">
        <v>1.1445651445561082</v>
      </c>
      <c r="Q101" s="5">
        <v>21261</v>
      </c>
      <c r="R101" s="5">
        <v>1104</v>
      </c>
      <c r="S101" s="5">
        <v>20157</v>
      </c>
      <c r="T101" s="5">
        <v>0</v>
      </c>
      <c r="U101" s="5">
        <v>0</v>
      </c>
      <c r="V101" s="5">
        <v>0</v>
      </c>
      <c r="W101" s="5">
        <v>0</v>
      </c>
      <c r="X101" s="114">
        <v>22780.956000863942</v>
      </c>
      <c r="Y101" s="114">
        <v>26.544540096432613</v>
      </c>
      <c r="Z101" s="114">
        <v>-5824.0439991360581</v>
      </c>
      <c r="AA101" s="166">
        <v>100919.64</v>
      </c>
      <c r="AB101" s="166">
        <v>89295.51</v>
      </c>
      <c r="AC101" s="167">
        <v>1.2556540646896113</v>
      </c>
      <c r="AD101" s="168"/>
      <c r="AE101" s="168"/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95"/>
      <c r="BJ101" s="183"/>
    </row>
    <row r="102" spans="1:62" ht="12.75" customHeight="1" x14ac:dyDescent="0.35">
      <c r="A102" s="105"/>
      <c r="B102" s="163" t="s">
        <v>27</v>
      </c>
      <c r="C102" s="5" t="s">
        <v>5</v>
      </c>
      <c r="D102" s="5" t="s">
        <v>312</v>
      </c>
      <c r="E102" s="5" t="s">
        <v>313</v>
      </c>
      <c r="F102" s="5">
        <v>1052769</v>
      </c>
      <c r="G102" s="7" t="s">
        <v>192</v>
      </c>
      <c r="H102" s="164">
        <v>32654.811252622021</v>
      </c>
      <c r="I102" s="164">
        <v>9012.7279057236792</v>
      </c>
      <c r="J102" s="114">
        <v>0</v>
      </c>
      <c r="K102" s="114">
        <v>15782</v>
      </c>
      <c r="L102" s="165">
        <v>4355.8320000000003</v>
      </c>
      <c r="M102" s="115">
        <v>0.51845346368800715</v>
      </c>
      <c r="N102" s="165">
        <v>4656.8959057236789</v>
      </c>
      <c r="O102" s="165">
        <v>1.9109270940684118</v>
      </c>
      <c r="P102" s="115">
        <v>1.0681263692946699</v>
      </c>
      <c r="Q102" s="5">
        <v>30776</v>
      </c>
      <c r="R102" s="5">
        <v>1148</v>
      </c>
      <c r="S102" s="5">
        <v>29628</v>
      </c>
      <c r="T102" s="5">
        <v>0</v>
      </c>
      <c r="U102" s="5">
        <v>0</v>
      </c>
      <c r="V102" s="5">
        <v>0</v>
      </c>
      <c r="W102" s="5">
        <v>0</v>
      </c>
      <c r="X102" s="114">
        <v>32654.811252622021</v>
      </c>
      <c r="Y102" s="114">
        <v>27.219266194001676</v>
      </c>
      <c r="Z102" s="114">
        <v>-13903.188747377979</v>
      </c>
      <c r="AA102" s="166">
        <v>132578.53</v>
      </c>
      <c r="AB102" s="166">
        <v>120289.68</v>
      </c>
      <c r="AC102" s="167">
        <v>1.4257623368213963</v>
      </c>
      <c r="AD102" s="168"/>
      <c r="AE102" s="168" t="s">
        <v>574</v>
      </c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96" t="s">
        <v>1</v>
      </c>
      <c r="BJ102" s="183"/>
    </row>
    <row r="103" spans="1:62" ht="12.75" customHeight="1" x14ac:dyDescent="0.35">
      <c r="A103" s="105"/>
      <c r="B103" s="163" t="s">
        <v>31</v>
      </c>
      <c r="C103" s="5" t="s">
        <v>5</v>
      </c>
      <c r="D103" s="5" t="s">
        <v>306</v>
      </c>
      <c r="E103" s="5" t="s">
        <v>307</v>
      </c>
      <c r="F103" s="128">
        <v>1076008</v>
      </c>
      <c r="G103" s="129" t="s">
        <v>654</v>
      </c>
      <c r="H103" s="164">
        <v>49589.481382334132</v>
      </c>
      <c r="I103" s="164">
        <v>24794.740691167066</v>
      </c>
      <c r="J103" s="114">
        <v>0</v>
      </c>
      <c r="K103" s="114">
        <v>14676</v>
      </c>
      <c r="L103" s="165">
        <v>7338</v>
      </c>
      <c r="M103" s="115">
        <v>0.35789847978371048</v>
      </c>
      <c r="N103" s="165">
        <v>17456.740691167066</v>
      </c>
      <c r="O103" s="165">
        <v>0</v>
      </c>
      <c r="P103" s="115">
        <v>0.92531334841106061</v>
      </c>
      <c r="Q103" s="5">
        <v>48190</v>
      </c>
      <c r="R103" s="5">
        <v>3072</v>
      </c>
      <c r="S103" s="5">
        <v>45118</v>
      </c>
      <c r="T103" s="5">
        <v>2880</v>
      </c>
      <c r="U103" s="5">
        <v>60</v>
      </c>
      <c r="V103" s="5">
        <v>0</v>
      </c>
      <c r="W103" s="5">
        <v>0</v>
      </c>
      <c r="X103" s="114">
        <v>49589.481382334132</v>
      </c>
      <c r="Y103" s="114">
        <v>27.294901303045044</v>
      </c>
      <c r="Z103" s="114">
        <v>-16156.518617665868</v>
      </c>
      <c r="AA103" s="166">
        <v>581684.62</v>
      </c>
      <c r="AB103" s="166">
        <v>563720.34</v>
      </c>
      <c r="AC103" s="167">
        <v>1.3258053556378089</v>
      </c>
      <c r="AD103" s="168"/>
      <c r="AE103" s="168">
        <v>20.181318524705016</v>
      </c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96" t="s">
        <v>1</v>
      </c>
      <c r="BJ103" s="183"/>
    </row>
    <row r="104" spans="1:62" ht="12.75" customHeight="1" x14ac:dyDescent="0.35">
      <c r="A104" s="105"/>
      <c r="B104" s="163" t="s">
        <v>1</v>
      </c>
      <c r="C104" s="5" t="s">
        <v>50</v>
      </c>
      <c r="D104" s="5" t="s">
        <v>320</v>
      </c>
      <c r="E104" s="5" t="s">
        <v>402</v>
      </c>
      <c r="F104" s="5">
        <v>1060800</v>
      </c>
      <c r="G104" s="7" t="s">
        <v>437</v>
      </c>
      <c r="H104" s="164">
        <v>28558.151187435222</v>
      </c>
      <c r="I104" s="164">
        <v>5140.4672137383395</v>
      </c>
      <c r="J104" s="114">
        <v>0</v>
      </c>
      <c r="K104" s="114">
        <v>18901</v>
      </c>
      <c r="L104" s="165">
        <v>3402.18</v>
      </c>
      <c r="M104" s="115">
        <v>0.67472855205269078</v>
      </c>
      <c r="N104" s="165">
        <v>1738.2872137383397</v>
      </c>
      <c r="O104" s="165">
        <v>0</v>
      </c>
      <c r="P104" s="115">
        <v>0.87226070539512945</v>
      </c>
      <c r="Q104" s="5">
        <v>26608</v>
      </c>
      <c r="R104" s="5">
        <v>368</v>
      </c>
      <c r="S104" s="5">
        <v>26240</v>
      </c>
      <c r="T104" s="5">
        <v>0</v>
      </c>
      <c r="U104" s="5">
        <v>0</v>
      </c>
      <c r="V104" s="5">
        <v>0</v>
      </c>
      <c r="W104" s="5">
        <v>0</v>
      </c>
      <c r="X104" s="114">
        <v>28558.151187435222</v>
      </c>
      <c r="Y104" s="114">
        <v>27.56480959966154</v>
      </c>
      <c r="Z104" s="114">
        <v>-16950.848812564778</v>
      </c>
      <c r="AA104" s="166">
        <v>194195.43</v>
      </c>
      <c r="AB104" s="166">
        <v>178432</v>
      </c>
      <c r="AC104" s="167">
        <v>1.5935555387080753</v>
      </c>
      <c r="AD104" s="168"/>
      <c r="AE104" s="168">
        <v>7.1636228102869923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96" t="s">
        <v>1</v>
      </c>
      <c r="BJ104" s="183"/>
    </row>
    <row r="105" spans="1:62" ht="12.75" customHeight="1" x14ac:dyDescent="0.35">
      <c r="A105" s="105"/>
      <c r="B105" s="163">
        <v>0</v>
      </c>
      <c r="C105" s="5" t="s">
        <v>2</v>
      </c>
      <c r="D105" s="5" t="s">
        <v>310</v>
      </c>
      <c r="E105" s="5" t="s">
        <v>311</v>
      </c>
      <c r="F105" s="116">
        <v>1080747</v>
      </c>
      <c r="G105" s="117" t="s">
        <v>782</v>
      </c>
      <c r="H105" s="164">
        <v>23479.396426383712</v>
      </c>
      <c r="I105" s="164">
        <v>3756.703428221394</v>
      </c>
      <c r="J105" s="114">
        <v>0</v>
      </c>
      <c r="K105" s="114">
        <v>22728</v>
      </c>
      <c r="L105" s="165">
        <v>3636.48</v>
      </c>
      <c r="M105" s="115">
        <v>0.97873044019894218</v>
      </c>
      <c r="N105" s="165">
        <v>120.22342822139399</v>
      </c>
      <c r="O105" s="165">
        <v>19.303670488950658</v>
      </c>
      <c r="P105" s="115">
        <v>1.569379784408284</v>
      </c>
      <c r="Q105" s="5">
        <v>28782</v>
      </c>
      <c r="R105" s="5">
        <v>252</v>
      </c>
      <c r="S105" s="5">
        <v>28530</v>
      </c>
      <c r="T105" s="5">
        <v>0</v>
      </c>
      <c r="U105" s="5">
        <v>0</v>
      </c>
      <c r="V105" s="5">
        <v>0</v>
      </c>
      <c r="W105" s="5">
        <v>0</v>
      </c>
      <c r="X105" s="114">
        <v>30640</v>
      </c>
      <c r="Y105" s="114">
        <v>27.93407310704961</v>
      </c>
      <c r="Z105" s="114">
        <v>-28030.603573616288</v>
      </c>
      <c r="AA105" s="166">
        <v>150972.51999999999</v>
      </c>
      <c r="AB105" s="166">
        <v>183447.9</v>
      </c>
      <c r="AC105" s="167">
        <v>2.193838336581702</v>
      </c>
      <c r="AD105" s="168"/>
      <c r="AE105" s="168">
        <v>45.406639004149376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96" t="s">
        <v>1</v>
      </c>
      <c r="BJ105" s="183"/>
    </row>
    <row r="106" spans="1:62" ht="12.75" customHeight="1" x14ac:dyDescent="0.35">
      <c r="A106" s="105"/>
      <c r="B106" s="163" t="s">
        <v>9</v>
      </c>
      <c r="C106" s="5" t="s">
        <v>5</v>
      </c>
      <c r="D106" s="5" t="s">
        <v>308</v>
      </c>
      <c r="E106" s="5" t="s">
        <v>315</v>
      </c>
      <c r="F106" s="120">
        <v>1080403</v>
      </c>
      <c r="G106" s="121" t="s">
        <v>743</v>
      </c>
      <c r="H106" s="164">
        <v>652.88673111516277</v>
      </c>
      <c r="I106" s="164">
        <v>522.3093848921302</v>
      </c>
      <c r="J106" s="114">
        <v>0</v>
      </c>
      <c r="K106" s="114">
        <v>498</v>
      </c>
      <c r="L106" s="165">
        <v>398.40000000000003</v>
      </c>
      <c r="M106" s="115">
        <v>0.76276630580221993</v>
      </c>
      <c r="N106" s="165">
        <v>123.90938489213016</v>
      </c>
      <c r="O106" s="165">
        <v>4.4628550700518925</v>
      </c>
      <c r="P106" s="115">
        <v>1.1919931945614433</v>
      </c>
      <c r="Q106" s="5">
        <v>628</v>
      </c>
      <c r="R106" s="5">
        <v>0</v>
      </c>
      <c r="S106" s="5">
        <v>628</v>
      </c>
      <c r="T106" s="5">
        <v>0</v>
      </c>
      <c r="U106" s="5">
        <v>0</v>
      </c>
      <c r="V106" s="5">
        <v>0</v>
      </c>
      <c r="W106" s="5">
        <v>0</v>
      </c>
      <c r="X106" s="114">
        <v>664</v>
      </c>
      <c r="Y106" s="114">
        <v>28.373493975903614</v>
      </c>
      <c r="Z106" s="114">
        <v>-473.11326888483723</v>
      </c>
      <c r="AA106" s="166">
        <v>13057.73</v>
      </c>
      <c r="AB106" s="166">
        <v>12560</v>
      </c>
      <c r="AC106" s="167">
        <v>1.7246483139222883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96" t="s">
        <v>1</v>
      </c>
      <c r="BJ106" s="183"/>
    </row>
    <row r="107" spans="1:62" ht="12.75" customHeight="1" x14ac:dyDescent="0.35">
      <c r="A107" s="105"/>
      <c r="B107" s="163" t="s">
        <v>15</v>
      </c>
      <c r="C107" s="5" t="s">
        <v>5</v>
      </c>
      <c r="D107" s="5" t="s">
        <v>308</v>
      </c>
      <c r="E107" s="5" t="s">
        <v>397</v>
      </c>
      <c r="F107" s="55">
        <v>1074165</v>
      </c>
      <c r="G107" s="64" t="s">
        <v>631</v>
      </c>
      <c r="H107" s="164">
        <v>15998.43688074794</v>
      </c>
      <c r="I107" s="164">
        <v>15998.43688074794</v>
      </c>
      <c r="J107" s="114">
        <v>0</v>
      </c>
      <c r="K107" s="114">
        <v>3836</v>
      </c>
      <c r="L107" s="165">
        <v>3836</v>
      </c>
      <c r="M107" s="115">
        <v>0.24371130936497581</v>
      </c>
      <c r="N107" s="165">
        <v>12162.43688074794</v>
      </c>
      <c r="O107" s="165">
        <v>0</v>
      </c>
      <c r="P107" s="115">
        <v>0.65817056455471046</v>
      </c>
      <c r="Q107" s="5">
        <v>15269</v>
      </c>
      <c r="R107" s="5">
        <v>63</v>
      </c>
      <c r="S107" s="5">
        <v>15204</v>
      </c>
      <c r="T107" s="5">
        <v>0</v>
      </c>
      <c r="U107" s="5">
        <v>0</v>
      </c>
      <c r="V107" s="5">
        <v>783</v>
      </c>
      <c r="W107" s="5">
        <v>1</v>
      </c>
      <c r="X107" s="114">
        <v>15998.43688074794</v>
      </c>
      <c r="Y107" s="114">
        <v>28.510285310990707</v>
      </c>
      <c r="Z107" s="114">
        <v>-3106.5631192520596</v>
      </c>
      <c r="AA107" s="166">
        <v>179502.46</v>
      </c>
      <c r="AB107" s="166">
        <v>179385.36</v>
      </c>
      <c r="AC107" s="167">
        <v>1.1941791652777285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95" t="s">
        <v>1</v>
      </c>
      <c r="BJ107" s="183"/>
    </row>
    <row r="108" spans="1:62" ht="12.75" customHeight="1" x14ac:dyDescent="0.35">
      <c r="A108" s="105"/>
      <c r="B108" s="163" t="s">
        <v>27</v>
      </c>
      <c r="C108" s="5" t="s">
        <v>5</v>
      </c>
      <c r="D108" s="5" t="s">
        <v>312</v>
      </c>
      <c r="E108" s="5" t="s">
        <v>313</v>
      </c>
      <c r="F108" s="130">
        <v>1072813</v>
      </c>
      <c r="G108" s="131" t="s">
        <v>612</v>
      </c>
      <c r="H108" s="164">
        <v>50576.906622668379</v>
      </c>
      <c r="I108" s="164">
        <v>11531.534709968391</v>
      </c>
      <c r="J108" s="114">
        <v>0</v>
      </c>
      <c r="K108" s="114">
        <v>11185</v>
      </c>
      <c r="L108" s="165">
        <v>2550.1800000000003</v>
      </c>
      <c r="M108" s="115">
        <v>0.25377194567782052</v>
      </c>
      <c r="N108" s="165">
        <v>8981.354709968391</v>
      </c>
      <c r="O108" s="165">
        <v>4.0624890235974949</v>
      </c>
      <c r="P108" s="115">
        <v>1.151020444453376</v>
      </c>
      <c r="Q108" s="5">
        <v>50611</v>
      </c>
      <c r="R108" s="5">
        <v>1650</v>
      </c>
      <c r="S108" s="5">
        <v>48959</v>
      </c>
      <c r="T108" s="5">
        <v>0</v>
      </c>
      <c r="U108" s="5">
        <v>0</v>
      </c>
      <c r="V108" s="5">
        <v>0</v>
      </c>
      <c r="W108" s="5">
        <v>0</v>
      </c>
      <c r="X108" s="114">
        <v>50576.906622668379</v>
      </c>
      <c r="Y108" s="114">
        <v>29.04032883936209</v>
      </c>
      <c r="Z108" s="114">
        <v>-11219.093377331621</v>
      </c>
      <c r="AA108" s="166">
        <v>108234.58</v>
      </c>
      <c r="AB108" s="166">
        <v>104772.26</v>
      </c>
      <c r="AC108" s="167">
        <v>1.2218224507289908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96" t="s">
        <v>1</v>
      </c>
      <c r="BJ108" s="183"/>
    </row>
    <row r="109" spans="1:62" ht="12.75" customHeight="1" x14ac:dyDescent="0.35">
      <c r="A109" s="105"/>
      <c r="B109" s="163" t="s">
        <v>22</v>
      </c>
      <c r="C109" s="5" t="s">
        <v>5</v>
      </c>
      <c r="D109" s="5" t="s">
        <v>396</v>
      </c>
      <c r="E109" s="5" t="s">
        <v>397</v>
      </c>
      <c r="F109" s="5">
        <v>1051099</v>
      </c>
      <c r="G109" s="7" t="s">
        <v>168</v>
      </c>
      <c r="H109" s="164">
        <v>487.95225315294886</v>
      </c>
      <c r="I109" s="164">
        <v>12198.806328823721</v>
      </c>
      <c r="J109" s="114">
        <v>0</v>
      </c>
      <c r="K109" s="114">
        <v>440</v>
      </c>
      <c r="L109" s="165">
        <v>11000</v>
      </c>
      <c r="M109" s="115">
        <v>0.94271518786452413</v>
      </c>
      <c r="N109" s="165">
        <v>1198.8063288237208</v>
      </c>
      <c r="O109" s="165">
        <v>0</v>
      </c>
      <c r="P109" s="115">
        <v>0.59570268543736582</v>
      </c>
      <c r="Q109" s="5">
        <v>620</v>
      </c>
      <c r="R109" s="5">
        <v>20</v>
      </c>
      <c r="S109" s="5">
        <v>600</v>
      </c>
      <c r="T109" s="5">
        <v>0</v>
      </c>
      <c r="U109" s="5">
        <v>0</v>
      </c>
      <c r="V109" s="5">
        <v>0</v>
      </c>
      <c r="W109" s="5">
        <v>0</v>
      </c>
      <c r="X109" s="114">
        <v>613.33333333333348</v>
      </c>
      <c r="Y109" s="114">
        <v>29.347826086956516</v>
      </c>
      <c r="Z109" s="114">
        <v>-572.04774684705114</v>
      </c>
      <c r="AA109" s="166">
        <v>213815.8</v>
      </c>
      <c r="AB109" s="166">
        <v>262914</v>
      </c>
      <c r="AC109" s="167">
        <v>2.1723436937747729</v>
      </c>
      <c r="AD109" s="168"/>
      <c r="AE109" s="168"/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95" t="s">
        <v>1</v>
      </c>
      <c r="BJ109" s="183"/>
    </row>
    <row r="110" spans="1:62" ht="12.75" customHeight="1" x14ac:dyDescent="0.35">
      <c r="A110" s="105"/>
      <c r="B110" s="163" t="s">
        <v>1</v>
      </c>
      <c r="C110" s="5" t="s">
        <v>50</v>
      </c>
      <c r="D110" s="5" t="s">
        <v>310</v>
      </c>
      <c r="E110" s="5" t="s">
        <v>403</v>
      </c>
      <c r="F110" s="5">
        <v>1076301</v>
      </c>
      <c r="G110" s="7" t="s">
        <v>691</v>
      </c>
      <c r="H110" s="164">
        <v>25429.280159114045</v>
      </c>
      <c r="I110" s="164">
        <v>3305.8064206848258</v>
      </c>
      <c r="J110" s="114">
        <v>0</v>
      </c>
      <c r="K110" s="114">
        <v>16806</v>
      </c>
      <c r="L110" s="165">
        <v>2184.7800000000002</v>
      </c>
      <c r="M110" s="115">
        <v>0.66199278527223937</v>
      </c>
      <c r="N110" s="165">
        <v>1121.0264206848256</v>
      </c>
      <c r="O110" s="165">
        <v>0</v>
      </c>
      <c r="P110" s="115">
        <v>0.89964641583036542</v>
      </c>
      <c r="Q110" s="5">
        <v>25394</v>
      </c>
      <c r="R110" s="5">
        <v>28</v>
      </c>
      <c r="S110" s="5">
        <v>25366</v>
      </c>
      <c r="T110" s="5">
        <v>0</v>
      </c>
      <c r="U110" s="5">
        <v>0</v>
      </c>
      <c r="V110" s="5">
        <v>0</v>
      </c>
      <c r="W110" s="5">
        <v>840</v>
      </c>
      <c r="X110" s="114">
        <v>25429.280159114045</v>
      </c>
      <c r="Y110" s="114">
        <v>29.925345713227319</v>
      </c>
      <c r="Z110" s="114">
        <v>-16770.719840885955</v>
      </c>
      <c r="AA110" s="166">
        <v>115703.22</v>
      </c>
      <c r="AB110" s="166">
        <v>119237.3</v>
      </c>
      <c r="AC110" s="167">
        <v>1.6595043090464832</v>
      </c>
      <c r="AD110" s="168"/>
      <c r="AE110" s="168">
        <v>112.11666666666667</v>
      </c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96" t="s">
        <v>1</v>
      </c>
      <c r="BJ110" s="183"/>
    </row>
    <row r="111" spans="1:62" ht="12.75" customHeight="1" x14ac:dyDescent="0.35">
      <c r="A111" s="105"/>
      <c r="B111" s="163" t="s">
        <v>15</v>
      </c>
      <c r="C111" s="5" t="s">
        <v>5</v>
      </c>
      <c r="D111" s="5" t="s">
        <v>308</v>
      </c>
      <c r="E111" s="5" t="s">
        <v>315</v>
      </c>
      <c r="F111" s="5">
        <v>1074230</v>
      </c>
      <c r="G111" s="7" t="s">
        <v>702</v>
      </c>
      <c r="H111" s="164">
        <v>2053.8073293135353</v>
      </c>
      <c r="I111" s="164">
        <v>924.21329819109087</v>
      </c>
      <c r="J111" s="114">
        <v>0</v>
      </c>
      <c r="K111" s="114">
        <v>768</v>
      </c>
      <c r="L111" s="165">
        <v>345.6</v>
      </c>
      <c r="M111" s="115">
        <v>0.37393965297450582</v>
      </c>
      <c r="N111" s="165">
        <v>578.61329819109085</v>
      </c>
      <c r="O111" s="165">
        <v>0</v>
      </c>
      <c r="P111" s="115">
        <v>0.39780955535657425</v>
      </c>
      <c r="Q111" s="5">
        <v>2049</v>
      </c>
      <c r="R111" s="5">
        <v>0</v>
      </c>
      <c r="S111" s="5">
        <v>2049</v>
      </c>
      <c r="T111" s="5">
        <v>0</v>
      </c>
      <c r="U111" s="5">
        <v>0</v>
      </c>
      <c r="V111" s="5">
        <v>0</v>
      </c>
      <c r="W111" s="5">
        <v>0.6</v>
      </c>
      <c r="X111" s="114">
        <v>2053.8073293135353</v>
      </c>
      <c r="Y111" s="114">
        <v>29.929779255654783</v>
      </c>
      <c r="Z111" s="114">
        <v>-763.19267068646468</v>
      </c>
      <c r="AA111" s="166">
        <v>15383.02</v>
      </c>
      <c r="AB111" s="166">
        <v>15351.5</v>
      </c>
      <c r="AC111" s="167">
        <v>1.371598961496332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96"/>
      <c r="BJ111" s="183"/>
    </row>
    <row r="112" spans="1:62" ht="12.75" customHeight="1" x14ac:dyDescent="0.35">
      <c r="A112" s="105"/>
      <c r="B112" s="163" t="s">
        <v>148</v>
      </c>
      <c r="C112" s="5" t="s">
        <v>5</v>
      </c>
      <c r="D112" s="5" t="s">
        <v>318</v>
      </c>
      <c r="E112" s="5" t="s">
        <v>319</v>
      </c>
      <c r="F112" s="112">
        <v>1054530</v>
      </c>
      <c r="G112" s="113" t="s">
        <v>361</v>
      </c>
      <c r="H112" s="164">
        <v>72</v>
      </c>
      <c r="I112" s="164">
        <v>36</v>
      </c>
      <c r="J112" s="114">
        <v>0</v>
      </c>
      <c r="K112" s="114">
        <v>0</v>
      </c>
      <c r="L112" s="165">
        <v>0</v>
      </c>
      <c r="M112" s="115">
        <v>0</v>
      </c>
      <c r="N112" s="165">
        <v>36</v>
      </c>
      <c r="O112" s="165">
        <v>0.83333333333333415</v>
      </c>
      <c r="P112" s="115">
        <v>1.002</v>
      </c>
      <c r="Q112" s="5">
        <v>72</v>
      </c>
      <c r="R112" s="5">
        <v>0</v>
      </c>
      <c r="S112" s="5">
        <v>72</v>
      </c>
      <c r="T112" s="5">
        <v>0</v>
      </c>
      <c r="U112" s="5">
        <v>0</v>
      </c>
      <c r="V112" s="5">
        <v>0</v>
      </c>
      <c r="W112" s="5">
        <v>0</v>
      </c>
      <c r="X112" s="114">
        <v>72</v>
      </c>
      <c r="Y112" s="114">
        <v>30</v>
      </c>
      <c r="Z112" s="114">
        <v>0</v>
      </c>
      <c r="AA112" s="166">
        <v>608.4</v>
      </c>
      <c r="AB112" s="166">
        <v>608.4</v>
      </c>
      <c r="AC112" s="167">
        <v>1</v>
      </c>
      <c r="AD112" s="168"/>
      <c r="AE112" s="168"/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96"/>
      <c r="BJ112" s="183"/>
    </row>
    <row r="113" spans="1:62" ht="12.75" customHeight="1" x14ac:dyDescent="0.35">
      <c r="A113" s="105"/>
      <c r="B113" s="163" t="s">
        <v>15</v>
      </c>
      <c r="C113" s="5" t="s">
        <v>5</v>
      </c>
      <c r="D113" s="5" t="s">
        <v>308</v>
      </c>
      <c r="E113" s="5" t="s">
        <v>315</v>
      </c>
      <c r="F113" s="55">
        <v>1074227</v>
      </c>
      <c r="G113" s="64" t="s">
        <v>701</v>
      </c>
      <c r="H113" s="164">
        <v>1986.0144582591263</v>
      </c>
      <c r="I113" s="164">
        <v>635.52462664292045</v>
      </c>
      <c r="J113" s="114">
        <v>0</v>
      </c>
      <c r="K113" s="114">
        <v>648</v>
      </c>
      <c r="L113" s="165">
        <v>207.36</v>
      </c>
      <c r="M113" s="115">
        <v>0.32628161255583965</v>
      </c>
      <c r="N113" s="165">
        <v>428.16462664292044</v>
      </c>
      <c r="O113" s="165">
        <v>0</v>
      </c>
      <c r="P113" s="115">
        <v>0.50687499999999996</v>
      </c>
      <c r="Q113" s="5">
        <v>1994</v>
      </c>
      <c r="R113" s="5">
        <v>0</v>
      </c>
      <c r="S113" s="5">
        <v>1994</v>
      </c>
      <c r="T113" s="5">
        <v>0</v>
      </c>
      <c r="U113" s="5">
        <v>0</v>
      </c>
      <c r="V113" s="5">
        <v>0</v>
      </c>
      <c r="W113" s="5">
        <v>0</v>
      </c>
      <c r="X113" s="114">
        <v>1986.0144582591265</v>
      </c>
      <c r="Y113" s="114">
        <v>30.120626640571487</v>
      </c>
      <c r="Z113" s="114">
        <v>-655.98554174087371</v>
      </c>
      <c r="AA113" s="166">
        <v>11081.96</v>
      </c>
      <c r="AB113" s="166">
        <v>11126.52</v>
      </c>
      <c r="AC113" s="167">
        <v>1.3303025005748894</v>
      </c>
      <c r="AD113" s="168"/>
      <c r="AE113" s="168">
        <v>159.2206572769953</v>
      </c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96" t="s">
        <v>1</v>
      </c>
      <c r="BJ113" s="183"/>
    </row>
    <row r="114" spans="1:62" ht="14.5" x14ac:dyDescent="0.35">
      <c r="A114" s="105"/>
      <c r="B114" s="163" t="s">
        <v>1</v>
      </c>
      <c r="C114" s="5" t="s">
        <v>17</v>
      </c>
      <c r="D114" s="5" t="s">
        <v>312</v>
      </c>
      <c r="E114" s="5" t="s">
        <v>398</v>
      </c>
      <c r="F114" s="5">
        <v>1058451</v>
      </c>
      <c r="G114" s="7" t="s">
        <v>268</v>
      </c>
      <c r="H114" s="164">
        <v>727818.68209145404</v>
      </c>
      <c r="I114" s="164">
        <v>175404.30238404041</v>
      </c>
      <c r="J114" s="114">
        <v>0</v>
      </c>
      <c r="K114" s="114">
        <v>406947</v>
      </c>
      <c r="L114" s="165">
        <v>98074.226999999999</v>
      </c>
      <c r="M114" s="115">
        <v>0.5724214151838023</v>
      </c>
      <c r="N114" s="165">
        <v>77330.075384040407</v>
      </c>
      <c r="O114" s="165">
        <v>5.467656073120315</v>
      </c>
      <c r="P114" s="115">
        <v>1.1640084209584296</v>
      </c>
      <c r="Q114" s="5">
        <v>741578</v>
      </c>
      <c r="R114" s="5">
        <v>9672</v>
      </c>
      <c r="S114" s="5">
        <v>731906</v>
      </c>
      <c r="T114" s="5">
        <v>0</v>
      </c>
      <c r="U114" s="5">
        <v>0</v>
      </c>
      <c r="V114" s="5">
        <v>0</v>
      </c>
      <c r="W114" s="5">
        <v>1080</v>
      </c>
      <c r="X114" s="114">
        <v>727818.68209145404</v>
      </c>
      <c r="Y114" s="114">
        <v>30.16847539129391</v>
      </c>
      <c r="Z114" s="114">
        <v>-420706.31790854596</v>
      </c>
      <c r="AA114" s="166">
        <v>1885050.39</v>
      </c>
      <c r="AB114" s="166">
        <v>1898433.74</v>
      </c>
      <c r="AC114" s="167">
        <v>1.578037261560266</v>
      </c>
      <c r="AD114" s="168"/>
      <c r="AE114" s="168">
        <v>24.623909411546315</v>
      </c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96" t="s">
        <v>1</v>
      </c>
      <c r="BJ114" s="183"/>
    </row>
    <row r="115" spans="1:62" ht="12.75" customHeight="1" x14ac:dyDescent="0.35">
      <c r="A115" s="105"/>
      <c r="B115" s="163" t="s">
        <v>15</v>
      </c>
      <c r="C115" s="5" t="s">
        <v>5</v>
      </c>
      <c r="D115" s="5" t="s">
        <v>308</v>
      </c>
      <c r="E115" s="5" t="s">
        <v>315</v>
      </c>
      <c r="F115" s="55">
        <v>1078183</v>
      </c>
      <c r="G115" s="64" t="s">
        <v>694</v>
      </c>
      <c r="H115" s="164">
        <v>1526.4327285526861</v>
      </c>
      <c r="I115" s="164">
        <v>428.92759672330482</v>
      </c>
      <c r="J115" s="114">
        <v>0</v>
      </c>
      <c r="K115" s="114">
        <v>0</v>
      </c>
      <c r="L115" s="165">
        <v>0</v>
      </c>
      <c r="M115" s="115">
        <v>3.6686844400340778E-2</v>
      </c>
      <c r="N115" s="165">
        <v>428.92759672330482</v>
      </c>
      <c r="O115" s="165">
        <v>0</v>
      </c>
      <c r="P115" s="115">
        <v>0.24361628066857091</v>
      </c>
      <c r="Q115" s="5">
        <v>1610</v>
      </c>
      <c r="R115" s="5">
        <v>56</v>
      </c>
      <c r="S115" s="5">
        <v>1554</v>
      </c>
      <c r="T115" s="5">
        <v>0</v>
      </c>
      <c r="U115" s="5">
        <v>0</v>
      </c>
      <c r="V115" s="5">
        <v>0</v>
      </c>
      <c r="W115" s="5">
        <v>0</v>
      </c>
      <c r="X115" s="114">
        <v>1526.4327285526861</v>
      </c>
      <c r="Y115" s="114">
        <v>30.541797963283695</v>
      </c>
      <c r="Z115" s="114">
        <v>-83.567271447313942</v>
      </c>
      <c r="AA115" s="166">
        <v>7220.03</v>
      </c>
      <c r="AB115" s="166">
        <v>7350.42</v>
      </c>
      <c r="AC115" s="167">
        <v>1.0547467765097973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96"/>
      <c r="BJ115" s="183"/>
    </row>
    <row r="116" spans="1:62" ht="12.75" customHeight="1" x14ac:dyDescent="0.35">
      <c r="A116" s="105"/>
      <c r="B116" s="163" t="s">
        <v>1</v>
      </c>
      <c r="C116" s="5" t="s">
        <v>2</v>
      </c>
      <c r="D116" s="5" t="s">
        <v>306</v>
      </c>
      <c r="E116" s="5" t="s">
        <v>401</v>
      </c>
      <c r="F116" s="55">
        <v>1076365</v>
      </c>
      <c r="G116" s="64" t="s">
        <v>724</v>
      </c>
      <c r="H116" s="164">
        <v>12095.063066390399</v>
      </c>
      <c r="I116" s="164">
        <v>10885.55675975136</v>
      </c>
      <c r="J116" s="114">
        <v>0</v>
      </c>
      <c r="K116" s="114">
        <v>3964</v>
      </c>
      <c r="L116" s="165">
        <v>3567.6</v>
      </c>
      <c r="M116" s="115">
        <v>0.39627738802939561</v>
      </c>
      <c r="N116" s="165">
        <v>7317.9567597513596</v>
      </c>
      <c r="O116" s="165">
        <v>0</v>
      </c>
      <c r="P116" s="115">
        <v>0.80759210276419913</v>
      </c>
      <c r="Q116" s="5">
        <v>13525.002</v>
      </c>
      <c r="R116" s="5">
        <v>829</v>
      </c>
      <c r="S116" s="5">
        <v>12696.002</v>
      </c>
      <c r="T116" s="5">
        <v>0</v>
      </c>
      <c r="U116" s="5">
        <v>0</v>
      </c>
      <c r="V116" s="5">
        <v>0</v>
      </c>
      <c r="W116" s="5">
        <v>295</v>
      </c>
      <c r="X116" s="114">
        <v>12095.063066390399</v>
      </c>
      <c r="Y116" s="114">
        <v>31.490539396887019</v>
      </c>
      <c r="Z116" s="114">
        <v>-5393.938933609601</v>
      </c>
      <c r="AA116" s="166">
        <v>226298.63</v>
      </c>
      <c r="AB116" s="166">
        <v>243061.65</v>
      </c>
      <c r="AC116" s="167">
        <v>1.4459620345922963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96" t="s">
        <v>1</v>
      </c>
      <c r="BJ116" s="183"/>
    </row>
    <row r="117" spans="1:62" ht="12.75" customHeight="1" x14ac:dyDescent="0.35">
      <c r="A117" s="105"/>
      <c r="B117" s="163" t="s">
        <v>21</v>
      </c>
      <c r="C117" s="5" t="s">
        <v>5</v>
      </c>
      <c r="D117" s="5" t="s">
        <v>396</v>
      </c>
      <c r="E117" s="5" t="s">
        <v>397</v>
      </c>
      <c r="F117" s="5">
        <v>1071793</v>
      </c>
      <c r="G117" s="7" t="s">
        <v>666</v>
      </c>
      <c r="H117" s="164">
        <v>331.21175475615792</v>
      </c>
      <c r="I117" s="164">
        <v>165.60587737807896</v>
      </c>
      <c r="J117" s="114">
        <v>0</v>
      </c>
      <c r="K117" s="114">
        <v>66</v>
      </c>
      <c r="L117" s="165">
        <v>33</v>
      </c>
      <c r="M117" s="115">
        <v>0.19926829000555851</v>
      </c>
      <c r="N117" s="165">
        <v>132.60587737807896</v>
      </c>
      <c r="O117" s="165">
        <v>7.9101047819881645</v>
      </c>
      <c r="P117" s="115">
        <v>1.1501379728847112</v>
      </c>
      <c r="Q117" s="5">
        <v>349</v>
      </c>
      <c r="R117" s="5">
        <v>0</v>
      </c>
      <c r="S117" s="5">
        <v>349</v>
      </c>
      <c r="T117" s="5">
        <v>440</v>
      </c>
      <c r="U117" s="5">
        <v>0</v>
      </c>
      <c r="V117" s="5">
        <v>0</v>
      </c>
      <c r="W117" s="5">
        <v>0</v>
      </c>
      <c r="X117" s="114">
        <v>331.21175475615792</v>
      </c>
      <c r="Y117" s="114">
        <v>31.611196914518146</v>
      </c>
      <c r="Z117" s="114">
        <v>-523.78824524384208</v>
      </c>
      <c r="AA117" s="166">
        <v>2374.79</v>
      </c>
      <c r="AB117" s="166">
        <v>5657.13</v>
      </c>
      <c r="AC117" s="167">
        <v>2.5814301205265533</v>
      </c>
      <c r="AD117" s="168"/>
      <c r="AE117" s="168">
        <v>40.776923076923076</v>
      </c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96" t="s">
        <v>1</v>
      </c>
      <c r="BJ117" s="183"/>
    </row>
    <row r="118" spans="1:62" ht="12.75" customHeight="1" x14ac:dyDescent="0.35">
      <c r="A118" s="105"/>
      <c r="B118" s="163" t="s">
        <v>9</v>
      </c>
      <c r="C118" s="5" t="s">
        <v>5</v>
      </c>
      <c r="D118" s="5" t="s">
        <v>308</v>
      </c>
      <c r="E118" s="5" t="s">
        <v>397</v>
      </c>
      <c r="F118" s="55">
        <v>1074164</v>
      </c>
      <c r="G118" s="64" t="s">
        <v>700</v>
      </c>
      <c r="H118" s="164">
        <v>7073.8052708503055</v>
      </c>
      <c r="I118" s="164">
        <v>7073.8052708503055</v>
      </c>
      <c r="J118" s="114">
        <v>0</v>
      </c>
      <c r="K118" s="114">
        <v>4429</v>
      </c>
      <c r="L118" s="165">
        <v>4429</v>
      </c>
      <c r="M118" s="115">
        <v>0.62611279649596752</v>
      </c>
      <c r="N118" s="165">
        <v>2644.8052708503055</v>
      </c>
      <c r="O118" s="165">
        <v>1.732765269521485</v>
      </c>
      <c r="P118" s="115">
        <v>1.057526097340429</v>
      </c>
      <c r="Q118" s="5">
        <v>7560</v>
      </c>
      <c r="R118" s="5">
        <v>0</v>
      </c>
      <c r="S118" s="5">
        <v>7465</v>
      </c>
      <c r="T118" s="5">
        <v>0</v>
      </c>
      <c r="U118" s="5">
        <v>0</v>
      </c>
      <c r="V118" s="5">
        <v>0</v>
      </c>
      <c r="W118" s="5">
        <v>0</v>
      </c>
      <c r="X118" s="114">
        <v>7073.8052708503064</v>
      </c>
      <c r="Y118" s="114">
        <v>31.659056395410232</v>
      </c>
      <c r="Z118" s="114">
        <v>-4915.1947291496945</v>
      </c>
      <c r="AA118" s="166">
        <v>76538.570000000007</v>
      </c>
      <c r="AB118" s="166">
        <v>80771.3</v>
      </c>
      <c r="AC118" s="167">
        <v>1.694844506026226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95" t="s">
        <v>1</v>
      </c>
      <c r="BJ118" s="183"/>
    </row>
    <row r="119" spans="1:62" ht="12.75" customHeight="1" x14ac:dyDescent="0.35">
      <c r="A119" s="105"/>
      <c r="B119" s="163" t="s">
        <v>31</v>
      </c>
      <c r="C119" s="5" t="s">
        <v>5</v>
      </c>
      <c r="D119" s="5" t="s">
        <v>396</v>
      </c>
      <c r="E119" s="5" t="s">
        <v>307</v>
      </c>
      <c r="F119" s="5">
        <v>1071765</v>
      </c>
      <c r="G119" s="7" t="s">
        <v>590</v>
      </c>
      <c r="H119" s="164">
        <v>21314.032172968225</v>
      </c>
      <c r="I119" s="164">
        <v>19182.628955671404</v>
      </c>
      <c r="J119" s="114">
        <v>0</v>
      </c>
      <c r="K119" s="114">
        <v>12563</v>
      </c>
      <c r="L119" s="165">
        <v>11306.7</v>
      </c>
      <c r="M119" s="115">
        <v>0.62799004390054758</v>
      </c>
      <c r="N119" s="165">
        <v>7875.9289556714029</v>
      </c>
      <c r="O119" s="165">
        <v>0</v>
      </c>
      <c r="P119" s="115">
        <v>0.9161566794393825</v>
      </c>
      <c r="Q119" s="5">
        <v>23332</v>
      </c>
      <c r="R119" s="5">
        <v>822</v>
      </c>
      <c r="S119" s="5">
        <v>22496</v>
      </c>
      <c r="T119" s="5">
        <v>0</v>
      </c>
      <c r="U119" s="5">
        <v>0</v>
      </c>
      <c r="V119" s="5">
        <v>0</v>
      </c>
      <c r="W119" s="5">
        <v>0</v>
      </c>
      <c r="X119" s="114">
        <v>21314.032172968225</v>
      </c>
      <c r="Y119" s="114">
        <v>31.663647428285515</v>
      </c>
      <c r="Z119" s="114">
        <v>-14580.967827031775</v>
      </c>
      <c r="AA119" s="166">
        <v>372995.56</v>
      </c>
      <c r="AB119" s="166">
        <v>393680</v>
      </c>
      <c r="AC119" s="167">
        <v>1.6841018024512631</v>
      </c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96"/>
      <c r="BJ119" s="183"/>
    </row>
    <row r="120" spans="1:62" ht="12.75" customHeight="1" x14ac:dyDescent="0.35">
      <c r="A120" s="105"/>
      <c r="B120" s="163">
        <v>0</v>
      </c>
      <c r="C120" s="5" t="s">
        <v>2</v>
      </c>
      <c r="D120" s="5" t="s">
        <v>310</v>
      </c>
      <c r="E120" s="5" t="s">
        <v>311</v>
      </c>
      <c r="F120" s="160">
        <v>1080421</v>
      </c>
      <c r="G120" s="162" t="s">
        <v>805</v>
      </c>
      <c r="H120" s="164">
        <v>3702.6126115304191</v>
      </c>
      <c r="I120" s="164">
        <v>2221.5675669182515</v>
      </c>
      <c r="J120" s="114">
        <v>0</v>
      </c>
      <c r="K120" s="114">
        <v>3811</v>
      </c>
      <c r="L120" s="165">
        <v>2286.6</v>
      </c>
      <c r="M120" s="115">
        <v>1.078967858414096</v>
      </c>
      <c r="N120" s="165">
        <v>65.032433081748422</v>
      </c>
      <c r="O120" s="165">
        <v>0</v>
      </c>
      <c r="P120" s="115">
        <v>0.49484540311454628</v>
      </c>
      <c r="Q120" s="5">
        <v>5807</v>
      </c>
      <c r="R120" s="5">
        <v>184</v>
      </c>
      <c r="S120" s="5">
        <v>5623</v>
      </c>
      <c r="T120" s="5">
        <v>0</v>
      </c>
      <c r="U120" s="5">
        <v>0</v>
      </c>
      <c r="V120" s="5">
        <v>904</v>
      </c>
      <c r="W120" s="5">
        <v>0</v>
      </c>
      <c r="X120" s="114">
        <v>5326.666666666667</v>
      </c>
      <c r="Y120" s="114">
        <v>31.668961201501876</v>
      </c>
      <c r="Z120" s="114">
        <v>-5915.3873884695804</v>
      </c>
      <c r="AA120" s="166">
        <v>23585.64</v>
      </c>
      <c r="AB120" s="166">
        <v>41576.99</v>
      </c>
      <c r="AC120" s="167">
        <v>2.5976252471155883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96"/>
      <c r="BJ120" s="183"/>
    </row>
    <row r="121" spans="1:62" ht="12.75" customHeight="1" x14ac:dyDescent="0.35">
      <c r="A121" s="105"/>
      <c r="B121" s="163" t="s">
        <v>31</v>
      </c>
      <c r="C121" s="5" t="s">
        <v>5</v>
      </c>
      <c r="D121" s="5" t="s">
        <v>306</v>
      </c>
      <c r="E121" s="5" t="s">
        <v>307</v>
      </c>
      <c r="F121" s="128">
        <v>1076009</v>
      </c>
      <c r="G121" s="129" t="s">
        <v>655</v>
      </c>
      <c r="H121" s="164">
        <v>52893.715478379956</v>
      </c>
      <c r="I121" s="164">
        <v>21157.486191351985</v>
      </c>
      <c r="J121" s="114">
        <v>0</v>
      </c>
      <c r="K121" s="114">
        <v>26689</v>
      </c>
      <c r="L121" s="165">
        <v>10675.6</v>
      </c>
      <c r="M121" s="115">
        <v>0.53149981516218214</v>
      </c>
      <c r="N121" s="165">
        <v>10481.886191351985</v>
      </c>
      <c r="O121" s="165">
        <v>0</v>
      </c>
      <c r="P121" s="115">
        <v>0.89685076291698862</v>
      </c>
      <c r="Q121" s="5">
        <v>57620</v>
      </c>
      <c r="R121" s="5">
        <v>1424</v>
      </c>
      <c r="S121" s="5">
        <v>56196</v>
      </c>
      <c r="T121" s="5">
        <v>0</v>
      </c>
      <c r="U121" s="5">
        <v>0</v>
      </c>
      <c r="V121" s="5">
        <v>0</v>
      </c>
      <c r="W121" s="5">
        <v>0</v>
      </c>
      <c r="X121" s="114">
        <v>52893.715478379956</v>
      </c>
      <c r="Y121" s="114">
        <v>31.872973655804063</v>
      </c>
      <c r="Z121" s="114">
        <v>-31415.284521620044</v>
      </c>
      <c r="AA121" s="166">
        <v>473398.75</v>
      </c>
      <c r="AB121" s="166">
        <v>502954.2</v>
      </c>
      <c r="AC121" s="167">
        <v>1.5939322703556509</v>
      </c>
      <c r="AD121" s="168"/>
      <c r="AE121" s="168">
        <v>21.67148988350705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96" t="s">
        <v>1</v>
      </c>
      <c r="BJ121" s="183"/>
    </row>
    <row r="122" spans="1:62" ht="12.75" customHeight="1" x14ac:dyDescent="0.35">
      <c r="A122" s="105"/>
      <c r="B122" s="163" t="s">
        <v>1</v>
      </c>
      <c r="C122" s="5" t="s">
        <v>2</v>
      </c>
      <c r="D122" s="5" t="s">
        <v>310</v>
      </c>
      <c r="E122" s="5" t="s">
        <v>311</v>
      </c>
      <c r="F122" s="135">
        <v>1068295</v>
      </c>
      <c r="G122" s="136" t="s">
        <v>566</v>
      </c>
      <c r="H122" s="164">
        <v>802.80434449646077</v>
      </c>
      <c r="I122" s="164">
        <v>433.51434602808882</v>
      </c>
      <c r="J122" s="114">
        <v>0</v>
      </c>
      <c r="K122" s="114">
        <v>442</v>
      </c>
      <c r="L122" s="165">
        <v>238.68</v>
      </c>
      <c r="M122" s="115">
        <v>0.55057001501061087</v>
      </c>
      <c r="N122" s="165">
        <v>194.83434602808882</v>
      </c>
      <c r="O122" s="165">
        <v>12.888330488526401</v>
      </c>
      <c r="P122" s="115">
        <v>1.4262648103991931</v>
      </c>
      <c r="Q122" s="5">
        <v>864</v>
      </c>
      <c r="R122" s="5">
        <v>0</v>
      </c>
      <c r="S122" s="5">
        <v>864</v>
      </c>
      <c r="T122" s="5">
        <v>0</v>
      </c>
      <c r="U122" s="5">
        <v>0</v>
      </c>
      <c r="V122" s="5">
        <v>0</v>
      </c>
      <c r="W122" s="5">
        <v>0</v>
      </c>
      <c r="X122" s="114">
        <v>802.80434449646077</v>
      </c>
      <c r="Y122" s="114">
        <v>32.286820789762515</v>
      </c>
      <c r="Z122" s="114">
        <v>-503.19565550353923</v>
      </c>
      <c r="AA122" s="166">
        <v>6615.11</v>
      </c>
      <c r="AB122" s="166">
        <v>7119.36</v>
      </c>
      <c r="AC122" s="167">
        <v>1.6267973746693616</v>
      </c>
      <c r="AD122" s="168"/>
      <c r="AE122" s="168" t="s">
        <v>574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96" t="s">
        <v>1</v>
      </c>
      <c r="BJ122" s="183"/>
    </row>
    <row r="123" spans="1:62" ht="12.75" customHeight="1" x14ac:dyDescent="0.35">
      <c r="A123" s="105"/>
      <c r="B123" s="163" t="s">
        <v>1</v>
      </c>
      <c r="C123" s="5" t="s">
        <v>50</v>
      </c>
      <c r="D123" s="5" t="s">
        <v>320</v>
      </c>
      <c r="E123" s="5" t="s">
        <v>402</v>
      </c>
      <c r="F123" s="118">
        <v>1060791</v>
      </c>
      <c r="G123" s="119" t="s">
        <v>428</v>
      </c>
      <c r="H123" s="164">
        <v>4496.3200650376175</v>
      </c>
      <c r="I123" s="164">
        <v>809.3376117067711</v>
      </c>
      <c r="J123" s="114">
        <v>0</v>
      </c>
      <c r="K123" s="114">
        <v>4800</v>
      </c>
      <c r="L123" s="165">
        <v>864</v>
      </c>
      <c r="M123" s="115">
        <v>1.2276706106672186</v>
      </c>
      <c r="N123" s="165">
        <v>54.662388293228901</v>
      </c>
      <c r="O123" s="165">
        <v>14.517245686655642</v>
      </c>
      <c r="P123" s="115">
        <v>1.5751241308765047</v>
      </c>
      <c r="Q123" s="5">
        <v>8707</v>
      </c>
      <c r="R123" s="5">
        <v>720</v>
      </c>
      <c r="S123" s="5">
        <v>7987</v>
      </c>
      <c r="T123" s="5">
        <v>0</v>
      </c>
      <c r="U123" s="5">
        <v>0</v>
      </c>
      <c r="V123" s="5">
        <v>0</v>
      </c>
      <c r="W123" s="5">
        <v>0</v>
      </c>
      <c r="X123" s="114">
        <v>7360</v>
      </c>
      <c r="Y123" s="114">
        <v>32.555706521739133</v>
      </c>
      <c r="Z123" s="114">
        <v>-9010.6799349623834</v>
      </c>
      <c r="AA123" s="166">
        <v>30844.76</v>
      </c>
      <c r="AB123" s="166">
        <v>54790.82</v>
      </c>
      <c r="AC123" s="167">
        <v>3.0040121265003847</v>
      </c>
      <c r="AD123" s="168"/>
      <c r="AE123" s="168">
        <v>5.2400270453008789E-2</v>
      </c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96" t="s">
        <v>1</v>
      </c>
      <c r="BJ123" s="183"/>
    </row>
    <row r="124" spans="1:62" ht="12.75" customHeight="1" x14ac:dyDescent="0.35">
      <c r="A124" s="105"/>
      <c r="B124" s="163" t="s">
        <v>1</v>
      </c>
      <c r="C124" s="5" t="s">
        <v>2</v>
      </c>
      <c r="D124" s="5" t="s">
        <v>310</v>
      </c>
      <c r="E124" s="5" t="s">
        <v>311</v>
      </c>
      <c r="F124" s="125">
        <v>1080748</v>
      </c>
      <c r="G124" s="127" t="s">
        <v>768</v>
      </c>
      <c r="H124" s="164">
        <v>3013.0885865988557</v>
      </c>
      <c r="I124" s="164">
        <v>1807.8531519593134</v>
      </c>
      <c r="J124" s="114">
        <v>0</v>
      </c>
      <c r="K124" s="114">
        <v>2636</v>
      </c>
      <c r="L124" s="165">
        <v>1581.6</v>
      </c>
      <c r="M124" s="115">
        <v>0.88613391981742873</v>
      </c>
      <c r="N124" s="165">
        <v>226.25315195931353</v>
      </c>
      <c r="O124" s="165">
        <v>7.7727157909471831</v>
      </c>
      <c r="P124" s="115">
        <v>1.2336378041595661</v>
      </c>
      <c r="Q124" s="5">
        <v>3920</v>
      </c>
      <c r="R124" s="5">
        <v>34</v>
      </c>
      <c r="S124" s="5">
        <v>3886</v>
      </c>
      <c r="T124" s="5">
        <v>0</v>
      </c>
      <c r="U124" s="5">
        <v>0</v>
      </c>
      <c r="V124" s="5">
        <v>0</v>
      </c>
      <c r="W124" s="5">
        <v>0</v>
      </c>
      <c r="X124" s="114">
        <v>3560</v>
      </c>
      <c r="Y124" s="114">
        <v>32.747191011235955</v>
      </c>
      <c r="Z124" s="114">
        <v>-3542.9114134011443</v>
      </c>
      <c r="AA124" s="166">
        <v>43328.21</v>
      </c>
      <c r="AB124" s="166">
        <v>55880.68</v>
      </c>
      <c r="AC124" s="167">
        <v>2.1758404413194992</v>
      </c>
      <c r="AD124" s="168"/>
      <c r="AE124" s="168">
        <v>58.314976494291471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96" t="s">
        <v>1</v>
      </c>
      <c r="BJ124" s="183"/>
    </row>
    <row r="125" spans="1:62" ht="12.75" customHeight="1" x14ac:dyDescent="0.35">
      <c r="A125" s="105"/>
      <c r="B125" s="163" t="s">
        <v>1</v>
      </c>
      <c r="C125" s="5" t="s">
        <v>2</v>
      </c>
      <c r="D125" s="5" t="s">
        <v>306</v>
      </c>
      <c r="E125" s="5" t="s">
        <v>401</v>
      </c>
      <c r="F125" s="5">
        <v>1070092</v>
      </c>
      <c r="G125" s="7" t="s">
        <v>585</v>
      </c>
      <c r="H125" s="164">
        <v>5363.9233774506811</v>
      </c>
      <c r="I125" s="164">
        <v>5363.9233774506811</v>
      </c>
      <c r="J125" s="114">
        <v>0</v>
      </c>
      <c r="K125" s="114">
        <v>2410</v>
      </c>
      <c r="L125" s="165">
        <v>2410</v>
      </c>
      <c r="M125" s="115">
        <v>0.49217705291955832</v>
      </c>
      <c r="N125" s="165">
        <v>2953.9233774506811</v>
      </c>
      <c r="O125" s="165">
        <v>0</v>
      </c>
      <c r="P125" s="115">
        <v>0.66041666666666665</v>
      </c>
      <c r="Q125" s="5">
        <v>6089</v>
      </c>
      <c r="R125" s="5">
        <v>230</v>
      </c>
      <c r="S125" s="5">
        <v>5859</v>
      </c>
      <c r="T125" s="5">
        <v>0</v>
      </c>
      <c r="U125" s="5">
        <v>0</v>
      </c>
      <c r="V125" s="5">
        <v>0</v>
      </c>
      <c r="W125" s="5">
        <v>1201</v>
      </c>
      <c r="X125" s="114">
        <v>5363.9233774506811</v>
      </c>
      <c r="Y125" s="114">
        <v>32.768924466541961</v>
      </c>
      <c r="Z125" s="114">
        <v>-3135.0766225493189</v>
      </c>
      <c r="AA125" s="166">
        <v>48436.23</v>
      </c>
      <c r="AB125" s="166">
        <v>63751.8</v>
      </c>
      <c r="AC125" s="167">
        <v>1.5844745351376237</v>
      </c>
      <c r="AD125" s="168"/>
      <c r="AE125" s="168" t="s">
        <v>574</v>
      </c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96" t="s">
        <v>1</v>
      </c>
      <c r="BJ125" s="183"/>
    </row>
    <row r="126" spans="1:62" ht="12.75" customHeight="1" x14ac:dyDescent="0.35">
      <c r="A126" s="105"/>
      <c r="B126" s="163" t="s">
        <v>15</v>
      </c>
      <c r="C126" s="5" t="s">
        <v>5</v>
      </c>
      <c r="D126" s="5" t="s">
        <v>308</v>
      </c>
      <c r="E126" s="5" t="s">
        <v>315</v>
      </c>
      <c r="F126" s="5">
        <v>1074226</v>
      </c>
      <c r="G126" s="124" t="s">
        <v>633</v>
      </c>
      <c r="H126" s="164">
        <v>2594.5982666827103</v>
      </c>
      <c r="I126" s="164">
        <v>518.91965333654207</v>
      </c>
      <c r="J126" s="114">
        <v>0</v>
      </c>
      <c r="K126" s="114">
        <v>276</v>
      </c>
      <c r="L126" s="165">
        <v>55.2</v>
      </c>
      <c r="M126" s="115">
        <v>0.10637484944938169</v>
      </c>
      <c r="N126" s="165">
        <v>463.71965333654208</v>
      </c>
      <c r="O126" s="165">
        <v>1.1029853875049429</v>
      </c>
      <c r="P126" s="115">
        <v>1.040087915564897</v>
      </c>
      <c r="Q126" s="5">
        <v>2874</v>
      </c>
      <c r="R126" s="5">
        <v>0</v>
      </c>
      <c r="S126" s="5">
        <v>2874</v>
      </c>
      <c r="T126" s="5">
        <v>0</v>
      </c>
      <c r="U126" s="5">
        <v>0</v>
      </c>
      <c r="V126" s="5">
        <v>0</v>
      </c>
      <c r="W126" s="5">
        <v>0</v>
      </c>
      <c r="X126" s="114">
        <v>2594.5982666827103</v>
      </c>
      <c r="Y126" s="114">
        <v>33.230577969295972</v>
      </c>
      <c r="Z126" s="114">
        <v>-555.40173331728965</v>
      </c>
      <c r="AA126" s="166">
        <v>6745.96</v>
      </c>
      <c r="AB126" s="166">
        <v>7472.4</v>
      </c>
      <c r="AC126" s="167">
        <v>1.2140607817592475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95"/>
      <c r="BJ126" s="183"/>
    </row>
    <row r="127" spans="1:62" ht="12.75" customHeight="1" x14ac:dyDescent="0.35">
      <c r="A127" s="105"/>
      <c r="B127" s="163" t="s">
        <v>15</v>
      </c>
      <c r="C127" s="5" t="s">
        <v>5</v>
      </c>
      <c r="D127" s="5" t="s">
        <v>308</v>
      </c>
      <c r="E127" s="5" t="s">
        <v>315</v>
      </c>
      <c r="F127" s="5">
        <v>1078372</v>
      </c>
      <c r="G127" s="7" t="s">
        <v>708</v>
      </c>
      <c r="H127" s="164">
        <v>15096.900101728039</v>
      </c>
      <c r="I127" s="164">
        <v>5434.8840366220938</v>
      </c>
      <c r="J127" s="114">
        <v>0</v>
      </c>
      <c r="K127" s="114">
        <v>6554</v>
      </c>
      <c r="L127" s="165">
        <v>2359.44</v>
      </c>
      <c r="M127" s="115">
        <v>0.44803899836535127</v>
      </c>
      <c r="N127" s="165">
        <v>3075.4440366220938</v>
      </c>
      <c r="O127" s="165">
        <v>0</v>
      </c>
      <c r="P127" s="115">
        <v>0.63403046580299471</v>
      </c>
      <c r="Q127" s="5">
        <v>17107</v>
      </c>
      <c r="R127" s="5">
        <v>210</v>
      </c>
      <c r="S127" s="5">
        <v>16897</v>
      </c>
      <c r="T127" s="5">
        <v>0</v>
      </c>
      <c r="U127" s="5">
        <v>50</v>
      </c>
      <c r="V127" s="5">
        <v>0</v>
      </c>
      <c r="W127" s="5">
        <v>0</v>
      </c>
      <c r="X127" s="114">
        <v>15096.900101728039</v>
      </c>
      <c r="Y127" s="114">
        <v>33.577091759518069</v>
      </c>
      <c r="Z127" s="114">
        <v>-8564.0998982719611</v>
      </c>
      <c r="AA127" s="166">
        <v>95261.440000000002</v>
      </c>
      <c r="AB127" s="166">
        <v>106935.57</v>
      </c>
      <c r="AC127" s="167">
        <v>1.5672753903492869</v>
      </c>
      <c r="AD127" s="168"/>
      <c r="AE127" s="168">
        <v>0</v>
      </c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95" t="s">
        <v>1</v>
      </c>
      <c r="BJ127" s="183"/>
    </row>
    <row r="128" spans="1:62" ht="12.75" customHeight="1" x14ac:dyDescent="0.35">
      <c r="A128" s="105"/>
      <c r="B128" s="163" t="s">
        <v>21</v>
      </c>
      <c r="C128" s="5" t="s">
        <v>5</v>
      </c>
      <c r="D128" s="5" t="s">
        <v>306</v>
      </c>
      <c r="E128" s="5" t="s">
        <v>307</v>
      </c>
      <c r="F128" s="5">
        <v>1016066</v>
      </c>
      <c r="G128" s="7" t="s">
        <v>289</v>
      </c>
      <c r="H128" s="164">
        <v>5880.0001000000002</v>
      </c>
      <c r="I128" s="164">
        <v>5644.8000959999999</v>
      </c>
      <c r="J128" s="114">
        <v>0</v>
      </c>
      <c r="K128" s="114">
        <v>2239</v>
      </c>
      <c r="L128" s="165">
        <v>2149.44</v>
      </c>
      <c r="M128" s="115">
        <v>0.47295917562994599</v>
      </c>
      <c r="N128" s="165">
        <v>3495.3600959999999</v>
      </c>
      <c r="O128" s="165">
        <v>11.043209099872414</v>
      </c>
      <c r="P128" s="115">
        <v>2.146112530718312</v>
      </c>
      <c r="Q128" s="5">
        <v>7156</v>
      </c>
      <c r="R128" s="5">
        <v>542</v>
      </c>
      <c r="S128" s="5">
        <v>6614</v>
      </c>
      <c r="T128" s="5">
        <v>0</v>
      </c>
      <c r="U128" s="5">
        <v>0</v>
      </c>
      <c r="V128" s="5">
        <v>0</v>
      </c>
      <c r="W128" s="5">
        <v>0</v>
      </c>
      <c r="X128" s="114">
        <v>5880.0001000000002</v>
      </c>
      <c r="Y128" s="114">
        <v>33.744897385290855</v>
      </c>
      <c r="Z128" s="114">
        <v>-3514.9998999999998</v>
      </c>
      <c r="AA128" s="166">
        <v>64444.800000000003</v>
      </c>
      <c r="AB128" s="166">
        <v>72489.440000000002</v>
      </c>
      <c r="AC128" s="167">
        <v>1.5977890884729746</v>
      </c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96" t="s">
        <v>1</v>
      </c>
      <c r="BJ128" s="183"/>
    </row>
    <row r="129" spans="1:62" ht="12.75" customHeight="1" x14ac:dyDescent="0.35">
      <c r="A129" s="105"/>
      <c r="B129" s="163" t="s">
        <v>1</v>
      </c>
      <c r="C129" s="5" t="s">
        <v>2</v>
      </c>
      <c r="D129" s="5" t="s">
        <v>310</v>
      </c>
      <c r="E129" s="5" t="s">
        <v>311</v>
      </c>
      <c r="F129" s="5">
        <v>1068805</v>
      </c>
      <c r="G129" s="7" t="s">
        <v>564</v>
      </c>
      <c r="H129" s="164">
        <v>102134.60356176979</v>
      </c>
      <c r="I129" s="164">
        <v>18384.228641118563</v>
      </c>
      <c r="J129" s="114">
        <v>0</v>
      </c>
      <c r="K129" s="114">
        <v>66219</v>
      </c>
      <c r="L129" s="165">
        <v>11919.42</v>
      </c>
      <c r="M129" s="115">
        <v>0.65011267175323861</v>
      </c>
      <c r="N129" s="165">
        <v>6464.8086411185632</v>
      </c>
      <c r="O129" s="165">
        <v>0</v>
      </c>
      <c r="P129" s="115">
        <v>0.54378614421675364</v>
      </c>
      <c r="Q129" s="5">
        <v>115651</v>
      </c>
      <c r="R129" s="5">
        <v>180</v>
      </c>
      <c r="S129" s="5">
        <v>115471</v>
      </c>
      <c r="T129" s="5">
        <v>0</v>
      </c>
      <c r="U129" s="5">
        <v>0</v>
      </c>
      <c r="V129" s="5">
        <v>0</v>
      </c>
      <c r="W129" s="5">
        <v>1782</v>
      </c>
      <c r="X129" s="114">
        <v>102134.60356176979</v>
      </c>
      <c r="Y129" s="114">
        <v>33.917300103925456</v>
      </c>
      <c r="Z129" s="114">
        <v>-79735.396438230207</v>
      </c>
      <c r="AA129" s="166">
        <v>193034.4</v>
      </c>
      <c r="AB129" s="166">
        <v>221608.17</v>
      </c>
      <c r="AC129" s="167">
        <v>1.7806893418840872</v>
      </c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95"/>
      <c r="BJ129" s="183"/>
    </row>
    <row r="130" spans="1:62" ht="12.75" customHeight="1" x14ac:dyDescent="0.35">
      <c r="A130" s="105"/>
      <c r="B130" s="163" t="s">
        <v>1</v>
      </c>
      <c r="C130" s="5" t="s">
        <v>5</v>
      </c>
      <c r="D130" s="5" t="s">
        <v>396</v>
      </c>
      <c r="E130" s="5" t="s">
        <v>307</v>
      </c>
      <c r="F130" s="5">
        <v>1067889</v>
      </c>
      <c r="G130" s="7" t="s">
        <v>542</v>
      </c>
      <c r="H130" s="164">
        <v>1231.9679293834424</v>
      </c>
      <c r="I130" s="164">
        <v>468.1478131657081</v>
      </c>
      <c r="J130" s="114">
        <v>0</v>
      </c>
      <c r="K130" s="114">
        <v>1368</v>
      </c>
      <c r="L130" s="165">
        <v>519.84</v>
      </c>
      <c r="M130" s="115">
        <v>1.1201590293755801</v>
      </c>
      <c r="N130" s="165">
        <v>51.692186834291931</v>
      </c>
      <c r="O130" s="165">
        <v>0.38944198489468157</v>
      </c>
      <c r="P130" s="115">
        <v>1.0115972319257724</v>
      </c>
      <c r="Q130" s="5">
        <v>2112</v>
      </c>
      <c r="R130" s="5">
        <v>12</v>
      </c>
      <c r="S130" s="5">
        <v>2100</v>
      </c>
      <c r="T130" s="5">
        <v>0</v>
      </c>
      <c r="U130" s="5">
        <v>0</v>
      </c>
      <c r="V130" s="5">
        <v>0</v>
      </c>
      <c r="W130" s="5">
        <v>0</v>
      </c>
      <c r="X130" s="114">
        <v>1840</v>
      </c>
      <c r="Y130" s="114">
        <v>34.239130434782609</v>
      </c>
      <c r="Z130" s="114">
        <v>-2248.0320706165576</v>
      </c>
      <c r="AA130" s="166">
        <v>3313.99</v>
      </c>
      <c r="AB130" s="166">
        <v>5649</v>
      </c>
      <c r="AC130" s="167">
        <v>2.8247488566862451</v>
      </c>
      <c r="AD130" s="168"/>
      <c r="AE130" s="168">
        <v>23.572447992259317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96" t="s">
        <v>1</v>
      </c>
      <c r="BJ130" s="183"/>
    </row>
    <row r="131" spans="1:62" ht="12.75" customHeight="1" x14ac:dyDescent="0.35">
      <c r="A131" s="105"/>
      <c r="B131" s="163" t="s">
        <v>1</v>
      </c>
      <c r="C131" s="5" t="s">
        <v>5</v>
      </c>
      <c r="D131" s="5" t="s">
        <v>396</v>
      </c>
      <c r="E131" s="5" t="s">
        <v>397</v>
      </c>
      <c r="F131" s="5">
        <v>1071792</v>
      </c>
      <c r="G131" s="7" t="s">
        <v>665</v>
      </c>
      <c r="H131" s="164">
        <v>4755.8670589169924</v>
      </c>
      <c r="I131" s="164">
        <v>4755.8670589169924</v>
      </c>
      <c r="J131" s="114">
        <v>0</v>
      </c>
      <c r="K131" s="114">
        <v>1096</v>
      </c>
      <c r="L131" s="165">
        <v>1096</v>
      </c>
      <c r="M131" s="115">
        <v>0.28722417659653127</v>
      </c>
      <c r="N131" s="165">
        <v>3659.8670589169924</v>
      </c>
      <c r="O131" s="165">
        <v>0</v>
      </c>
      <c r="P131" s="115">
        <v>0.4073461181135048</v>
      </c>
      <c r="Q131" s="5">
        <v>5720</v>
      </c>
      <c r="R131" s="5">
        <v>270</v>
      </c>
      <c r="S131" s="5">
        <v>5450</v>
      </c>
      <c r="T131" s="5">
        <v>0</v>
      </c>
      <c r="U131" s="5">
        <v>0</v>
      </c>
      <c r="V131" s="5">
        <v>0</v>
      </c>
      <c r="W131" s="5">
        <v>0</v>
      </c>
      <c r="X131" s="114">
        <v>4755.8670589169924</v>
      </c>
      <c r="Y131" s="114">
        <v>34.378589219277352</v>
      </c>
      <c r="Z131" s="114">
        <v>-2060.1329410830076</v>
      </c>
      <c r="AA131" s="166">
        <v>72003.83</v>
      </c>
      <c r="AB131" s="166">
        <v>82513</v>
      </c>
      <c r="AC131" s="167">
        <v>1.4331771505724431</v>
      </c>
      <c r="AD131" s="168"/>
      <c r="AE131" s="168" t="s">
        <v>574</v>
      </c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96" t="s">
        <v>1</v>
      </c>
      <c r="BJ131" s="183"/>
    </row>
    <row r="132" spans="1:62" ht="12.75" customHeight="1" x14ac:dyDescent="0.35">
      <c r="A132" s="105"/>
      <c r="B132" s="163" t="s">
        <v>27</v>
      </c>
      <c r="C132" s="5" t="s">
        <v>5</v>
      </c>
      <c r="D132" s="5" t="s">
        <v>312</v>
      </c>
      <c r="E132" s="5" t="s">
        <v>313</v>
      </c>
      <c r="F132" s="5">
        <v>1077108</v>
      </c>
      <c r="G132" s="7" t="s">
        <v>673</v>
      </c>
      <c r="H132" s="164">
        <v>23084.984989475524</v>
      </c>
      <c r="I132" s="164">
        <v>5263.3765776004193</v>
      </c>
      <c r="J132" s="114">
        <v>0</v>
      </c>
      <c r="K132" s="114">
        <v>13194</v>
      </c>
      <c r="L132" s="165">
        <v>3008.232</v>
      </c>
      <c r="M132" s="115">
        <v>0.61702444279231106</v>
      </c>
      <c r="N132" s="165">
        <v>2255.1445776004193</v>
      </c>
      <c r="O132" s="165">
        <v>0</v>
      </c>
      <c r="P132" s="115">
        <v>0.78901614716041368</v>
      </c>
      <c r="Q132" s="5">
        <v>29173</v>
      </c>
      <c r="R132" s="5">
        <v>1050</v>
      </c>
      <c r="S132" s="5">
        <v>28123</v>
      </c>
      <c r="T132" s="5">
        <v>0</v>
      </c>
      <c r="U132" s="5">
        <v>0</v>
      </c>
      <c r="V132" s="5">
        <v>0</v>
      </c>
      <c r="W132" s="5">
        <v>0</v>
      </c>
      <c r="X132" s="114">
        <v>23084.984989475524</v>
      </c>
      <c r="Y132" s="114">
        <v>36.547132276007083</v>
      </c>
      <c r="Z132" s="114">
        <v>-19282.015010524476</v>
      </c>
      <c r="AA132" s="166">
        <v>48247.62</v>
      </c>
      <c r="AB132" s="166">
        <v>58777.07</v>
      </c>
      <c r="AC132" s="167">
        <v>1.8352621853258806</v>
      </c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95"/>
      <c r="BJ132" s="183"/>
    </row>
    <row r="133" spans="1:62" ht="12.75" customHeight="1" x14ac:dyDescent="0.35">
      <c r="A133" s="105"/>
      <c r="B133" s="163" t="s">
        <v>21</v>
      </c>
      <c r="C133" s="5" t="s">
        <v>5</v>
      </c>
      <c r="D133" s="5" t="s">
        <v>308</v>
      </c>
      <c r="E133" s="5" t="s">
        <v>307</v>
      </c>
      <c r="F133" s="125">
        <v>1089904</v>
      </c>
      <c r="G133" s="162" t="s">
        <v>796</v>
      </c>
      <c r="H133" s="164">
        <v>2730</v>
      </c>
      <c r="I133" s="164">
        <v>1179.3599999999999</v>
      </c>
      <c r="J133" s="114">
        <v>0</v>
      </c>
      <c r="K133" s="114">
        <v>120</v>
      </c>
      <c r="L133" s="165">
        <v>51.839999999999996</v>
      </c>
      <c r="M133" s="115">
        <v>4.3956043956043959E-2</v>
      </c>
      <c r="N133" s="165">
        <v>1127.52</v>
      </c>
      <c r="O133" s="165">
        <v>0</v>
      </c>
      <c r="P133" s="115">
        <v>0.46938775510204084</v>
      </c>
      <c r="Q133" s="5">
        <v>3363</v>
      </c>
      <c r="R133" s="5">
        <v>0</v>
      </c>
      <c r="S133" s="5">
        <v>3363</v>
      </c>
      <c r="T133" s="5">
        <v>0</v>
      </c>
      <c r="U133" s="5">
        <v>0</v>
      </c>
      <c r="V133" s="5">
        <v>0</v>
      </c>
      <c r="W133" s="5">
        <v>0</v>
      </c>
      <c r="X133" s="114">
        <v>2730</v>
      </c>
      <c r="Y133" s="114">
        <v>36.956043956043956</v>
      </c>
      <c r="Z133" s="114">
        <v>-753</v>
      </c>
      <c r="AA133" s="166">
        <v>31804.5</v>
      </c>
      <c r="AB133" s="166">
        <v>39178.949999999997</v>
      </c>
      <c r="AC133" s="167">
        <v>1.2758241758241757</v>
      </c>
      <c r="AD133" s="168"/>
      <c r="AE133" s="168">
        <v>62.451143451143452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96" t="s">
        <v>1</v>
      </c>
      <c r="BJ133" s="183"/>
    </row>
    <row r="134" spans="1:62" ht="12.75" customHeight="1" x14ac:dyDescent="0.35">
      <c r="A134" s="105"/>
      <c r="B134" s="163" t="s">
        <v>1</v>
      </c>
      <c r="C134" s="5" t="s">
        <v>50</v>
      </c>
      <c r="D134" s="5" t="s">
        <v>320</v>
      </c>
      <c r="E134" s="5" t="s">
        <v>402</v>
      </c>
      <c r="F134" s="5">
        <v>1060796</v>
      </c>
      <c r="G134" s="7" t="s">
        <v>433</v>
      </c>
      <c r="H134" s="164">
        <v>19760.953921932243</v>
      </c>
      <c r="I134" s="164">
        <v>3556.9717059478035</v>
      </c>
      <c r="J134" s="114">
        <v>0</v>
      </c>
      <c r="K134" s="114">
        <v>15215</v>
      </c>
      <c r="L134" s="165">
        <v>2738.7</v>
      </c>
      <c r="M134" s="115">
        <v>0.87602046279693546</v>
      </c>
      <c r="N134" s="165">
        <v>818.27170594780364</v>
      </c>
      <c r="O134" s="165">
        <v>6.3243994292887802</v>
      </c>
      <c r="P134" s="115">
        <v>1.1797329026911905</v>
      </c>
      <c r="Q134" s="5">
        <v>30651</v>
      </c>
      <c r="R134" s="5">
        <v>2096</v>
      </c>
      <c r="S134" s="5">
        <v>28555</v>
      </c>
      <c r="T134" s="5">
        <v>0</v>
      </c>
      <c r="U134" s="5">
        <v>0</v>
      </c>
      <c r="V134" s="5">
        <v>0</v>
      </c>
      <c r="W134" s="5">
        <v>0</v>
      </c>
      <c r="X134" s="114">
        <v>23081.333333333336</v>
      </c>
      <c r="Y134" s="114">
        <v>37.114407024435323</v>
      </c>
      <c r="Z134" s="114">
        <v>-26105.046078067757</v>
      </c>
      <c r="AA134" s="166">
        <v>135164.92000000001</v>
      </c>
      <c r="AB134" s="166">
        <v>195316.2</v>
      </c>
      <c r="AC134" s="167">
        <v>2.3210417969293653</v>
      </c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96" t="s">
        <v>1</v>
      </c>
      <c r="BJ134" s="183"/>
    </row>
    <row r="135" spans="1:62" ht="12.75" customHeight="1" x14ac:dyDescent="0.35">
      <c r="A135" s="105"/>
      <c r="B135" s="163" t="s">
        <v>22</v>
      </c>
      <c r="C135" s="5" t="s">
        <v>5</v>
      </c>
      <c r="D135" s="5" t="s">
        <v>396</v>
      </c>
      <c r="E135" s="5" t="s">
        <v>397</v>
      </c>
      <c r="F135" s="5">
        <v>1077857</v>
      </c>
      <c r="G135" s="7" t="s">
        <v>732</v>
      </c>
      <c r="H135" s="164">
        <v>336.46908419673184</v>
      </c>
      <c r="I135" s="164">
        <v>1682.3454209836591</v>
      </c>
      <c r="J135" s="114">
        <v>0</v>
      </c>
      <c r="K135" s="114">
        <v>153</v>
      </c>
      <c r="L135" s="165">
        <v>765</v>
      </c>
      <c r="M135" s="115">
        <v>0.46958251863525791</v>
      </c>
      <c r="N135" s="165">
        <v>917.3454209836591</v>
      </c>
      <c r="O135" s="165">
        <v>0</v>
      </c>
      <c r="P135" s="115">
        <v>0.58261431943171726</v>
      </c>
      <c r="Q135" s="5">
        <v>427</v>
      </c>
      <c r="R135" s="5">
        <v>5</v>
      </c>
      <c r="S135" s="5">
        <v>422</v>
      </c>
      <c r="T135" s="5">
        <v>0</v>
      </c>
      <c r="U135" s="5">
        <v>0</v>
      </c>
      <c r="V135" s="5">
        <v>0</v>
      </c>
      <c r="W135" s="5">
        <v>0</v>
      </c>
      <c r="X135" s="114">
        <v>336.46908419673184</v>
      </c>
      <c r="Y135" s="114">
        <v>37.626042315964341</v>
      </c>
      <c r="Z135" s="114">
        <v>-243.53091580326816</v>
      </c>
      <c r="AA135" s="166">
        <v>36439.599999999999</v>
      </c>
      <c r="AB135" s="166">
        <v>45702.6</v>
      </c>
      <c r="AC135" s="167">
        <v>1.7237839291674026</v>
      </c>
      <c r="AD135" s="168"/>
      <c r="AE135" s="168">
        <v>35.199203187251001</v>
      </c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96" t="s">
        <v>1</v>
      </c>
      <c r="BJ135" s="183"/>
    </row>
    <row r="136" spans="1:62" ht="12.75" customHeight="1" x14ac:dyDescent="0.35">
      <c r="A136" s="105"/>
      <c r="B136" s="163" t="s">
        <v>21</v>
      </c>
      <c r="C136" s="5" t="s">
        <v>5</v>
      </c>
      <c r="D136" s="5" t="s">
        <v>306</v>
      </c>
      <c r="E136" s="5" t="s">
        <v>307</v>
      </c>
      <c r="F136" s="5">
        <v>1059375</v>
      </c>
      <c r="G136" s="7" t="s">
        <v>349</v>
      </c>
      <c r="H136" s="164">
        <v>8876</v>
      </c>
      <c r="I136" s="164">
        <v>7988.4000000000005</v>
      </c>
      <c r="J136" s="114">
        <v>0</v>
      </c>
      <c r="K136" s="114">
        <v>1025</v>
      </c>
      <c r="L136" s="165">
        <v>922.5</v>
      </c>
      <c r="M136" s="115">
        <v>0.13846327174402884</v>
      </c>
      <c r="N136" s="165">
        <v>7065.9000000000005</v>
      </c>
      <c r="O136" s="165">
        <v>0</v>
      </c>
      <c r="P136" s="115">
        <v>0.69433938893666647</v>
      </c>
      <c r="Q136" s="5">
        <v>11425</v>
      </c>
      <c r="R136" s="5">
        <v>204</v>
      </c>
      <c r="S136" s="5">
        <v>11221</v>
      </c>
      <c r="T136" s="5">
        <v>0</v>
      </c>
      <c r="U136" s="5">
        <v>0</v>
      </c>
      <c r="V136" s="5">
        <v>0</v>
      </c>
      <c r="W136" s="5">
        <v>0</v>
      </c>
      <c r="X136" s="114">
        <v>8876</v>
      </c>
      <c r="Y136" s="114">
        <v>37.92586750788643</v>
      </c>
      <c r="Z136" s="114">
        <v>-3574</v>
      </c>
      <c r="AA136" s="166">
        <v>212846.48</v>
      </c>
      <c r="AB136" s="166">
        <v>269079.58</v>
      </c>
      <c r="AC136" s="167">
        <v>1.4026588553402433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95" t="s">
        <v>1</v>
      </c>
      <c r="BJ136" s="183"/>
    </row>
    <row r="137" spans="1:62" ht="12.75" customHeight="1" x14ac:dyDescent="0.35">
      <c r="A137" s="105"/>
      <c r="B137" s="163" t="s">
        <v>4</v>
      </c>
      <c r="C137" s="5" t="s">
        <v>5</v>
      </c>
      <c r="D137" s="5" t="s">
        <v>308</v>
      </c>
      <c r="E137" s="5" t="s">
        <v>315</v>
      </c>
      <c r="F137" s="5">
        <v>1072749</v>
      </c>
      <c r="G137" s="7" t="s">
        <v>661</v>
      </c>
      <c r="H137" s="164">
        <v>15383.448645669054</v>
      </c>
      <c r="I137" s="164">
        <v>923.00691874014319</v>
      </c>
      <c r="J137" s="114">
        <v>0</v>
      </c>
      <c r="K137" s="114">
        <v>11371</v>
      </c>
      <c r="L137" s="165">
        <v>682.26</v>
      </c>
      <c r="M137" s="115">
        <v>0.75119696929942903</v>
      </c>
      <c r="N137" s="165">
        <v>240.7469187401432</v>
      </c>
      <c r="O137" s="165">
        <v>7.2469414339940208</v>
      </c>
      <c r="P137" s="115">
        <v>1.2768269974471138</v>
      </c>
      <c r="Q137" s="5">
        <v>19795</v>
      </c>
      <c r="R137" s="5">
        <v>185</v>
      </c>
      <c r="S137" s="5">
        <v>19610</v>
      </c>
      <c r="T137" s="5">
        <v>0</v>
      </c>
      <c r="U137" s="5">
        <v>0</v>
      </c>
      <c r="V137" s="5">
        <v>0</v>
      </c>
      <c r="W137" s="5">
        <v>0</v>
      </c>
      <c r="X137" s="114">
        <v>15408</v>
      </c>
      <c r="Y137" s="114">
        <v>38.181464174454831</v>
      </c>
      <c r="Z137" s="114">
        <v>-15782.551354330946</v>
      </c>
      <c r="AA137" s="166">
        <v>9537.74</v>
      </c>
      <c r="AB137" s="166">
        <v>12158.2</v>
      </c>
      <c r="AC137" s="167">
        <v>2.0259436435778824</v>
      </c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96"/>
      <c r="BJ137" s="183"/>
    </row>
    <row r="138" spans="1:62" ht="12.75" customHeight="1" x14ac:dyDescent="0.35">
      <c r="A138" s="105"/>
      <c r="B138" s="163" t="s">
        <v>31</v>
      </c>
      <c r="C138" s="5" t="s">
        <v>5</v>
      </c>
      <c r="D138" s="5" t="s">
        <v>306</v>
      </c>
      <c r="E138" s="5" t="s">
        <v>307</v>
      </c>
      <c r="F138" s="128">
        <v>1076007</v>
      </c>
      <c r="G138" s="129" t="s">
        <v>653</v>
      </c>
      <c r="H138" s="164">
        <v>4341.9493411677249</v>
      </c>
      <c r="I138" s="164">
        <v>1302.5848023503174</v>
      </c>
      <c r="J138" s="114">
        <v>0</v>
      </c>
      <c r="K138" s="114">
        <v>1002</v>
      </c>
      <c r="L138" s="165">
        <v>300.59999999999997</v>
      </c>
      <c r="M138" s="115">
        <v>0.48411435390784352</v>
      </c>
      <c r="N138" s="165">
        <v>1001.9848023503175</v>
      </c>
      <c r="O138" s="165">
        <v>0</v>
      </c>
      <c r="P138" s="115">
        <v>0.39971386829687977</v>
      </c>
      <c r="Q138" s="5">
        <v>6700</v>
      </c>
      <c r="R138" s="5">
        <v>1100</v>
      </c>
      <c r="S138" s="5">
        <v>5600</v>
      </c>
      <c r="T138" s="5">
        <v>0</v>
      </c>
      <c r="U138" s="5">
        <v>0</v>
      </c>
      <c r="V138" s="5">
        <v>0</v>
      </c>
      <c r="W138" s="5">
        <v>0</v>
      </c>
      <c r="X138" s="114">
        <v>4341.9493411677249</v>
      </c>
      <c r="Y138" s="114">
        <v>38.692298504527933</v>
      </c>
      <c r="Z138" s="114">
        <v>-3360.0506588322751</v>
      </c>
      <c r="AA138" s="166">
        <v>32173.84</v>
      </c>
      <c r="AB138" s="166">
        <v>41496</v>
      </c>
      <c r="AC138" s="167">
        <v>1.773857637392108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95" t="s">
        <v>1</v>
      </c>
      <c r="BJ138" s="183"/>
    </row>
    <row r="139" spans="1:62" ht="12.75" customHeight="1" x14ac:dyDescent="0.35">
      <c r="A139" s="105"/>
      <c r="B139" s="163" t="s">
        <v>21</v>
      </c>
      <c r="C139" s="5" t="s">
        <v>5</v>
      </c>
      <c r="D139" s="5" t="s">
        <v>308</v>
      </c>
      <c r="E139" s="5" t="s">
        <v>395</v>
      </c>
      <c r="F139" s="5">
        <v>1069726</v>
      </c>
      <c r="G139" s="7" t="s">
        <v>569</v>
      </c>
      <c r="H139" s="164">
        <v>2533.0901547101876</v>
      </c>
      <c r="I139" s="164">
        <v>1266.5450773550938</v>
      </c>
      <c r="J139" s="114">
        <v>0</v>
      </c>
      <c r="K139" s="114">
        <v>1099</v>
      </c>
      <c r="L139" s="165">
        <v>549.5</v>
      </c>
      <c r="M139" s="115">
        <v>0.43385743612656269</v>
      </c>
      <c r="N139" s="165">
        <v>717.04507735509378</v>
      </c>
      <c r="O139" s="165">
        <v>0.25452431150477833</v>
      </c>
      <c r="P139" s="115">
        <v>1.0086084615713407</v>
      </c>
      <c r="Q139" s="5">
        <v>3288</v>
      </c>
      <c r="R139" s="5">
        <v>0</v>
      </c>
      <c r="S139" s="5">
        <v>3288</v>
      </c>
      <c r="T139" s="5">
        <v>0</v>
      </c>
      <c r="U139" s="5">
        <v>0</v>
      </c>
      <c r="V139" s="5">
        <v>0</v>
      </c>
      <c r="W139" s="5">
        <v>0</v>
      </c>
      <c r="X139" s="114">
        <v>2533.0901547101876</v>
      </c>
      <c r="Y139" s="114">
        <v>38.940580072360461</v>
      </c>
      <c r="Z139" s="114">
        <v>-1853.9098452898124</v>
      </c>
      <c r="AA139" s="166">
        <v>45342.31</v>
      </c>
      <c r="AB139" s="166">
        <v>58855.199999999997</v>
      </c>
      <c r="AC139" s="167">
        <v>1.7318767718719112</v>
      </c>
      <c r="AD139" s="168"/>
      <c r="AE139" s="168">
        <v>4.154447115384615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96" t="s">
        <v>1</v>
      </c>
      <c r="BJ139" s="183"/>
    </row>
    <row r="140" spans="1:62" ht="12.75" customHeight="1" x14ac:dyDescent="0.35">
      <c r="A140" s="105"/>
      <c r="B140" s="163" t="s">
        <v>21</v>
      </c>
      <c r="C140" s="5" t="s">
        <v>5</v>
      </c>
      <c r="D140" s="5" t="s">
        <v>308</v>
      </c>
      <c r="E140" s="5" t="s">
        <v>395</v>
      </c>
      <c r="F140" s="5">
        <v>1069938</v>
      </c>
      <c r="G140" s="7" t="s">
        <v>567</v>
      </c>
      <c r="H140" s="164">
        <v>1065.4557589531519</v>
      </c>
      <c r="I140" s="164">
        <v>202.43659420109887</v>
      </c>
      <c r="J140" s="114">
        <v>0</v>
      </c>
      <c r="K140" s="114">
        <v>1501</v>
      </c>
      <c r="L140" s="165">
        <v>285.19</v>
      </c>
      <c r="M140" s="115">
        <v>1.4369437558855207</v>
      </c>
      <c r="N140" s="165">
        <v>82.753405798901127</v>
      </c>
      <c r="O140" s="165">
        <v>10.602342834492241</v>
      </c>
      <c r="P140" s="115">
        <v>1.3360634617101308</v>
      </c>
      <c r="Q140" s="5">
        <v>2740</v>
      </c>
      <c r="R140" s="5">
        <v>30</v>
      </c>
      <c r="S140" s="5">
        <v>2710</v>
      </c>
      <c r="T140" s="5">
        <v>0</v>
      </c>
      <c r="U140" s="5">
        <v>0</v>
      </c>
      <c r="V140" s="5">
        <v>0</v>
      </c>
      <c r="W140" s="5">
        <v>0</v>
      </c>
      <c r="X140" s="114">
        <v>2041.3333333333333</v>
      </c>
      <c r="Y140" s="114">
        <v>39.826910516002613</v>
      </c>
      <c r="Z140" s="114">
        <v>-3175.5442410468481</v>
      </c>
      <c r="AA140" s="166">
        <v>8385.14</v>
      </c>
      <c r="AB140" s="166">
        <v>21327.7</v>
      </c>
      <c r="AC140" s="167">
        <v>3.980456217315802</v>
      </c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95"/>
      <c r="BJ140" s="183"/>
    </row>
    <row r="141" spans="1:62" ht="12.75" customHeight="1" x14ac:dyDescent="0.35">
      <c r="A141" s="105"/>
      <c r="B141" s="163" t="s">
        <v>1</v>
      </c>
      <c r="C141" s="5" t="s">
        <v>24</v>
      </c>
      <c r="D141" s="5" t="s">
        <v>316</v>
      </c>
      <c r="E141" s="5" t="s">
        <v>400</v>
      </c>
      <c r="F141" s="5">
        <v>1024997</v>
      </c>
      <c r="G141" s="7" t="s">
        <v>62</v>
      </c>
      <c r="H141" s="164">
        <v>71799.510314605752</v>
      </c>
      <c r="I141" s="164">
        <v>15221.496186696419</v>
      </c>
      <c r="J141" s="114">
        <v>0</v>
      </c>
      <c r="K141" s="114">
        <v>71458</v>
      </c>
      <c r="L141" s="165">
        <v>15149.096</v>
      </c>
      <c r="M141" s="115">
        <v>1.0033216060158245</v>
      </c>
      <c r="N141" s="165">
        <v>72.400186696419041</v>
      </c>
      <c r="O141" s="165">
        <v>11.821369560369336</v>
      </c>
      <c r="P141" s="115">
        <v>1.4195631867366072</v>
      </c>
      <c r="Q141" s="5">
        <v>129159</v>
      </c>
      <c r="R141" s="5">
        <v>580</v>
      </c>
      <c r="S141" s="5">
        <v>128579</v>
      </c>
      <c r="T141" s="5">
        <v>0</v>
      </c>
      <c r="U141" s="5">
        <v>0</v>
      </c>
      <c r="V141" s="5">
        <v>0</v>
      </c>
      <c r="W141" s="5">
        <v>0</v>
      </c>
      <c r="X141" s="114">
        <v>96050.666666666686</v>
      </c>
      <c r="Y141" s="114">
        <v>40.159742080568584</v>
      </c>
      <c r="Z141" s="114">
        <v>-128817.48968539425</v>
      </c>
      <c r="AA141" s="166">
        <v>364023.52</v>
      </c>
      <c r="AB141" s="166">
        <v>651895.53</v>
      </c>
      <c r="AC141" s="167">
        <v>2.7941276914139297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95" t="s">
        <v>1</v>
      </c>
      <c r="BJ141" s="183"/>
    </row>
    <row r="142" spans="1:62" ht="12.75" customHeight="1" x14ac:dyDescent="0.35">
      <c r="A142" s="105"/>
      <c r="B142" s="163" t="s">
        <v>21</v>
      </c>
      <c r="C142" s="5" t="s">
        <v>5</v>
      </c>
      <c r="D142" s="5" t="s">
        <v>396</v>
      </c>
      <c r="E142" s="5" t="s">
        <v>307</v>
      </c>
      <c r="F142" s="5">
        <v>1063071</v>
      </c>
      <c r="G142" s="7" t="s">
        <v>444</v>
      </c>
      <c r="H142" s="164">
        <v>1345.3491299603775</v>
      </c>
      <c r="I142" s="164">
        <v>672.67456498018873</v>
      </c>
      <c r="J142" s="114">
        <v>0</v>
      </c>
      <c r="K142" s="114">
        <v>870</v>
      </c>
      <c r="L142" s="165">
        <v>435</v>
      </c>
      <c r="M142" s="115">
        <v>0.65856511166443021</v>
      </c>
      <c r="N142" s="165">
        <v>237.67456498018873</v>
      </c>
      <c r="O142" s="165">
        <v>31.355078959841276</v>
      </c>
      <c r="P142" s="115">
        <v>2.3800587935810782</v>
      </c>
      <c r="Q142" s="5">
        <v>1896</v>
      </c>
      <c r="R142" s="5">
        <v>16</v>
      </c>
      <c r="S142" s="5">
        <v>1880</v>
      </c>
      <c r="T142" s="5">
        <v>0</v>
      </c>
      <c r="U142" s="5">
        <v>0</v>
      </c>
      <c r="V142" s="5">
        <v>0</v>
      </c>
      <c r="W142" s="5">
        <v>0</v>
      </c>
      <c r="X142" s="114">
        <v>1345.3491299603775</v>
      </c>
      <c r="Y142" s="114">
        <v>41.922203496471624</v>
      </c>
      <c r="Z142" s="114">
        <v>-1420.6508700396225</v>
      </c>
      <c r="AA142" s="166">
        <v>6753.65</v>
      </c>
      <c r="AB142" s="166">
        <v>9437.6</v>
      </c>
      <c r="AC142" s="167">
        <v>2.0559718948801509</v>
      </c>
      <c r="AD142" s="168"/>
      <c r="AE142" s="168">
        <v>23.728842851009016</v>
      </c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96" t="s">
        <v>1</v>
      </c>
      <c r="BJ142" s="183"/>
    </row>
    <row r="143" spans="1:62" ht="12.75" customHeight="1" x14ac:dyDescent="0.35">
      <c r="A143" s="105"/>
      <c r="B143" s="163" t="s">
        <v>1</v>
      </c>
      <c r="C143" s="5" t="s">
        <v>50</v>
      </c>
      <c r="D143" s="5" t="s">
        <v>320</v>
      </c>
      <c r="E143" s="5" t="s">
        <v>402</v>
      </c>
      <c r="F143" s="5">
        <v>1060794</v>
      </c>
      <c r="G143" s="7" t="s">
        <v>431</v>
      </c>
      <c r="H143" s="164">
        <v>24462.862347123322</v>
      </c>
      <c r="I143" s="164">
        <v>4403.3152224821979</v>
      </c>
      <c r="J143" s="114">
        <v>0</v>
      </c>
      <c r="K143" s="114">
        <v>9828</v>
      </c>
      <c r="L143" s="165">
        <v>1769.04</v>
      </c>
      <c r="M143" s="115">
        <v>0.49724352888043821</v>
      </c>
      <c r="N143" s="165">
        <v>2634.2752224821979</v>
      </c>
      <c r="O143" s="165">
        <v>0</v>
      </c>
      <c r="P143" s="115">
        <v>0.89624705579004116</v>
      </c>
      <c r="Q143" s="5">
        <v>36683</v>
      </c>
      <c r="R143" s="5">
        <v>2336</v>
      </c>
      <c r="S143" s="5">
        <v>34347</v>
      </c>
      <c r="T143" s="5">
        <v>0</v>
      </c>
      <c r="U143" s="5">
        <v>0</v>
      </c>
      <c r="V143" s="5">
        <v>0</v>
      </c>
      <c r="W143" s="5">
        <v>0</v>
      </c>
      <c r="X143" s="114">
        <v>24462.862347123322</v>
      </c>
      <c r="Y143" s="114">
        <v>42.121399588432453</v>
      </c>
      <c r="Z143" s="114">
        <v>-22048.137652876678</v>
      </c>
      <c r="AA143" s="166">
        <v>168059.86</v>
      </c>
      <c r="AB143" s="166">
        <v>235963.89</v>
      </c>
      <c r="AC143" s="167">
        <v>1.9012901818281867</v>
      </c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96"/>
      <c r="BJ143" s="183"/>
    </row>
    <row r="144" spans="1:62" ht="12.75" customHeight="1" x14ac:dyDescent="0.35">
      <c r="A144" s="105"/>
      <c r="B144" s="163" t="s">
        <v>27</v>
      </c>
      <c r="C144" s="5" t="s">
        <v>5</v>
      </c>
      <c r="D144" s="5" t="s">
        <v>312</v>
      </c>
      <c r="E144" s="5" t="s">
        <v>313</v>
      </c>
      <c r="F144" s="5">
        <v>1052770</v>
      </c>
      <c r="G144" s="7" t="s">
        <v>183</v>
      </c>
      <c r="H144" s="164">
        <v>6915.0617421072575</v>
      </c>
      <c r="I144" s="164">
        <v>1908.5570408216033</v>
      </c>
      <c r="J144" s="114">
        <v>0</v>
      </c>
      <c r="K144" s="114">
        <v>3683.8330000000001</v>
      </c>
      <c r="L144" s="165">
        <v>1016.7379080000001</v>
      </c>
      <c r="M144" s="115">
        <v>0.57929099542346019</v>
      </c>
      <c r="N144" s="165">
        <v>891.81913282160326</v>
      </c>
      <c r="O144" s="165">
        <v>0</v>
      </c>
      <c r="P144" s="115">
        <v>0.84404415225130536</v>
      </c>
      <c r="Q144" s="5">
        <v>10169</v>
      </c>
      <c r="R144" s="5">
        <v>322</v>
      </c>
      <c r="S144" s="5">
        <v>9847</v>
      </c>
      <c r="T144" s="5">
        <v>0</v>
      </c>
      <c r="U144" s="5">
        <v>0</v>
      </c>
      <c r="V144" s="5">
        <v>0</v>
      </c>
      <c r="W144" s="5">
        <v>0</v>
      </c>
      <c r="X144" s="114">
        <v>6915.0617421072575</v>
      </c>
      <c r="Y144" s="114">
        <v>42.719792102677367</v>
      </c>
      <c r="Z144" s="114">
        <v>-6937.7712578927421</v>
      </c>
      <c r="AA144" s="166">
        <v>25516.58</v>
      </c>
      <c r="AB144" s="166">
        <v>36335.43</v>
      </c>
      <c r="AC144" s="167">
        <v>2.0032840655127053</v>
      </c>
      <c r="AD144" s="168"/>
      <c r="AE144" s="168"/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95"/>
      <c r="BJ144" s="183"/>
    </row>
    <row r="145" spans="1:62" ht="12.75" customHeight="1" x14ac:dyDescent="0.35">
      <c r="A145" s="105"/>
      <c r="B145" s="163" t="s">
        <v>31</v>
      </c>
      <c r="C145" s="5" t="s">
        <v>5</v>
      </c>
      <c r="D145" s="5" t="s">
        <v>306</v>
      </c>
      <c r="E145" s="5" t="s">
        <v>307</v>
      </c>
      <c r="F145" s="5">
        <v>1071166</v>
      </c>
      <c r="G145" s="7" t="s">
        <v>605</v>
      </c>
      <c r="H145" s="164">
        <v>27210.320556084785</v>
      </c>
      <c r="I145" s="164">
        <v>3809.4448778518704</v>
      </c>
      <c r="J145" s="114">
        <v>0</v>
      </c>
      <c r="K145" s="114">
        <v>6450</v>
      </c>
      <c r="L145" s="165">
        <v>903.00000000000011</v>
      </c>
      <c r="M145" s="115">
        <v>0.3362694673567112</v>
      </c>
      <c r="N145" s="165">
        <v>2906.4448778518704</v>
      </c>
      <c r="O145" s="165">
        <v>0</v>
      </c>
      <c r="P145" s="115">
        <v>0.99747876360033605</v>
      </c>
      <c r="Q145" s="5">
        <v>41628</v>
      </c>
      <c r="R145" s="5">
        <v>2700</v>
      </c>
      <c r="S145" s="5">
        <v>38928</v>
      </c>
      <c r="T145" s="5">
        <v>0</v>
      </c>
      <c r="U145" s="5">
        <v>0</v>
      </c>
      <c r="V145" s="5">
        <v>0</v>
      </c>
      <c r="W145" s="5">
        <v>0</v>
      </c>
      <c r="X145" s="114">
        <v>27210.320556084785</v>
      </c>
      <c r="Y145" s="114">
        <v>42.919009263154273</v>
      </c>
      <c r="Z145" s="114">
        <v>-20867.679443915215</v>
      </c>
      <c r="AA145" s="166">
        <v>74284.179999999993</v>
      </c>
      <c r="AB145" s="166">
        <v>106273.44</v>
      </c>
      <c r="AC145" s="167">
        <v>1.7669031094618535</v>
      </c>
      <c r="AD145" s="168"/>
      <c r="AE145" s="168" t="s">
        <v>574</v>
      </c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96" t="s">
        <v>1</v>
      </c>
      <c r="BJ145" s="183"/>
    </row>
    <row r="146" spans="1:62" ht="12.75" customHeight="1" x14ac:dyDescent="0.35">
      <c r="A146" s="105"/>
      <c r="B146" s="163" t="s">
        <v>21</v>
      </c>
      <c r="C146" s="5" t="s">
        <v>5</v>
      </c>
      <c r="D146" s="5" t="s">
        <v>308</v>
      </c>
      <c r="E146" s="5" t="s">
        <v>395</v>
      </c>
      <c r="F146" s="5">
        <v>1069125</v>
      </c>
      <c r="G146" s="7" t="s">
        <v>557</v>
      </c>
      <c r="H146" s="164">
        <v>74.459450266297608</v>
      </c>
      <c r="I146" s="164">
        <v>59.567560213038092</v>
      </c>
      <c r="J146" s="114">
        <v>0</v>
      </c>
      <c r="K146" s="114">
        <v>40</v>
      </c>
      <c r="L146" s="165">
        <v>32</v>
      </c>
      <c r="M146" s="115">
        <v>0.61778592019528866</v>
      </c>
      <c r="N146" s="165">
        <v>27.567560213038092</v>
      </c>
      <c r="O146" s="165">
        <v>23.543130122192096</v>
      </c>
      <c r="P146" s="115">
        <v>1.7836456004284729</v>
      </c>
      <c r="Q146" s="5">
        <v>117</v>
      </c>
      <c r="R146" s="5">
        <v>6</v>
      </c>
      <c r="S146" s="5">
        <v>111</v>
      </c>
      <c r="T146" s="5">
        <v>0</v>
      </c>
      <c r="U146" s="5">
        <v>0</v>
      </c>
      <c r="V146" s="5">
        <v>0</v>
      </c>
      <c r="W146" s="5">
        <v>89</v>
      </c>
      <c r="X146" s="114">
        <v>74.459450266297608</v>
      </c>
      <c r="Y146" s="114">
        <v>44.722328570658938</v>
      </c>
      <c r="Z146" s="114">
        <v>-82.540549733702392</v>
      </c>
      <c r="AA146" s="166">
        <v>2698.41</v>
      </c>
      <c r="AB146" s="166">
        <v>7248</v>
      </c>
      <c r="AC146" s="167">
        <v>2.1085302058839197</v>
      </c>
      <c r="AD146" s="168"/>
      <c r="AE146" s="168" t="s">
        <v>574</v>
      </c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96" t="s">
        <v>1</v>
      </c>
      <c r="BJ146" s="183"/>
    </row>
    <row r="147" spans="1:62" ht="12.75" customHeight="1" x14ac:dyDescent="0.35">
      <c r="A147" s="105"/>
      <c r="B147" s="163" t="s">
        <v>1</v>
      </c>
      <c r="C147" s="5" t="s">
        <v>50</v>
      </c>
      <c r="D147" s="5" t="s">
        <v>320</v>
      </c>
      <c r="E147" s="5" t="s">
        <v>402</v>
      </c>
      <c r="F147" s="5">
        <v>1060795</v>
      </c>
      <c r="G147" s="7" t="s">
        <v>432</v>
      </c>
      <c r="H147" s="164">
        <v>10892.491214099095</v>
      </c>
      <c r="I147" s="164">
        <v>1960.648418537837</v>
      </c>
      <c r="J147" s="114">
        <v>0</v>
      </c>
      <c r="K147" s="114">
        <v>5458</v>
      </c>
      <c r="L147" s="165">
        <v>982.43999999999994</v>
      </c>
      <c r="M147" s="115">
        <v>0.54441173129653642</v>
      </c>
      <c r="N147" s="165">
        <v>978.20841853783702</v>
      </c>
      <c r="O147" s="165">
        <v>5.6705351837844713</v>
      </c>
      <c r="P147" s="115">
        <v>1.1811572845711926</v>
      </c>
      <c r="Q147" s="5">
        <v>16853</v>
      </c>
      <c r="R147" s="5">
        <v>472</v>
      </c>
      <c r="S147" s="5">
        <v>16381</v>
      </c>
      <c r="T147" s="5">
        <v>0</v>
      </c>
      <c r="U147" s="5">
        <v>0</v>
      </c>
      <c r="V147" s="5">
        <v>0</v>
      </c>
      <c r="W147" s="5">
        <v>0</v>
      </c>
      <c r="X147" s="114">
        <v>10892.491214099095</v>
      </c>
      <c r="Y147" s="114">
        <v>45.116400861898299</v>
      </c>
      <c r="Z147" s="114">
        <v>-11418.508785900905</v>
      </c>
      <c r="AA147" s="166">
        <v>75158.19</v>
      </c>
      <c r="AB147" s="166">
        <v>113028.9</v>
      </c>
      <c r="AC147" s="167">
        <v>2.0482917600264798</v>
      </c>
      <c r="AD147" s="168"/>
      <c r="AE147" s="168">
        <v>53.485240371099245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96" t="s">
        <v>1</v>
      </c>
      <c r="BJ147" s="183"/>
    </row>
    <row r="148" spans="1:62" ht="12.75" customHeight="1" x14ac:dyDescent="0.35">
      <c r="A148" s="105"/>
      <c r="B148" s="163" t="s">
        <v>1</v>
      </c>
      <c r="C148" s="5" t="s">
        <v>2</v>
      </c>
      <c r="D148" s="5" t="s">
        <v>306</v>
      </c>
      <c r="E148" s="5" t="s">
        <v>401</v>
      </c>
      <c r="F148" s="5">
        <v>1077615</v>
      </c>
      <c r="G148" s="7" t="s">
        <v>725</v>
      </c>
      <c r="H148" s="164">
        <v>2677.2957743228999</v>
      </c>
      <c r="I148" s="164">
        <v>1472.512675877595</v>
      </c>
      <c r="J148" s="114">
        <v>0</v>
      </c>
      <c r="K148" s="114">
        <v>3000</v>
      </c>
      <c r="L148" s="165">
        <v>1650.0000000000002</v>
      </c>
      <c r="M148" s="115">
        <v>1.1608728590273247</v>
      </c>
      <c r="N148" s="165">
        <v>177.4873241224052</v>
      </c>
      <c r="O148" s="165">
        <v>31.46458482769042</v>
      </c>
      <c r="P148" s="115">
        <v>2.17</v>
      </c>
      <c r="Q148" s="5">
        <v>6756</v>
      </c>
      <c r="R148" s="5">
        <v>108</v>
      </c>
      <c r="S148" s="5">
        <v>6635</v>
      </c>
      <c r="T148" s="5">
        <v>0</v>
      </c>
      <c r="U148" s="5">
        <v>0</v>
      </c>
      <c r="V148" s="5">
        <v>0</v>
      </c>
      <c r="W148" s="5">
        <v>0</v>
      </c>
      <c r="X148" s="114">
        <v>4144</v>
      </c>
      <c r="Y148" s="114">
        <v>48.033301158301157</v>
      </c>
      <c r="Z148" s="114">
        <v>-7078.7042256771001</v>
      </c>
      <c r="AA148" s="166">
        <v>17027.599999999999</v>
      </c>
      <c r="AB148" s="166">
        <v>42198.6</v>
      </c>
      <c r="AC148" s="167">
        <v>3.6439754223521814</v>
      </c>
      <c r="AD148" s="168"/>
      <c r="AE148" s="168">
        <v>25.413523318326849</v>
      </c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96" t="s">
        <v>1</v>
      </c>
      <c r="BJ148" s="183"/>
    </row>
    <row r="149" spans="1:62" ht="12.75" customHeight="1" x14ac:dyDescent="0.35">
      <c r="A149" s="105"/>
      <c r="B149" s="163" t="s">
        <v>21</v>
      </c>
      <c r="C149" s="5" t="s">
        <v>5</v>
      </c>
      <c r="D149" s="5" t="s">
        <v>396</v>
      </c>
      <c r="E149" s="5" t="s">
        <v>397</v>
      </c>
      <c r="F149" s="5">
        <v>1042368</v>
      </c>
      <c r="G149" s="7" t="s">
        <v>134</v>
      </c>
      <c r="H149" s="164">
        <v>245.46584160474697</v>
      </c>
      <c r="I149" s="164">
        <v>2356.4720794055706</v>
      </c>
      <c r="J149" s="114">
        <v>0</v>
      </c>
      <c r="K149" s="114">
        <v>168</v>
      </c>
      <c r="L149" s="165">
        <v>1612.8</v>
      </c>
      <c r="M149" s="115">
        <v>0.68441294683484433</v>
      </c>
      <c r="N149" s="165">
        <v>743.67207940557068</v>
      </c>
      <c r="O149" s="165">
        <v>0</v>
      </c>
      <c r="P149" s="115">
        <v>0.84526831589683571</v>
      </c>
      <c r="Q149" s="5">
        <v>405</v>
      </c>
      <c r="R149" s="5">
        <v>0</v>
      </c>
      <c r="S149" s="5">
        <v>405</v>
      </c>
      <c r="T149" s="5">
        <v>0</v>
      </c>
      <c r="U149" s="5">
        <v>0</v>
      </c>
      <c r="V149" s="5">
        <v>0</v>
      </c>
      <c r="W149" s="5">
        <v>9</v>
      </c>
      <c r="X149" s="114">
        <v>245.46584160474697</v>
      </c>
      <c r="Y149" s="114">
        <v>49.497722047877133</v>
      </c>
      <c r="Z149" s="114">
        <v>-327.53415839525303</v>
      </c>
      <c r="AA149" s="166">
        <v>22693.32</v>
      </c>
      <c r="AB149" s="166">
        <v>38274.300000000003</v>
      </c>
      <c r="AC149" s="167">
        <v>2.3343370150974154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95" t="s">
        <v>1</v>
      </c>
      <c r="BJ149" s="183"/>
    </row>
    <row r="150" spans="1:62" ht="12.75" customHeight="1" x14ac:dyDescent="0.35">
      <c r="A150" s="105"/>
      <c r="B150" s="163" t="s">
        <v>4</v>
      </c>
      <c r="C150" s="5" t="s">
        <v>5</v>
      </c>
      <c r="D150" s="5" t="s">
        <v>308</v>
      </c>
      <c r="E150" s="5" t="s">
        <v>315</v>
      </c>
      <c r="F150" s="5">
        <v>1072750</v>
      </c>
      <c r="G150" s="7" t="s">
        <v>602</v>
      </c>
      <c r="H150" s="164">
        <v>2319.9531173904361</v>
      </c>
      <c r="I150" s="164">
        <v>463.99062347808723</v>
      </c>
      <c r="J150" s="114">
        <v>0</v>
      </c>
      <c r="K150" s="114">
        <v>1286</v>
      </c>
      <c r="L150" s="165">
        <v>257.2</v>
      </c>
      <c r="M150" s="115">
        <v>0.56466658320816998</v>
      </c>
      <c r="N150" s="165">
        <v>206.79062347808724</v>
      </c>
      <c r="O150" s="165">
        <v>0</v>
      </c>
      <c r="P150" s="115">
        <v>0.89681751976060009</v>
      </c>
      <c r="Q150" s="5">
        <v>3860</v>
      </c>
      <c r="R150" s="5">
        <v>24</v>
      </c>
      <c r="S150" s="5">
        <v>3836</v>
      </c>
      <c r="T150" s="5">
        <v>2640</v>
      </c>
      <c r="U150" s="5">
        <v>0</v>
      </c>
      <c r="V150" s="5">
        <v>0</v>
      </c>
      <c r="W150" s="5">
        <v>0</v>
      </c>
      <c r="X150" s="114">
        <v>2319.9531173904361</v>
      </c>
      <c r="Y150" s="114">
        <v>49.60445068366122</v>
      </c>
      <c r="Z150" s="114">
        <v>-5466.0468826095639</v>
      </c>
      <c r="AA150" s="166">
        <v>4083.12</v>
      </c>
      <c r="AB150" s="166">
        <v>11397.76</v>
      </c>
      <c r="AC150" s="167">
        <v>3.3561023029456574</v>
      </c>
      <c r="AD150" s="168"/>
      <c r="AE150" s="168"/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96"/>
      <c r="BJ150" s="183"/>
    </row>
    <row r="151" spans="1:62" ht="12.75" customHeight="1" x14ac:dyDescent="0.35">
      <c r="A151" s="105"/>
      <c r="B151" s="163" t="s">
        <v>15</v>
      </c>
      <c r="C151" s="5" t="s">
        <v>5</v>
      </c>
      <c r="D151" s="5" t="s">
        <v>312</v>
      </c>
      <c r="E151" s="5" t="s">
        <v>315</v>
      </c>
      <c r="F151" s="55">
        <v>1080722</v>
      </c>
      <c r="G151" s="64" t="s">
        <v>736</v>
      </c>
      <c r="H151" s="164">
        <v>5472.9268292682927</v>
      </c>
      <c r="I151" s="164">
        <v>1543.3653658536584</v>
      </c>
      <c r="J151" s="114">
        <v>0</v>
      </c>
      <c r="K151" s="114">
        <v>5</v>
      </c>
      <c r="L151" s="165">
        <v>1.41</v>
      </c>
      <c r="M151" s="115">
        <v>9.1358794955211911E-4</v>
      </c>
      <c r="N151" s="165">
        <v>1541.9553658536583</v>
      </c>
      <c r="O151" s="165">
        <v>0</v>
      </c>
      <c r="P151" s="115">
        <v>0.14580863674851821</v>
      </c>
      <c r="Q151" s="5">
        <v>9414</v>
      </c>
      <c r="R151" s="5">
        <v>0</v>
      </c>
      <c r="S151" s="5">
        <v>9414</v>
      </c>
      <c r="T151" s="5">
        <v>0</v>
      </c>
      <c r="U151" s="5">
        <v>0</v>
      </c>
      <c r="V151" s="5">
        <v>0</v>
      </c>
      <c r="W151" s="5">
        <v>8984</v>
      </c>
      <c r="X151" s="114">
        <v>5472.9268292682927</v>
      </c>
      <c r="Y151" s="114">
        <v>51.603101742501899</v>
      </c>
      <c r="Z151" s="114">
        <v>-3946.0731707317073</v>
      </c>
      <c r="AA151" s="166">
        <v>23369.4</v>
      </c>
      <c r="AB151" s="166">
        <v>78559.460000000006</v>
      </c>
      <c r="AC151" s="167">
        <v>1.721016979366282</v>
      </c>
      <c r="AD151" s="168"/>
      <c r="AE151" s="168">
        <v>44</v>
      </c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96" t="s">
        <v>1</v>
      </c>
      <c r="BJ151" s="183"/>
    </row>
    <row r="152" spans="1:62" ht="12.75" customHeight="1" x14ac:dyDescent="0.35">
      <c r="A152" s="105"/>
      <c r="B152" s="163" t="s">
        <v>1</v>
      </c>
      <c r="C152" s="5" t="s">
        <v>50</v>
      </c>
      <c r="D152" s="5" t="s">
        <v>320</v>
      </c>
      <c r="E152" s="5" t="s">
        <v>402</v>
      </c>
      <c r="F152" s="5">
        <v>1060797</v>
      </c>
      <c r="G152" s="7" t="s">
        <v>434</v>
      </c>
      <c r="H152" s="164">
        <v>10729.881778899993</v>
      </c>
      <c r="I152" s="164">
        <v>1931.3787202019987</v>
      </c>
      <c r="J152" s="114">
        <v>0</v>
      </c>
      <c r="K152" s="114">
        <v>4246</v>
      </c>
      <c r="L152" s="165">
        <v>764.28</v>
      </c>
      <c r="M152" s="115">
        <v>0.43001405747762289</v>
      </c>
      <c r="N152" s="165">
        <v>1167.0987202019987</v>
      </c>
      <c r="O152" s="165">
        <v>0</v>
      </c>
      <c r="P152" s="115">
        <v>0.83862477740342323</v>
      </c>
      <c r="Q152" s="5">
        <v>19263</v>
      </c>
      <c r="R152" s="5">
        <v>368</v>
      </c>
      <c r="S152" s="5">
        <v>18895</v>
      </c>
      <c r="T152" s="5">
        <v>0</v>
      </c>
      <c r="U152" s="5">
        <v>0</v>
      </c>
      <c r="V152" s="5">
        <v>0</v>
      </c>
      <c r="W152" s="5">
        <v>0</v>
      </c>
      <c r="X152" s="114">
        <v>10729.881778899993</v>
      </c>
      <c r="Y152" s="114">
        <v>52.829100234328251</v>
      </c>
      <c r="Z152" s="114">
        <v>-12779.118221100007</v>
      </c>
      <c r="AA152" s="166">
        <v>73714.289999999994</v>
      </c>
      <c r="AB152" s="166">
        <v>129808.65</v>
      </c>
      <c r="AC152" s="167">
        <v>2.1909840652885642</v>
      </c>
      <c r="AD152" s="168"/>
      <c r="AE152" s="168"/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96" t="s">
        <v>1</v>
      </c>
      <c r="BJ152" s="183"/>
    </row>
    <row r="153" spans="1:62" ht="12.75" customHeight="1" x14ac:dyDescent="0.35">
      <c r="A153" s="105"/>
      <c r="B153" s="163" t="s">
        <v>21</v>
      </c>
      <c r="C153" s="5" t="s">
        <v>5</v>
      </c>
      <c r="D153" s="5" t="s">
        <v>396</v>
      </c>
      <c r="E153" s="5" t="s">
        <v>307</v>
      </c>
      <c r="F153" s="5">
        <v>1082268</v>
      </c>
      <c r="G153" s="7" t="s">
        <v>773</v>
      </c>
      <c r="H153" s="164">
        <v>6747.5595449553985</v>
      </c>
      <c r="I153" s="164">
        <v>1349.5119089910797</v>
      </c>
      <c r="J153" s="114">
        <v>0</v>
      </c>
      <c r="K153" s="114">
        <v>6509</v>
      </c>
      <c r="L153" s="165">
        <v>1301.8000000000002</v>
      </c>
      <c r="M153" s="115">
        <v>0.96938751802348655</v>
      </c>
      <c r="N153" s="165">
        <v>47.711908991079554</v>
      </c>
      <c r="O153" s="165">
        <v>0</v>
      </c>
      <c r="P153" s="115">
        <v>0.93548846940195096</v>
      </c>
      <c r="Q153" s="5">
        <v>15487</v>
      </c>
      <c r="R153" s="5">
        <v>32</v>
      </c>
      <c r="S153" s="5">
        <v>15455</v>
      </c>
      <c r="T153" s="5">
        <v>0</v>
      </c>
      <c r="U153" s="5">
        <v>0</v>
      </c>
      <c r="V153" s="5">
        <v>0</v>
      </c>
      <c r="W153" s="5">
        <v>0</v>
      </c>
      <c r="X153" s="114">
        <v>8721.3333333333339</v>
      </c>
      <c r="Y153" s="114">
        <v>53.162742699892981</v>
      </c>
      <c r="Z153" s="114">
        <v>-15248.440455044602</v>
      </c>
      <c r="AA153" s="166">
        <v>16261.62</v>
      </c>
      <c r="AB153" s="166">
        <v>37246.550000000003</v>
      </c>
      <c r="AC153" s="167">
        <v>3.2598452601199526</v>
      </c>
      <c r="AD153" s="168"/>
      <c r="AE153" s="168">
        <v>70.03012048192771</v>
      </c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96" t="s">
        <v>1</v>
      </c>
      <c r="BJ153" s="183"/>
    </row>
    <row r="154" spans="1:62" ht="12.75" customHeight="1" x14ac:dyDescent="0.35">
      <c r="A154" s="105"/>
      <c r="B154" s="163" t="s">
        <v>21</v>
      </c>
      <c r="C154" s="5" t="s">
        <v>5</v>
      </c>
      <c r="D154" s="5" t="s">
        <v>396</v>
      </c>
      <c r="E154" s="5" t="s">
        <v>397</v>
      </c>
      <c r="F154" s="5">
        <v>1040797</v>
      </c>
      <c r="G154" s="7" t="s">
        <v>84</v>
      </c>
      <c r="H154" s="164">
        <v>4216.0173887177461</v>
      </c>
      <c r="I154" s="164">
        <v>42160.173887177458</v>
      </c>
      <c r="J154" s="114">
        <v>0</v>
      </c>
      <c r="K154" s="114">
        <v>865</v>
      </c>
      <c r="L154" s="165">
        <v>8650</v>
      </c>
      <c r="M154" s="115">
        <v>0.27632713354494048</v>
      </c>
      <c r="N154" s="165">
        <v>33510.173887177458</v>
      </c>
      <c r="O154" s="165">
        <v>0</v>
      </c>
      <c r="P154" s="115">
        <v>0.65044003016958152</v>
      </c>
      <c r="Q154" s="5">
        <v>7982</v>
      </c>
      <c r="R154" s="5">
        <v>300</v>
      </c>
      <c r="S154" s="5">
        <v>7682</v>
      </c>
      <c r="T154" s="5">
        <v>0</v>
      </c>
      <c r="U154" s="5">
        <v>0</v>
      </c>
      <c r="V154" s="5">
        <v>0</v>
      </c>
      <c r="W154" s="5">
        <v>0</v>
      </c>
      <c r="X154" s="114">
        <v>4216.0173887177461</v>
      </c>
      <c r="Y154" s="114">
        <v>54.662962400658358</v>
      </c>
      <c r="Z154" s="114">
        <v>-4630.9826112822539</v>
      </c>
      <c r="AA154" s="166">
        <v>42497.46</v>
      </c>
      <c r="AB154" s="166">
        <v>77434.559999999998</v>
      </c>
      <c r="AC154" s="167">
        <v>2.0984258802335525</v>
      </c>
      <c r="AD154" s="168"/>
      <c r="AE154" s="168">
        <v>18.119303797468355</v>
      </c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96" t="s">
        <v>1</v>
      </c>
      <c r="BJ154" s="183"/>
    </row>
    <row r="155" spans="1:62" ht="12.75" customHeight="1" x14ac:dyDescent="0.35">
      <c r="A155" s="105"/>
      <c r="B155" s="163" t="s">
        <v>21</v>
      </c>
      <c r="C155" s="5" t="s">
        <v>5</v>
      </c>
      <c r="D155" s="5" t="s">
        <v>308</v>
      </c>
      <c r="E155" s="5" t="s">
        <v>395</v>
      </c>
      <c r="F155" s="5">
        <v>1069116</v>
      </c>
      <c r="G155" s="7" t="s">
        <v>555</v>
      </c>
      <c r="H155" s="164">
        <v>193.91889053259521</v>
      </c>
      <c r="I155" s="164">
        <v>155.13511242607618</v>
      </c>
      <c r="J155" s="114">
        <v>0</v>
      </c>
      <c r="K155" s="114">
        <v>81</v>
      </c>
      <c r="L155" s="165">
        <v>64.8</v>
      </c>
      <c r="M155" s="115">
        <v>0.49505233727532938</v>
      </c>
      <c r="N155" s="165">
        <v>90.335112426076179</v>
      </c>
      <c r="O155" s="165">
        <v>15.156982955012126</v>
      </c>
      <c r="P155" s="115">
        <v>1.5266697700909457</v>
      </c>
      <c r="Q155" s="5">
        <v>370</v>
      </c>
      <c r="R155" s="5">
        <v>15</v>
      </c>
      <c r="S155" s="5">
        <v>355</v>
      </c>
      <c r="T155" s="5">
        <v>0</v>
      </c>
      <c r="U155" s="5">
        <v>0</v>
      </c>
      <c r="V155" s="5">
        <v>0</v>
      </c>
      <c r="W155" s="5">
        <v>0</v>
      </c>
      <c r="X155" s="114">
        <v>193.91889053259521</v>
      </c>
      <c r="Y155" s="114">
        <v>54.919868666481854</v>
      </c>
      <c r="Z155" s="114">
        <v>-257.08110946740476</v>
      </c>
      <c r="AA155" s="166">
        <v>7252.57</v>
      </c>
      <c r="AB155" s="166">
        <v>13277</v>
      </c>
      <c r="AC155" s="167">
        <v>2.3257146261580575</v>
      </c>
      <c r="AD155" s="168"/>
      <c r="AE155" s="168" t="s">
        <v>574</v>
      </c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95" t="s">
        <v>1</v>
      </c>
      <c r="BJ155" s="183"/>
    </row>
    <row r="156" spans="1:62" ht="12.75" customHeight="1" x14ac:dyDescent="0.35">
      <c r="A156" s="105"/>
      <c r="B156" s="163" t="s">
        <v>1</v>
      </c>
      <c r="C156" s="5" t="s">
        <v>2</v>
      </c>
      <c r="D156" s="5" t="s">
        <v>396</v>
      </c>
      <c r="E156" s="5" t="s">
        <v>397</v>
      </c>
      <c r="F156" s="55">
        <v>1043304</v>
      </c>
      <c r="G156" s="64" t="s">
        <v>123</v>
      </c>
      <c r="H156" s="164">
        <v>956.29816686570075</v>
      </c>
      <c r="I156" s="164">
        <v>956.29816686570075</v>
      </c>
      <c r="J156" s="114">
        <v>0</v>
      </c>
      <c r="K156" s="114">
        <v>431</v>
      </c>
      <c r="L156" s="165">
        <v>431</v>
      </c>
      <c r="M156" s="115">
        <v>0.81459949102819951</v>
      </c>
      <c r="N156" s="165">
        <v>525.29816686570075</v>
      </c>
      <c r="O156" s="165">
        <v>0</v>
      </c>
      <c r="P156" s="115">
        <v>0.96091074306550739</v>
      </c>
      <c r="Q156" s="5">
        <v>2255</v>
      </c>
      <c r="R156" s="5">
        <v>348</v>
      </c>
      <c r="S156" s="5">
        <v>1907</v>
      </c>
      <c r="T156" s="5">
        <v>0</v>
      </c>
      <c r="U156" s="5">
        <v>0</v>
      </c>
      <c r="V156" s="5">
        <v>0</v>
      </c>
      <c r="W156" s="5">
        <v>0</v>
      </c>
      <c r="X156" s="114">
        <v>1038.6666666666667</v>
      </c>
      <c r="Y156" s="114">
        <v>55.080231065468546</v>
      </c>
      <c r="Z156" s="114">
        <v>-1729.7018331342992</v>
      </c>
      <c r="AA156" s="166">
        <v>32753.21</v>
      </c>
      <c r="AB156" s="166">
        <v>65314.75</v>
      </c>
      <c r="AC156" s="167">
        <v>2.8087474106569239</v>
      </c>
      <c r="AD156" s="168"/>
      <c r="AE156" s="168">
        <v>532.11500000000001</v>
      </c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96" t="s">
        <v>1</v>
      </c>
      <c r="BJ156" s="183"/>
    </row>
    <row r="157" spans="1:62" ht="14.5" x14ac:dyDescent="0.35">
      <c r="A157" s="105"/>
      <c r="B157" s="163" t="s">
        <v>1</v>
      </c>
      <c r="C157" s="5" t="s">
        <v>50</v>
      </c>
      <c r="D157" s="5" t="s">
        <v>320</v>
      </c>
      <c r="E157" s="5" t="s">
        <v>402</v>
      </c>
      <c r="F157" s="5">
        <v>1060799</v>
      </c>
      <c r="G157" s="7" t="s">
        <v>436</v>
      </c>
      <c r="H157" s="164">
        <v>11693.076875766734</v>
      </c>
      <c r="I157" s="164">
        <v>2104.7538376380121</v>
      </c>
      <c r="J157" s="114">
        <v>0</v>
      </c>
      <c r="K157" s="114">
        <v>3980</v>
      </c>
      <c r="L157" s="165">
        <v>716.4</v>
      </c>
      <c r="M157" s="115">
        <v>0.35747648325675707</v>
      </c>
      <c r="N157" s="165">
        <v>1388.353837638012</v>
      </c>
      <c r="O157" s="165">
        <v>0</v>
      </c>
      <c r="P157" s="115">
        <v>0.99357892619528232</v>
      </c>
      <c r="Q157" s="5">
        <v>21957</v>
      </c>
      <c r="R157" s="5">
        <v>200</v>
      </c>
      <c r="S157" s="5">
        <v>21757</v>
      </c>
      <c r="T157" s="5">
        <v>0</v>
      </c>
      <c r="U157" s="5">
        <v>0</v>
      </c>
      <c r="V157" s="5">
        <v>0</v>
      </c>
      <c r="W157" s="5">
        <v>0</v>
      </c>
      <c r="X157" s="114">
        <v>11693.076875766734</v>
      </c>
      <c r="Y157" s="114">
        <v>55.820209422611939</v>
      </c>
      <c r="Z157" s="114">
        <v>-14243.923124233266</v>
      </c>
      <c r="AA157" s="166">
        <v>79746.78</v>
      </c>
      <c r="AB157" s="166">
        <v>148382.74</v>
      </c>
      <c r="AC157" s="167">
        <v>2.2181501306771549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96"/>
      <c r="BJ157" s="183"/>
    </row>
    <row r="158" spans="1:62" ht="12.75" customHeight="1" x14ac:dyDescent="0.35">
      <c r="A158" s="105"/>
      <c r="B158" s="163" t="s">
        <v>1</v>
      </c>
      <c r="C158" s="5" t="s">
        <v>50</v>
      </c>
      <c r="D158" s="5" t="s">
        <v>310</v>
      </c>
      <c r="E158" s="5" t="s">
        <v>403</v>
      </c>
      <c r="F158" s="5">
        <v>1076303</v>
      </c>
      <c r="G158" s="7" t="s">
        <v>693</v>
      </c>
      <c r="H158" s="164">
        <v>5649.7101311142296</v>
      </c>
      <c r="I158" s="164">
        <v>209.03927485122648</v>
      </c>
      <c r="J158" s="114">
        <v>0</v>
      </c>
      <c r="K158" s="114">
        <v>2888</v>
      </c>
      <c r="L158" s="165">
        <v>106.85599999999999</v>
      </c>
      <c r="M158" s="115">
        <v>0.51117666800197969</v>
      </c>
      <c r="N158" s="165">
        <v>102.18327485122649</v>
      </c>
      <c r="O158" s="165">
        <v>0</v>
      </c>
      <c r="P158" s="115">
        <v>0.75941919102496136</v>
      </c>
      <c r="Q158" s="5">
        <v>10728</v>
      </c>
      <c r="R158" s="5">
        <v>0</v>
      </c>
      <c r="S158" s="5">
        <v>10728</v>
      </c>
      <c r="T158" s="5">
        <v>0</v>
      </c>
      <c r="U158" s="5">
        <v>0</v>
      </c>
      <c r="V158" s="5">
        <v>0</v>
      </c>
      <c r="W158" s="5">
        <v>0</v>
      </c>
      <c r="X158" s="114">
        <v>5649.7101311142296</v>
      </c>
      <c r="Y158" s="114">
        <v>56.96575444243669</v>
      </c>
      <c r="Z158" s="114">
        <v>-7966.2898688857704</v>
      </c>
      <c r="AA158" s="166">
        <v>12768.34</v>
      </c>
      <c r="AB158" s="166">
        <v>24245.279999999999</v>
      </c>
      <c r="AC158" s="167">
        <v>2.4100351494165362</v>
      </c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96"/>
      <c r="BJ158" s="183"/>
    </row>
    <row r="159" spans="1:62" ht="12.75" customHeight="1" x14ac:dyDescent="0.35">
      <c r="A159" s="105"/>
      <c r="B159" s="163" t="s">
        <v>27</v>
      </c>
      <c r="C159" s="5" t="s">
        <v>5</v>
      </c>
      <c r="D159" s="5" t="s">
        <v>312</v>
      </c>
      <c r="E159" s="5" t="s">
        <v>313</v>
      </c>
      <c r="F159" s="125">
        <v>1083381</v>
      </c>
      <c r="G159" s="126" t="s">
        <v>790</v>
      </c>
      <c r="H159" s="164">
        <v>60630</v>
      </c>
      <c r="I159" s="164">
        <v>13823.640000000001</v>
      </c>
      <c r="J159" s="114">
        <v>0</v>
      </c>
      <c r="K159" s="114">
        <v>0</v>
      </c>
      <c r="L159" s="165">
        <v>0</v>
      </c>
      <c r="M159" s="115">
        <v>0</v>
      </c>
      <c r="N159" s="165">
        <v>13823.640000000001</v>
      </c>
      <c r="O159" s="165">
        <v>0</v>
      </c>
      <c r="P159" s="115">
        <v>0</v>
      </c>
      <c r="Q159" s="5">
        <v>115416</v>
      </c>
      <c r="R159" s="5">
        <v>0</v>
      </c>
      <c r="S159" s="5">
        <v>115416</v>
      </c>
      <c r="T159" s="5">
        <v>0</v>
      </c>
      <c r="U159" s="5">
        <v>0</v>
      </c>
      <c r="V159" s="5">
        <v>0</v>
      </c>
      <c r="W159" s="5">
        <v>0</v>
      </c>
      <c r="X159" s="114">
        <v>60630</v>
      </c>
      <c r="Y159" s="114">
        <v>57.108362196932212</v>
      </c>
      <c r="Z159" s="114">
        <v>-54786</v>
      </c>
      <c r="AA159" s="166">
        <v>215842.8</v>
      </c>
      <c r="AB159" s="166">
        <v>410880.96</v>
      </c>
      <c r="AC159" s="167">
        <v>1.9036120732310737</v>
      </c>
      <c r="AD159" s="168"/>
      <c r="AE159" s="168">
        <v>109.37333145988478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96" t="s">
        <v>1</v>
      </c>
      <c r="BJ159" s="183"/>
    </row>
    <row r="160" spans="1:62" ht="12.75" customHeight="1" x14ac:dyDescent="0.35">
      <c r="A160" s="105"/>
      <c r="B160" s="163" t="s">
        <v>21</v>
      </c>
      <c r="C160" s="5" t="s">
        <v>5</v>
      </c>
      <c r="D160" s="5" t="s">
        <v>308</v>
      </c>
      <c r="E160" s="5" t="s">
        <v>395</v>
      </c>
      <c r="F160" s="55">
        <v>1069936</v>
      </c>
      <c r="G160" s="64" t="s">
        <v>610</v>
      </c>
      <c r="H160" s="164">
        <v>255.069321854912</v>
      </c>
      <c r="I160" s="164">
        <v>48.463171152433283</v>
      </c>
      <c r="J160" s="114">
        <v>0</v>
      </c>
      <c r="K160" s="114">
        <v>176</v>
      </c>
      <c r="L160" s="165">
        <v>33.44</v>
      </c>
      <c r="M160" s="115">
        <v>0.69000849933694475</v>
      </c>
      <c r="N160" s="165">
        <v>15.023171152433285</v>
      </c>
      <c r="O160" s="165">
        <v>40.216205813208418</v>
      </c>
      <c r="P160" s="115">
        <v>2.3405401937736139</v>
      </c>
      <c r="Q160" s="5">
        <v>496</v>
      </c>
      <c r="R160" s="5">
        <v>0</v>
      </c>
      <c r="S160" s="5">
        <v>496</v>
      </c>
      <c r="T160" s="5">
        <v>0</v>
      </c>
      <c r="U160" s="5">
        <v>0</v>
      </c>
      <c r="V160" s="5">
        <v>0</v>
      </c>
      <c r="W160" s="5">
        <v>0</v>
      </c>
      <c r="X160" s="114">
        <v>255.06932185491203</v>
      </c>
      <c r="Y160" s="114">
        <v>58.337082216668961</v>
      </c>
      <c r="Z160" s="114">
        <v>-416.930678145088</v>
      </c>
      <c r="AA160" s="166">
        <v>2083.92</v>
      </c>
      <c r="AB160" s="166">
        <v>4052.32</v>
      </c>
      <c r="AC160" s="167">
        <v>2.6345779065592438</v>
      </c>
      <c r="AD160" s="168"/>
      <c r="AE160" s="168">
        <v>33.495568685376661</v>
      </c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96" t="s">
        <v>1</v>
      </c>
      <c r="BJ160" s="183"/>
    </row>
    <row r="161" spans="1:62" ht="12.75" customHeight="1" x14ac:dyDescent="0.35">
      <c r="A161" s="105"/>
      <c r="B161" s="163" t="s">
        <v>21</v>
      </c>
      <c r="C161" s="5" t="s">
        <v>5</v>
      </c>
      <c r="D161" s="5" t="s">
        <v>308</v>
      </c>
      <c r="E161" s="5" t="s">
        <v>395</v>
      </c>
      <c r="F161" s="5">
        <v>1069121</v>
      </c>
      <c r="G161" s="7" t="s">
        <v>558</v>
      </c>
      <c r="H161" s="164">
        <v>192.23968708906878</v>
      </c>
      <c r="I161" s="164">
        <v>153.79174967125505</v>
      </c>
      <c r="J161" s="114">
        <v>0</v>
      </c>
      <c r="K161" s="114">
        <v>81</v>
      </c>
      <c r="L161" s="165">
        <v>64.8</v>
      </c>
      <c r="M161" s="115">
        <v>0.42134900044063722</v>
      </c>
      <c r="N161" s="165">
        <v>88.99174967125505</v>
      </c>
      <c r="O161" s="165">
        <v>0</v>
      </c>
      <c r="P161" s="115">
        <v>0.65560441070368092</v>
      </c>
      <c r="Q161" s="5">
        <v>374</v>
      </c>
      <c r="R161" s="5">
        <v>0</v>
      </c>
      <c r="S161" s="5">
        <v>374</v>
      </c>
      <c r="T161" s="5">
        <v>0</v>
      </c>
      <c r="U161" s="5">
        <v>0</v>
      </c>
      <c r="V161" s="5">
        <v>0</v>
      </c>
      <c r="W161" s="5">
        <v>0</v>
      </c>
      <c r="X161" s="114">
        <v>192.23968708906878</v>
      </c>
      <c r="Y161" s="114">
        <v>58.364639320295673</v>
      </c>
      <c r="Z161" s="114">
        <v>-262.76031291093125</v>
      </c>
      <c r="AA161" s="166">
        <v>7641.53</v>
      </c>
      <c r="AB161" s="166">
        <v>14866.5</v>
      </c>
      <c r="AC161" s="167">
        <v>2.3668369777838265</v>
      </c>
      <c r="AD161" s="168"/>
      <c r="AE161" s="168"/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96" t="s">
        <v>1</v>
      </c>
      <c r="BJ161" s="183"/>
    </row>
    <row r="162" spans="1:62" ht="12.75" customHeight="1" x14ac:dyDescent="0.35">
      <c r="A162" s="105"/>
      <c r="B162" s="163" t="s">
        <v>1</v>
      </c>
      <c r="C162" s="5" t="s">
        <v>2</v>
      </c>
      <c r="D162" s="5" t="s">
        <v>310</v>
      </c>
      <c r="E162" s="5" t="s">
        <v>311</v>
      </c>
      <c r="F162" s="125">
        <v>1080744</v>
      </c>
      <c r="G162" s="127" t="s">
        <v>765</v>
      </c>
      <c r="H162" s="164">
        <v>13079.949881909937</v>
      </c>
      <c r="I162" s="164">
        <v>1961.9924822864905</v>
      </c>
      <c r="J162" s="114">
        <v>0</v>
      </c>
      <c r="K162" s="114">
        <v>5805</v>
      </c>
      <c r="L162" s="165">
        <v>870.75</v>
      </c>
      <c r="M162" s="115">
        <v>0.45573569117755469</v>
      </c>
      <c r="N162" s="165">
        <v>1091.2424822864905</v>
      </c>
      <c r="O162" s="165">
        <v>0</v>
      </c>
      <c r="P162" s="115">
        <v>0.82598849144078978</v>
      </c>
      <c r="Q162" s="5">
        <v>26861</v>
      </c>
      <c r="R162" s="5">
        <v>156</v>
      </c>
      <c r="S162" s="5">
        <v>26705</v>
      </c>
      <c r="T162" s="5">
        <v>0</v>
      </c>
      <c r="U162" s="5">
        <v>0</v>
      </c>
      <c r="V162" s="5">
        <v>0</v>
      </c>
      <c r="W162" s="5">
        <v>1344</v>
      </c>
      <c r="X162" s="114">
        <v>13079.949881909937</v>
      </c>
      <c r="Y162" s="114">
        <v>61.250234689967776</v>
      </c>
      <c r="Z162" s="114">
        <v>-19586.050118090061</v>
      </c>
      <c r="AA162" s="166">
        <v>32830.67</v>
      </c>
      <c r="AB162" s="166">
        <v>70402.990000000005</v>
      </c>
      <c r="AC162" s="167">
        <v>2.497410180843147</v>
      </c>
      <c r="AD162" s="168"/>
      <c r="AE162" s="168">
        <v>21.992222251817914</v>
      </c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95" t="s">
        <v>1</v>
      </c>
      <c r="BJ162" s="183"/>
    </row>
    <row r="163" spans="1:62" ht="12.75" customHeight="1" x14ac:dyDescent="0.35">
      <c r="A163" s="105"/>
      <c r="B163" s="163">
        <v>0</v>
      </c>
      <c r="C163" s="5" t="s">
        <v>2</v>
      </c>
      <c r="D163" s="5" t="s">
        <v>308</v>
      </c>
      <c r="E163" s="5" t="s">
        <v>395</v>
      </c>
      <c r="F163" s="160">
        <v>1080731</v>
      </c>
      <c r="G163" s="162" t="s">
        <v>786</v>
      </c>
      <c r="H163" s="164">
        <v>5690.000500000001</v>
      </c>
      <c r="I163" s="164">
        <v>464.87304085000005</v>
      </c>
      <c r="J163" s="114">
        <v>0</v>
      </c>
      <c r="K163" s="114">
        <v>6348</v>
      </c>
      <c r="L163" s="165">
        <v>518.63159999999993</v>
      </c>
      <c r="M163" s="115">
        <v>1.1156413782388945</v>
      </c>
      <c r="N163" s="165">
        <v>53.758559149999883</v>
      </c>
      <c r="O163" s="165">
        <v>0</v>
      </c>
      <c r="P163" s="115">
        <v>9.7912159977526267E-2</v>
      </c>
      <c r="Q163" s="5">
        <v>17297</v>
      </c>
      <c r="R163" s="5">
        <v>0</v>
      </c>
      <c r="S163" s="5">
        <v>17297</v>
      </c>
      <c r="T163" s="5">
        <v>0</v>
      </c>
      <c r="U163" s="5">
        <v>0</v>
      </c>
      <c r="V163" s="5">
        <v>0</v>
      </c>
      <c r="W163" s="5">
        <v>11</v>
      </c>
      <c r="X163" s="114">
        <v>8464</v>
      </c>
      <c r="Y163" s="114">
        <v>61.307892249527406</v>
      </c>
      <c r="Z163" s="114">
        <v>-17954.999499999998</v>
      </c>
      <c r="AA163" s="166">
        <v>70612.91</v>
      </c>
      <c r="AB163" s="166">
        <v>214792.28</v>
      </c>
      <c r="AC163" s="167">
        <v>4.1555356629582008</v>
      </c>
      <c r="AD163" s="168"/>
      <c r="AE163" s="168"/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95" t="s">
        <v>1</v>
      </c>
      <c r="BJ163" s="183"/>
    </row>
    <row r="164" spans="1:62" ht="12.75" customHeight="1" x14ac:dyDescent="0.35">
      <c r="A164" s="105"/>
      <c r="B164" s="163" t="s">
        <v>1</v>
      </c>
      <c r="C164" s="5" t="s">
        <v>50</v>
      </c>
      <c r="D164" s="5" t="s">
        <v>320</v>
      </c>
      <c r="E164" s="5" t="s">
        <v>402</v>
      </c>
      <c r="F164" s="5">
        <v>1060793</v>
      </c>
      <c r="G164" s="7" t="s">
        <v>430</v>
      </c>
      <c r="H164" s="164">
        <v>14548.094245066106</v>
      </c>
      <c r="I164" s="164">
        <v>2618.656964111899</v>
      </c>
      <c r="J164" s="114">
        <v>0</v>
      </c>
      <c r="K164" s="114">
        <v>6089</v>
      </c>
      <c r="L164" s="165">
        <v>1096.02</v>
      </c>
      <c r="M164" s="115">
        <v>0.45813560784845703</v>
      </c>
      <c r="N164" s="165">
        <v>1522.636964111899</v>
      </c>
      <c r="O164" s="165">
        <v>0</v>
      </c>
      <c r="P164" s="115">
        <v>0.99940172429865382</v>
      </c>
      <c r="Q164" s="5">
        <v>31136</v>
      </c>
      <c r="R164" s="5">
        <v>576</v>
      </c>
      <c r="S164" s="5">
        <v>30560</v>
      </c>
      <c r="T164" s="5">
        <v>0</v>
      </c>
      <c r="U164" s="5">
        <v>0</v>
      </c>
      <c r="V164" s="5">
        <v>0</v>
      </c>
      <c r="W164" s="5">
        <v>0</v>
      </c>
      <c r="X164" s="114">
        <v>14548.094245066106</v>
      </c>
      <c r="Y164" s="114">
        <v>63.018563432177864</v>
      </c>
      <c r="Z164" s="114">
        <v>-22676.905754933894</v>
      </c>
      <c r="AA164" s="166">
        <v>99799.93</v>
      </c>
      <c r="AB164" s="166">
        <v>209641.60000000001</v>
      </c>
      <c r="AC164" s="167">
        <v>2.5587543889210522</v>
      </c>
      <c r="AD164" s="168"/>
      <c r="AE164" s="168" t="s">
        <v>574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96" t="s">
        <v>1</v>
      </c>
      <c r="BJ164" s="183"/>
    </row>
    <row r="165" spans="1:62" ht="12.75" customHeight="1" x14ac:dyDescent="0.35">
      <c r="A165" s="105"/>
      <c r="B165" s="163" t="s">
        <v>1</v>
      </c>
      <c r="C165" s="5" t="s">
        <v>24</v>
      </c>
      <c r="D165" s="5" t="s">
        <v>316</v>
      </c>
      <c r="E165" s="5" t="s">
        <v>400</v>
      </c>
      <c r="F165" s="55">
        <v>1024998</v>
      </c>
      <c r="G165" s="64" t="s">
        <v>321</v>
      </c>
      <c r="H165" s="164">
        <v>19643.464494788037</v>
      </c>
      <c r="I165" s="164">
        <v>8348.4724102849159</v>
      </c>
      <c r="J165" s="114">
        <v>0</v>
      </c>
      <c r="K165" s="114">
        <v>12459</v>
      </c>
      <c r="L165" s="165">
        <v>5295.0749999999998</v>
      </c>
      <c r="M165" s="115">
        <v>0.634256752585865</v>
      </c>
      <c r="N165" s="165">
        <v>3053.3974102849161</v>
      </c>
      <c r="O165" s="165">
        <v>13.06132047932288</v>
      </c>
      <c r="P165" s="115">
        <v>1.4533268494815412</v>
      </c>
      <c r="Q165" s="5">
        <v>43392</v>
      </c>
      <c r="R165" s="5">
        <v>0</v>
      </c>
      <c r="S165" s="5">
        <v>43392</v>
      </c>
      <c r="T165" s="5">
        <v>0</v>
      </c>
      <c r="U165" s="5">
        <v>0</v>
      </c>
      <c r="V165" s="5">
        <v>0</v>
      </c>
      <c r="W165" s="5">
        <v>0</v>
      </c>
      <c r="X165" s="114">
        <v>19643.464494788037</v>
      </c>
      <c r="Y165" s="114">
        <v>66.269369150507714</v>
      </c>
      <c r="Z165" s="114">
        <v>-36207.535505211963</v>
      </c>
      <c r="AA165" s="166">
        <v>181309.18</v>
      </c>
      <c r="AB165" s="166">
        <v>400508.15999999997</v>
      </c>
      <c r="AC165" s="167">
        <v>2.8432357242694559</v>
      </c>
      <c r="AD165" s="168"/>
      <c r="AE165" s="168">
        <v>9.9603550295857985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96" t="s">
        <v>1</v>
      </c>
      <c r="BJ165" s="183"/>
    </row>
    <row r="166" spans="1:62" ht="12.75" customHeight="1" x14ac:dyDescent="0.35">
      <c r="A166" s="105"/>
      <c r="B166" s="163" t="s">
        <v>21</v>
      </c>
      <c r="C166" s="5" t="s">
        <v>5</v>
      </c>
      <c r="D166" s="5" t="s">
        <v>308</v>
      </c>
      <c r="E166" s="5" t="s">
        <v>395</v>
      </c>
      <c r="F166" s="5">
        <v>1069142</v>
      </c>
      <c r="G166" s="7" t="s">
        <v>559</v>
      </c>
      <c r="H166" s="164">
        <v>1196.6911097105628</v>
      </c>
      <c r="I166" s="164">
        <v>598.34555485528142</v>
      </c>
      <c r="J166" s="114">
        <v>0</v>
      </c>
      <c r="K166" s="114">
        <v>850</v>
      </c>
      <c r="L166" s="165">
        <v>425</v>
      </c>
      <c r="M166" s="115">
        <v>0.71530572346863686</v>
      </c>
      <c r="N166" s="165">
        <v>173.34555485528142</v>
      </c>
      <c r="O166" s="165">
        <v>12.77671764213723</v>
      </c>
      <c r="P166" s="115">
        <v>1.401831742028389</v>
      </c>
      <c r="Q166" s="5">
        <v>2676</v>
      </c>
      <c r="R166" s="5">
        <v>6</v>
      </c>
      <c r="S166" s="5">
        <v>2670</v>
      </c>
      <c r="T166" s="5">
        <v>0</v>
      </c>
      <c r="U166" s="5">
        <v>0</v>
      </c>
      <c r="V166" s="5">
        <v>0</v>
      </c>
      <c r="W166" s="5">
        <v>0</v>
      </c>
      <c r="X166" s="114">
        <v>1196.6911097105628</v>
      </c>
      <c r="Y166" s="114">
        <v>66.934565946072198</v>
      </c>
      <c r="Z166" s="114">
        <v>-2329.3088902894369</v>
      </c>
      <c r="AA166" s="166">
        <v>20726.689999999999</v>
      </c>
      <c r="AB166" s="166">
        <v>46244.4</v>
      </c>
      <c r="AC166" s="167">
        <v>2.9464579216710436</v>
      </c>
      <c r="AD166" s="168"/>
      <c r="AE166" s="168"/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96" t="s">
        <v>1</v>
      </c>
      <c r="BJ166" s="183"/>
    </row>
    <row r="167" spans="1:62" ht="12.75" customHeight="1" x14ac:dyDescent="0.35">
      <c r="A167" s="105"/>
      <c r="B167" s="163" t="s">
        <v>21</v>
      </c>
      <c r="C167" s="5" t="s">
        <v>5</v>
      </c>
      <c r="D167" s="5" t="s">
        <v>308</v>
      </c>
      <c r="E167" s="5" t="s">
        <v>395</v>
      </c>
      <c r="F167" s="5">
        <v>1069727</v>
      </c>
      <c r="G167" s="7" t="s">
        <v>570</v>
      </c>
      <c r="H167" s="164">
        <v>27.748535298438401</v>
      </c>
      <c r="I167" s="164">
        <v>22.198828238750721</v>
      </c>
      <c r="J167" s="114">
        <v>0</v>
      </c>
      <c r="K167" s="114">
        <v>6</v>
      </c>
      <c r="L167" s="165">
        <v>4.8000000000000007</v>
      </c>
      <c r="M167" s="115">
        <v>0.21622762915121005</v>
      </c>
      <c r="N167" s="165">
        <v>17.39882823875072</v>
      </c>
      <c r="O167" s="165">
        <v>0</v>
      </c>
      <c r="P167" s="115">
        <v>0.13187662241295764</v>
      </c>
      <c r="Q167" s="5">
        <v>66</v>
      </c>
      <c r="R167" s="5">
        <v>0</v>
      </c>
      <c r="S167" s="5">
        <v>66</v>
      </c>
      <c r="T167" s="5">
        <v>0</v>
      </c>
      <c r="U167" s="5">
        <v>0</v>
      </c>
      <c r="V167" s="5">
        <v>0</v>
      </c>
      <c r="W167" s="5">
        <v>0</v>
      </c>
      <c r="X167" s="114">
        <v>27.748535298438401</v>
      </c>
      <c r="Y167" s="114">
        <v>71.355117619899303</v>
      </c>
      <c r="Z167" s="114">
        <v>-44.251464701561602</v>
      </c>
      <c r="AA167" s="166">
        <v>936.24</v>
      </c>
      <c r="AB167" s="166">
        <v>2226.84</v>
      </c>
      <c r="AC167" s="167">
        <v>2.5947315498145205</v>
      </c>
      <c r="AD167" s="168"/>
      <c r="AE167" s="168"/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95"/>
      <c r="BJ167" s="183"/>
    </row>
    <row r="168" spans="1:62" ht="12.75" customHeight="1" x14ac:dyDescent="0.35">
      <c r="A168" s="105"/>
      <c r="B168" s="163" t="s">
        <v>1</v>
      </c>
      <c r="C168" s="5" t="s">
        <v>17</v>
      </c>
      <c r="D168" s="5" t="s">
        <v>312</v>
      </c>
      <c r="E168" s="5" t="s">
        <v>398</v>
      </c>
      <c r="F168" s="5">
        <v>1043974</v>
      </c>
      <c r="G168" s="7" t="s">
        <v>18</v>
      </c>
      <c r="H168" s="164">
        <v>5674.1386437098245</v>
      </c>
      <c r="I168" s="164">
        <v>3336.3935225013765</v>
      </c>
      <c r="J168" s="114">
        <v>0</v>
      </c>
      <c r="K168" s="114">
        <v>3291</v>
      </c>
      <c r="L168" s="165">
        <v>1935.1079999999999</v>
      </c>
      <c r="M168" s="115">
        <v>0.57999992715163939</v>
      </c>
      <c r="N168" s="165">
        <v>1401.2855225013766</v>
      </c>
      <c r="O168" s="165">
        <v>22.797440952928632</v>
      </c>
      <c r="P168" s="115">
        <v>1.7599146984309544</v>
      </c>
      <c r="Q168" s="5">
        <v>13774</v>
      </c>
      <c r="R168" s="5">
        <v>0</v>
      </c>
      <c r="S168" s="5">
        <v>13774</v>
      </c>
      <c r="T168" s="5">
        <v>0</v>
      </c>
      <c r="U168" s="5">
        <v>0</v>
      </c>
      <c r="V168" s="5">
        <v>0</v>
      </c>
      <c r="W168" s="5">
        <v>0</v>
      </c>
      <c r="X168" s="114">
        <v>5674.1386437098245</v>
      </c>
      <c r="Y168" s="114">
        <v>72.825150379094623</v>
      </c>
      <c r="Z168" s="114">
        <v>-11390.861356290176</v>
      </c>
      <c r="AA168" s="166">
        <v>24285.31</v>
      </c>
      <c r="AB168" s="166">
        <v>58952.72</v>
      </c>
      <c r="AC168" s="167">
        <v>3.0075049397881268</v>
      </c>
      <c r="AD168" s="168"/>
      <c r="AE168" s="168" t="s">
        <v>574</v>
      </c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95" t="s">
        <v>1</v>
      </c>
      <c r="BJ168" s="183"/>
    </row>
    <row r="169" spans="1:62" ht="12.75" customHeight="1" x14ac:dyDescent="0.35">
      <c r="A169" s="105"/>
      <c r="B169" s="163" t="s">
        <v>1</v>
      </c>
      <c r="C169" s="5" t="s">
        <v>24</v>
      </c>
      <c r="D169" s="5" t="s">
        <v>316</v>
      </c>
      <c r="E169" s="5" t="s">
        <v>317</v>
      </c>
      <c r="F169" s="5">
        <v>1032134</v>
      </c>
      <c r="G169" s="7" t="s">
        <v>25</v>
      </c>
      <c r="H169" s="164">
        <v>1693.0831373013559</v>
      </c>
      <c r="I169" s="164">
        <v>287.82413334123055</v>
      </c>
      <c r="J169" s="114">
        <v>0</v>
      </c>
      <c r="K169" s="114">
        <v>992</v>
      </c>
      <c r="L169" s="165">
        <v>168.64000000000001</v>
      </c>
      <c r="M169" s="115">
        <v>0.74184189324687699</v>
      </c>
      <c r="N169" s="165">
        <v>119.18413334123053</v>
      </c>
      <c r="O169" s="165">
        <v>0</v>
      </c>
      <c r="P169" s="115">
        <v>0.86561696750038608</v>
      </c>
      <c r="Q169" s="5">
        <v>4523</v>
      </c>
      <c r="R169" s="5">
        <v>264</v>
      </c>
      <c r="S169" s="5">
        <v>4259</v>
      </c>
      <c r="T169" s="5">
        <v>0</v>
      </c>
      <c r="U169" s="5">
        <v>0</v>
      </c>
      <c r="V169" s="5">
        <v>0</v>
      </c>
      <c r="W169" s="5">
        <v>0</v>
      </c>
      <c r="X169" s="114">
        <v>1693.0831373013559</v>
      </c>
      <c r="Y169" s="114">
        <v>75.46587476126868</v>
      </c>
      <c r="Z169" s="114">
        <v>-3821.9168626986439</v>
      </c>
      <c r="AA169" s="166">
        <v>19605.900000000001</v>
      </c>
      <c r="AB169" s="166">
        <v>49319.22</v>
      </c>
      <c r="AC169" s="167">
        <v>3.257371051955833</v>
      </c>
      <c r="AD169" s="168"/>
      <c r="AE169" s="168"/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96" t="s">
        <v>1</v>
      </c>
      <c r="BJ169" s="183"/>
    </row>
    <row r="170" spans="1:62" ht="12.75" customHeight="1" x14ac:dyDescent="0.35">
      <c r="A170" s="105"/>
      <c r="B170" s="163" t="s">
        <v>9</v>
      </c>
      <c r="C170" s="5" t="s">
        <v>5</v>
      </c>
      <c r="D170" s="5" t="s">
        <v>308</v>
      </c>
      <c r="E170" s="5" t="s">
        <v>315</v>
      </c>
      <c r="F170" s="120">
        <v>1080402</v>
      </c>
      <c r="G170" s="121" t="s">
        <v>742</v>
      </c>
      <c r="H170" s="164">
        <v>4878.6758260354336</v>
      </c>
      <c r="I170" s="164">
        <v>975.73516520708677</v>
      </c>
      <c r="J170" s="114">
        <v>0</v>
      </c>
      <c r="K170" s="114">
        <v>1104</v>
      </c>
      <c r="L170" s="165">
        <v>220.8</v>
      </c>
      <c r="M170" s="115">
        <v>0.23121027922788806</v>
      </c>
      <c r="N170" s="165">
        <v>754.93516520708681</v>
      </c>
      <c r="O170" s="165">
        <v>0</v>
      </c>
      <c r="P170" s="115">
        <v>0.26668117366311922</v>
      </c>
      <c r="Q170" s="5">
        <v>12412</v>
      </c>
      <c r="R170" s="5">
        <v>24</v>
      </c>
      <c r="S170" s="5">
        <v>12388</v>
      </c>
      <c r="T170" s="5">
        <v>0</v>
      </c>
      <c r="U170" s="5">
        <v>0</v>
      </c>
      <c r="V170" s="5">
        <v>0</v>
      </c>
      <c r="W170" s="5">
        <v>0</v>
      </c>
      <c r="X170" s="114">
        <v>4878.6758260354336</v>
      </c>
      <c r="Y170" s="114">
        <v>76.176407954124386</v>
      </c>
      <c r="Z170" s="114">
        <v>-8637.3241739645673</v>
      </c>
      <c r="AA170" s="166">
        <v>31760.18</v>
      </c>
      <c r="AB170" s="166">
        <v>80645.88</v>
      </c>
      <c r="AC170" s="167">
        <v>2.7704238776987014</v>
      </c>
      <c r="AD170" s="168"/>
      <c r="AE170" s="168"/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95"/>
      <c r="BJ170" s="183"/>
    </row>
    <row r="171" spans="1:62" ht="12.75" customHeight="1" x14ac:dyDescent="0.35">
      <c r="A171" s="105"/>
      <c r="B171" s="163" t="s">
        <v>1</v>
      </c>
      <c r="C171" s="5" t="s">
        <v>24</v>
      </c>
      <c r="D171" s="5" t="s">
        <v>316</v>
      </c>
      <c r="E171" s="5" t="s">
        <v>317</v>
      </c>
      <c r="F171" s="5">
        <v>1003495</v>
      </c>
      <c r="G171" s="7" t="s">
        <v>129</v>
      </c>
      <c r="H171" s="164">
        <v>1053.4629625050629</v>
      </c>
      <c r="I171" s="164">
        <v>89.544351812930358</v>
      </c>
      <c r="J171" s="114">
        <v>0</v>
      </c>
      <c r="K171" s="114">
        <v>670</v>
      </c>
      <c r="L171" s="165">
        <v>56.95</v>
      </c>
      <c r="M171" s="115">
        <v>0.74990771210544882</v>
      </c>
      <c r="N171" s="165">
        <v>32.594351812930356</v>
      </c>
      <c r="O171" s="165">
        <v>1.461256980552267</v>
      </c>
      <c r="P171" s="115">
        <v>1.0467461624697318</v>
      </c>
      <c r="Q171" s="5">
        <v>2856</v>
      </c>
      <c r="R171" s="5">
        <v>120</v>
      </c>
      <c r="S171" s="5">
        <v>2736</v>
      </c>
      <c r="T171" s="5">
        <v>0</v>
      </c>
      <c r="U171" s="5">
        <v>0</v>
      </c>
      <c r="V171" s="5">
        <v>0</v>
      </c>
      <c r="W171" s="5">
        <v>0</v>
      </c>
      <c r="X171" s="114">
        <v>1053.4629625050629</v>
      </c>
      <c r="Y171" s="114">
        <v>77.914462037487652</v>
      </c>
      <c r="Z171" s="114">
        <v>-2472.5370374949371</v>
      </c>
      <c r="AA171" s="166">
        <v>6647.35</v>
      </c>
      <c r="AB171" s="166">
        <v>17264.16</v>
      </c>
      <c r="AC171" s="167">
        <v>3.3470564466883705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95"/>
      <c r="BJ171" s="183"/>
    </row>
    <row r="172" spans="1:62" ht="12.75" customHeight="1" x14ac:dyDescent="0.35">
      <c r="A172" s="105"/>
      <c r="B172" s="163" t="s">
        <v>27</v>
      </c>
      <c r="C172" s="5" t="s">
        <v>5</v>
      </c>
      <c r="D172" s="5" t="s">
        <v>312</v>
      </c>
      <c r="E172" s="5" t="s">
        <v>319</v>
      </c>
      <c r="F172" s="5">
        <v>1030816</v>
      </c>
      <c r="G172" s="7" t="s">
        <v>61</v>
      </c>
      <c r="H172" s="164">
        <v>2500</v>
      </c>
      <c r="I172" s="164">
        <v>480</v>
      </c>
      <c r="J172" s="114">
        <v>0</v>
      </c>
      <c r="K172" s="114">
        <v>720</v>
      </c>
      <c r="L172" s="165">
        <v>138.24</v>
      </c>
      <c r="M172" s="115">
        <v>0.28799999999999998</v>
      </c>
      <c r="N172" s="165">
        <v>341.76</v>
      </c>
      <c r="O172" s="165">
        <v>3.6000000000000036</v>
      </c>
      <c r="P172" s="115">
        <v>1.1200000000000001</v>
      </c>
      <c r="Q172" s="5">
        <v>6752</v>
      </c>
      <c r="R172" s="5">
        <v>0</v>
      </c>
      <c r="S172" s="5">
        <v>6752</v>
      </c>
      <c r="T172" s="5">
        <v>0</v>
      </c>
      <c r="U172" s="5">
        <v>0</v>
      </c>
      <c r="V172" s="5">
        <v>0</v>
      </c>
      <c r="W172" s="5">
        <v>0</v>
      </c>
      <c r="X172" s="114">
        <v>2500</v>
      </c>
      <c r="Y172" s="114">
        <v>81.024000000000001</v>
      </c>
      <c r="Z172" s="114">
        <v>-4972</v>
      </c>
      <c r="AA172" s="166">
        <v>5600</v>
      </c>
      <c r="AB172" s="166">
        <v>15124.48</v>
      </c>
      <c r="AC172" s="167">
        <v>2.9887999999999999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96"/>
      <c r="BJ172" s="183"/>
    </row>
    <row r="173" spans="1:62" ht="12.75" customHeight="1" x14ac:dyDescent="0.35">
      <c r="A173" s="105"/>
      <c r="B173" s="163" t="s">
        <v>1</v>
      </c>
      <c r="C173" s="5" t="s">
        <v>50</v>
      </c>
      <c r="D173" s="5" t="s">
        <v>320</v>
      </c>
      <c r="E173" s="5" t="s">
        <v>402</v>
      </c>
      <c r="F173" s="55">
        <v>1060798</v>
      </c>
      <c r="G173" s="64" t="s">
        <v>435</v>
      </c>
      <c r="H173" s="164">
        <v>7703.2275110443125</v>
      </c>
      <c r="I173" s="164">
        <v>1386.5809519879763</v>
      </c>
      <c r="J173" s="114">
        <v>0</v>
      </c>
      <c r="K173" s="114">
        <v>3667</v>
      </c>
      <c r="L173" s="165">
        <v>660.06</v>
      </c>
      <c r="M173" s="115">
        <v>0.48641949035359933</v>
      </c>
      <c r="N173" s="165">
        <v>726.52095198797633</v>
      </c>
      <c r="O173" s="165">
        <v>0</v>
      </c>
      <c r="P173" s="115">
        <v>0.97987030134626085</v>
      </c>
      <c r="Q173" s="5">
        <v>21220</v>
      </c>
      <c r="R173" s="5">
        <v>80</v>
      </c>
      <c r="S173" s="5">
        <v>21140</v>
      </c>
      <c r="T173" s="5">
        <v>0</v>
      </c>
      <c r="U173" s="5">
        <v>0</v>
      </c>
      <c r="V173" s="5">
        <v>0</v>
      </c>
      <c r="W173" s="5">
        <v>0</v>
      </c>
      <c r="X173" s="114">
        <v>7703.2275110443125</v>
      </c>
      <c r="Y173" s="114">
        <v>82.329127510609197</v>
      </c>
      <c r="Z173" s="114">
        <v>-17183.772488955688</v>
      </c>
      <c r="AA173" s="166">
        <v>52844.14</v>
      </c>
      <c r="AB173" s="166">
        <v>145020.4</v>
      </c>
      <c r="AC173" s="167">
        <v>3.2307237407072398</v>
      </c>
      <c r="AD173" s="168"/>
      <c r="AE173" s="168"/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96"/>
      <c r="BJ173" s="183"/>
    </row>
    <row r="174" spans="1:62" ht="12.75" customHeight="1" x14ac:dyDescent="0.35">
      <c r="A174" s="105"/>
      <c r="B174" s="163" t="s">
        <v>1</v>
      </c>
      <c r="C174" s="5" t="s">
        <v>24</v>
      </c>
      <c r="D174" s="5" t="s">
        <v>316</v>
      </c>
      <c r="E174" s="5" t="s">
        <v>317</v>
      </c>
      <c r="F174" s="5">
        <v>1034632</v>
      </c>
      <c r="G174" s="7" t="s">
        <v>57</v>
      </c>
      <c r="H174" s="164">
        <v>3825.2610732163466</v>
      </c>
      <c r="I174" s="164">
        <v>650.29438244677897</v>
      </c>
      <c r="J174" s="114">
        <v>0</v>
      </c>
      <c r="K174" s="114">
        <v>1937</v>
      </c>
      <c r="L174" s="165">
        <v>329.29</v>
      </c>
      <c r="M174" s="115">
        <v>0.53225125319043787</v>
      </c>
      <c r="N174" s="165">
        <v>321.00438244677895</v>
      </c>
      <c r="O174" s="165">
        <v>0</v>
      </c>
      <c r="P174" s="115">
        <v>0.6683210256045673</v>
      </c>
      <c r="Q174" s="5">
        <v>10865</v>
      </c>
      <c r="R174" s="5">
        <v>99</v>
      </c>
      <c r="S174" s="5">
        <v>10766</v>
      </c>
      <c r="T174" s="5">
        <v>0</v>
      </c>
      <c r="U174" s="5">
        <v>0</v>
      </c>
      <c r="V174" s="5">
        <v>0</v>
      </c>
      <c r="W174" s="5">
        <v>0</v>
      </c>
      <c r="X174" s="114">
        <v>3825.2610732163466</v>
      </c>
      <c r="Y174" s="114">
        <v>84.433452728608856</v>
      </c>
      <c r="Z174" s="114">
        <v>-8976.7389267836534</v>
      </c>
      <c r="AA174" s="166">
        <v>40203.49</v>
      </c>
      <c r="AB174" s="166">
        <v>113150.66</v>
      </c>
      <c r="AC174" s="167">
        <v>3.3466996774774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96"/>
      <c r="BJ174" s="183"/>
    </row>
    <row r="175" spans="1:62" ht="12.75" customHeight="1" x14ac:dyDescent="0.35">
      <c r="A175" s="105"/>
      <c r="B175" s="163" t="s">
        <v>15</v>
      </c>
      <c r="C175" s="5" t="s">
        <v>5</v>
      </c>
      <c r="D175" s="5" t="s">
        <v>308</v>
      </c>
      <c r="E175" s="5" t="s">
        <v>315</v>
      </c>
      <c r="F175" s="5">
        <v>1078734</v>
      </c>
      <c r="G175" s="7" t="s">
        <v>707</v>
      </c>
      <c r="H175" s="164">
        <v>571.18035853958872</v>
      </c>
      <c r="I175" s="164">
        <v>138.22564676658047</v>
      </c>
      <c r="J175" s="114">
        <v>0</v>
      </c>
      <c r="K175" s="114">
        <v>120</v>
      </c>
      <c r="L175" s="165">
        <v>29.04</v>
      </c>
      <c r="M175" s="115">
        <v>0.21009125787661825</v>
      </c>
      <c r="N175" s="165">
        <v>109.18564676658048</v>
      </c>
      <c r="O175" s="165">
        <v>0</v>
      </c>
      <c r="P175" s="115">
        <v>0.54971845854882051</v>
      </c>
      <c r="Q175" s="5">
        <v>1628</v>
      </c>
      <c r="R175" s="5">
        <v>0</v>
      </c>
      <c r="S175" s="5">
        <v>1628</v>
      </c>
      <c r="T175" s="5">
        <v>0</v>
      </c>
      <c r="U175" s="5">
        <v>0</v>
      </c>
      <c r="V175" s="5">
        <v>0</v>
      </c>
      <c r="W175" s="5">
        <v>0</v>
      </c>
      <c r="X175" s="114">
        <v>571.18035853958872</v>
      </c>
      <c r="Y175" s="114">
        <v>85.507141955783624</v>
      </c>
      <c r="Z175" s="114">
        <v>-1176.8196414604113</v>
      </c>
      <c r="AA175" s="166">
        <v>2427.52</v>
      </c>
      <c r="AB175" s="166">
        <v>6919</v>
      </c>
      <c r="AC175" s="167">
        <v>3.0603293230694057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96" t="s">
        <v>1</v>
      </c>
      <c r="BJ175" s="183"/>
    </row>
    <row r="176" spans="1:62" ht="12.75" customHeight="1" x14ac:dyDescent="0.35">
      <c r="A176" s="105"/>
      <c r="B176" s="163" t="s">
        <v>1</v>
      </c>
      <c r="C176" s="5" t="s">
        <v>24</v>
      </c>
      <c r="D176" s="5" t="s">
        <v>316</v>
      </c>
      <c r="E176" s="5" t="s">
        <v>317</v>
      </c>
      <c r="F176" s="5">
        <v>1003496</v>
      </c>
      <c r="G176" s="7" t="s">
        <v>280</v>
      </c>
      <c r="H176" s="164">
        <v>4619.5509283756292</v>
      </c>
      <c r="I176" s="164">
        <v>230.97754641878146</v>
      </c>
      <c r="J176" s="114">
        <v>0</v>
      </c>
      <c r="K176" s="114">
        <v>2882</v>
      </c>
      <c r="L176" s="165">
        <v>144.1</v>
      </c>
      <c r="M176" s="115">
        <v>0.67062795670689757</v>
      </c>
      <c r="N176" s="165">
        <v>86.877546418781463</v>
      </c>
      <c r="O176" s="165">
        <v>12.166316711919862</v>
      </c>
      <c r="P176" s="115">
        <v>1.5039396664097928</v>
      </c>
      <c r="Q176" s="5">
        <v>14026</v>
      </c>
      <c r="R176" s="5">
        <v>216</v>
      </c>
      <c r="S176" s="5">
        <v>13810</v>
      </c>
      <c r="T176" s="5">
        <v>0</v>
      </c>
      <c r="U176" s="5">
        <v>0</v>
      </c>
      <c r="V176" s="5">
        <v>0</v>
      </c>
      <c r="W176" s="5">
        <v>0</v>
      </c>
      <c r="X176" s="114">
        <v>4619.5509283756292</v>
      </c>
      <c r="Y176" s="114">
        <v>89.684042112223267</v>
      </c>
      <c r="Z176" s="114">
        <v>-12288.449071624371</v>
      </c>
      <c r="AA176" s="166">
        <v>19956.46</v>
      </c>
      <c r="AB176" s="166">
        <v>59659.199999999997</v>
      </c>
      <c r="AC176" s="167">
        <v>3.6600960271143399</v>
      </c>
      <c r="AD176" s="168"/>
      <c r="AE176" s="168" t="s">
        <v>574</v>
      </c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96" t="s">
        <v>1</v>
      </c>
      <c r="BJ176" s="183"/>
    </row>
    <row r="177" spans="1:62" ht="12.75" customHeight="1" x14ac:dyDescent="0.35">
      <c r="A177" s="105"/>
      <c r="B177" s="163" t="s">
        <v>31</v>
      </c>
      <c r="C177" s="5" t="s">
        <v>5</v>
      </c>
      <c r="D177" s="5" t="s">
        <v>396</v>
      </c>
      <c r="E177" s="5" t="s">
        <v>397</v>
      </c>
      <c r="F177" s="5">
        <v>1071794</v>
      </c>
      <c r="G177" s="7" t="s">
        <v>660</v>
      </c>
      <c r="H177" s="164">
        <v>368.01306084017551</v>
      </c>
      <c r="I177" s="164">
        <v>184.00653042008776</v>
      </c>
      <c r="J177" s="114">
        <v>0</v>
      </c>
      <c r="K177" s="114">
        <v>185</v>
      </c>
      <c r="L177" s="165">
        <v>92.5</v>
      </c>
      <c r="M177" s="115">
        <v>0.67388912620061592</v>
      </c>
      <c r="N177" s="165">
        <v>91.506530420087756</v>
      </c>
      <c r="O177" s="165">
        <v>27.40380958096889</v>
      </c>
      <c r="P177" s="115">
        <v>2.1558640029856919</v>
      </c>
      <c r="Q177" s="5">
        <v>1175</v>
      </c>
      <c r="R177" s="5">
        <v>63</v>
      </c>
      <c r="S177" s="5">
        <v>1112</v>
      </c>
      <c r="T177" s="5">
        <v>0</v>
      </c>
      <c r="U177" s="5">
        <v>0</v>
      </c>
      <c r="V177" s="5">
        <v>0</v>
      </c>
      <c r="W177" s="5">
        <v>0</v>
      </c>
      <c r="X177" s="114">
        <v>368.01306084017551</v>
      </c>
      <c r="Y177" s="114">
        <v>90.648956653437708</v>
      </c>
      <c r="Z177" s="114">
        <v>-991.98693915982449</v>
      </c>
      <c r="AA177" s="166">
        <v>2498.81</v>
      </c>
      <c r="AB177" s="166">
        <v>7550.48</v>
      </c>
      <c r="AC177" s="167">
        <v>3.6955210146485391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96"/>
      <c r="BJ177" s="183"/>
    </row>
    <row r="178" spans="1:62" ht="12.75" customHeight="1" x14ac:dyDescent="0.35">
      <c r="A178" s="105"/>
      <c r="B178" s="163" t="s">
        <v>27</v>
      </c>
      <c r="C178" s="5" t="s">
        <v>5</v>
      </c>
      <c r="D178" s="5" t="s">
        <v>312</v>
      </c>
      <c r="E178" s="5" t="s">
        <v>319</v>
      </c>
      <c r="F178" s="137">
        <v>1079532</v>
      </c>
      <c r="G178" s="138" t="s">
        <v>804</v>
      </c>
      <c r="H178" s="164">
        <v>2700</v>
      </c>
      <c r="I178" s="164">
        <v>518.4</v>
      </c>
      <c r="J178" s="114">
        <v>0</v>
      </c>
      <c r="K178" s="114">
        <v>120</v>
      </c>
      <c r="L178" s="165">
        <v>23.04</v>
      </c>
      <c r="M178" s="115">
        <v>4.4444444444444446E-2</v>
      </c>
      <c r="N178" s="165">
        <v>495.35999999999996</v>
      </c>
      <c r="O178" s="165">
        <v>0</v>
      </c>
      <c r="P178" s="115">
        <v>0.39407407407407408</v>
      </c>
      <c r="Q178" s="5">
        <v>8476</v>
      </c>
      <c r="R178" s="5">
        <v>0</v>
      </c>
      <c r="S178" s="5">
        <v>8476</v>
      </c>
      <c r="T178" s="5">
        <v>0</v>
      </c>
      <c r="U178" s="5">
        <v>0</v>
      </c>
      <c r="V178" s="5">
        <v>0</v>
      </c>
      <c r="W178" s="5">
        <v>0</v>
      </c>
      <c r="X178" s="114">
        <v>2700</v>
      </c>
      <c r="Y178" s="114">
        <v>94.177777777777777</v>
      </c>
      <c r="Z178" s="114">
        <v>-5896</v>
      </c>
      <c r="AA178" s="166">
        <v>6102</v>
      </c>
      <c r="AB178" s="166">
        <v>19155.759999999998</v>
      </c>
      <c r="AC178" s="167">
        <v>3.1837037037037037</v>
      </c>
      <c r="AD178" s="168"/>
      <c r="AE178" s="168">
        <v>29.223956228478066</v>
      </c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96" t="s">
        <v>1</v>
      </c>
      <c r="BJ178" s="183"/>
    </row>
    <row r="179" spans="1:62" ht="14.5" x14ac:dyDescent="0.35">
      <c r="A179" s="105"/>
      <c r="B179" s="163" t="s">
        <v>1</v>
      </c>
      <c r="C179" s="5" t="s">
        <v>24</v>
      </c>
      <c r="D179" s="5" t="s">
        <v>316</v>
      </c>
      <c r="E179" s="5" t="s">
        <v>317</v>
      </c>
      <c r="F179" s="5">
        <v>1071324</v>
      </c>
      <c r="G179" s="7" t="s">
        <v>686</v>
      </c>
      <c r="H179" s="164">
        <v>12557.182450425242</v>
      </c>
      <c r="I179" s="164">
        <v>1356.1757046459261</v>
      </c>
      <c r="J179" s="114">
        <v>0</v>
      </c>
      <c r="K179" s="114">
        <v>9067</v>
      </c>
      <c r="L179" s="165">
        <v>979.23599999999999</v>
      </c>
      <c r="M179" s="115">
        <v>0.73256879370168593</v>
      </c>
      <c r="N179" s="165">
        <v>376.9397046459261</v>
      </c>
      <c r="O179" s="165">
        <v>10.145421074403448</v>
      </c>
      <c r="P179" s="115">
        <v>1.4156645633250002</v>
      </c>
      <c r="Q179" s="5">
        <v>41189</v>
      </c>
      <c r="R179" s="5">
        <v>132</v>
      </c>
      <c r="S179" s="5">
        <v>41057</v>
      </c>
      <c r="T179" s="5">
        <v>0</v>
      </c>
      <c r="U179" s="5">
        <v>0</v>
      </c>
      <c r="V179" s="5">
        <v>0</v>
      </c>
      <c r="W179" s="5">
        <v>0</v>
      </c>
      <c r="X179" s="114">
        <v>12557.182450425242</v>
      </c>
      <c r="Y179" s="114">
        <v>98.088086627927339</v>
      </c>
      <c r="Z179" s="114">
        <v>-37698.817549574756</v>
      </c>
      <c r="AA179" s="166">
        <v>66176.350000000006</v>
      </c>
      <c r="AB179" s="166">
        <v>216370.39</v>
      </c>
      <c r="AC179" s="167">
        <v>4.0021716812992638</v>
      </c>
      <c r="AD179" s="168"/>
      <c r="AE179" s="168">
        <v>69.94509598864569</v>
      </c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96" t="s">
        <v>1</v>
      </c>
      <c r="BJ179" s="183"/>
    </row>
    <row r="180" spans="1:62" ht="12.75" customHeight="1" x14ac:dyDescent="0.35">
      <c r="A180" s="105"/>
      <c r="B180" s="163" t="s">
        <v>1</v>
      </c>
      <c r="C180" s="5" t="s">
        <v>24</v>
      </c>
      <c r="D180" s="5" t="s">
        <v>316</v>
      </c>
      <c r="E180" s="5" t="s">
        <v>317</v>
      </c>
      <c r="F180" s="5">
        <v>1072239</v>
      </c>
      <c r="G180" s="7" t="s">
        <v>767</v>
      </c>
      <c r="H180" s="164">
        <v>4064.7256399182534</v>
      </c>
      <c r="I180" s="164">
        <v>1544.5957431689362</v>
      </c>
      <c r="J180" s="114">
        <v>0</v>
      </c>
      <c r="K180" s="114">
        <v>3123</v>
      </c>
      <c r="L180" s="165">
        <v>1186.74</v>
      </c>
      <c r="M180" s="115">
        <v>0.85393217340735594</v>
      </c>
      <c r="N180" s="165">
        <v>357.85574316893621</v>
      </c>
      <c r="O180" s="165">
        <v>2.1506705280245626</v>
      </c>
      <c r="P180" s="115">
        <v>1.0633662302411369</v>
      </c>
      <c r="Q180" s="5">
        <v>15696</v>
      </c>
      <c r="R180" s="5">
        <v>348</v>
      </c>
      <c r="S180" s="5">
        <v>15343</v>
      </c>
      <c r="T180" s="5">
        <v>0</v>
      </c>
      <c r="U180" s="5">
        <v>0</v>
      </c>
      <c r="V180" s="5">
        <v>0</v>
      </c>
      <c r="W180" s="5">
        <v>0</v>
      </c>
      <c r="X180" s="114">
        <v>4627.9999999999991</v>
      </c>
      <c r="Y180" s="114">
        <v>99.457649092480565</v>
      </c>
      <c r="Z180" s="114">
        <v>-14754.274360081747</v>
      </c>
      <c r="AA180" s="166">
        <v>35200.519999999997</v>
      </c>
      <c r="AB180" s="166">
        <v>132870.38</v>
      </c>
      <c r="AC180" s="167">
        <v>4.6298327776874189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96" t="s">
        <v>1</v>
      </c>
      <c r="BJ180" s="183"/>
    </row>
    <row r="181" spans="1:62" ht="12.75" customHeight="1" x14ac:dyDescent="0.35">
      <c r="A181" s="105"/>
      <c r="B181" s="163" t="s">
        <v>21</v>
      </c>
      <c r="C181" s="5" t="s">
        <v>5</v>
      </c>
      <c r="D181" s="5" t="s">
        <v>308</v>
      </c>
      <c r="E181" s="5" t="s">
        <v>395</v>
      </c>
      <c r="F181" s="5">
        <v>1069126</v>
      </c>
      <c r="G181" s="7" t="s">
        <v>556</v>
      </c>
      <c r="H181" s="164">
        <v>1477.3257592771777</v>
      </c>
      <c r="I181" s="164">
        <v>738.66287963858883</v>
      </c>
      <c r="J181" s="114">
        <v>0</v>
      </c>
      <c r="K181" s="114">
        <v>347</v>
      </c>
      <c r="L181" s="165">
        <v>173.5</v>
      </c>
      <c r="M181" s="115">
        <v>0.23488387569291375</v>
      </c>
      <c r="N181" s="165">
        <v>565.16287963858883</v>
      </c>
      <c r="O181" s="165">
        <v>8.4575285430435283</v>
      </c>
      <c r="P181" s="115">
        <v>1.3280653504551148</v>
      </c>
      <c r="Q181" s="5">
        <v>5375</v>
      </c>
      <c r="R181" s="5">
        <v>0</v>
      </c>
      <c r="S181" s="5">
        <v>5375</v>
      </c>
      <c r="T181" s="5">
        <v>0</v>
      </c>
      <c r="U181" s="5">
        <v>0</v>
      </c>
      <c r="V181" s="5">
        <v>0</v>
      </c>
      <c r="W181" s="5">
        <v>0</v>
      </c>
      <c r="X181" s="114">
        <v>1477.3257592771777</v>
      </c>
      <c r="Y181" s="114">
        <v>109.14992782559752</v>
      </c>
      <c r="Z181" s="114">
        <v>-4244.6742407228221</v>
      </c>
      <c r="AA181" s="166">
        <v>23001.96</v>
      </c>
      <c r="AB181" s="166">
        <v>83688.75</v>
      </c>
      <c r="AC181" s="167">
        <v>3.8732148032128308</v>
      </c>
      <c r="AD181" s="168"/>
      <c r="AE181" s="168">
        <v>40.312352692310292</v>
      </c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96" t="s">
        <v>1</v>
      </c>
      <c r="BJ181" s="183"/>
    </row>
    <row r="182" spans="1:62" ht="14.5" x14ac:dyDescent="0.35">
      <c r="A182" s="105"/>
      <c r="B182" s="163">
        <v>0</v>
      </c>
      <c r="C182" s="5" t="s">
        <v>2</v>
      </c>
      <c r="D182" s="5" t="s">
        <v>308</v>
      </c>
      <c r="E182" s="5" t="s">
        <v>395</v>
      </c>
      <c r="F182" s="160">
        <v>1080732</v>
      </c>
      <c r="G182" s="162" t="s">
        <v>787</v>
      </c>
      <c r="H182" s="164">
        <v>1320</v>
      </c>
      <c r="I182" s="164">
        <v>123.42</v>
      </c>
      <c r="J182" s="114">
        <v>0</v>
      </c>
      <c r="K182" s="114">
        <v>288</v>
      </c>
      <c r="L182" s="165">
        <v>26.928000000000001</v>
      </c>
      <c r="M182" s="115">
        <v>0.21818181818181817</v>
      </c>
      <c r="N182" s="165">
        <v>96.492000000000004</v>
      </c>
      <c r="O182" s="165">
        <v>0</v>
      </c>
      <c r="P182" s="115">
        <v>-0.1950509461426492</v>
      </c>
      <c r="Q182" s="5">
        <v>4820</v>
      </c>
      <c r="R182" s="5">
        <v>0</v>
      </c>
      <c r="S182" s="5">
        <v>4820</v>
      </c>
      <c r="T182" s="5">
        <v>0</v>
      </c>
      <c r="U182" s="5">
        <v>0</v>
      </c>
      <c r="V182" s="5">
        <v>0</v>
      </c>
      <c r="W182" s="5">
        <v>0</v>
      </c>
      <c r="X182" s="114">
        <v>1320</v>
      </c>
      <c r="Y182" s="114">
        <v>109.54545454545455</v>
      </c>
      <c r="Z182" s="114">
        <v>-3788</v>
      </c>
      <c r="AA182" s="166">
        <v>14493.6</v>
      </c>
      <c r="AB182" s="166">
        <v>52923.6</v>
      </c>
      <c r="AC182" s="167">
        <v>3.8696969696969696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95" t="s">
        <v>1</v>
      </c>
      <c r="BJ182" s="183"/>
    </row>
    <row r="183" spans="1:62" ht="14.5" x14ac:dyDescent="0.35">
      <c r="A183" s="105"/>
      <c r="B183" s="163" t="s">
        <v>1</v>
      </c>
      <c r="C183" s="5" t="s">
        <v>2</v>
      </c>
      <c r="D183" s="5" t="s">
        <v>310</v>
      </c>
      <c r="E183" s="5" t="s">
        <v>311</v>
      </c>
      <c r="F183" s="5">
        <v>1080400</v>
      </c>
      <c r="G183" s="7" t="s">
        <v>753</v>
      </c>
      <c r="H183" s="164">
        <v>3133.2</v>
      </c>
      <c r="I183" s="164">
        <v>0</v>
      </c>
      <c r="J183" s="114">
        <v>0</v>
      </c>
      <c r="K183" s="114">
        <v>1011</v>
      </c>
      <c r="L183" s="165">
        <v>0</v>
      </c>
      <c r="M183" s="115">
        <v>0.33543980594918937</v>
      </c>
      <c r="N183" s="165">
        <v>0</v>
      </c>
      <c r="O183" s="165">
        <v>0</v>
      </c>
      <c r="P183" s="115">
        <v>0.51011940808663159</v>
      </c>
      <c r="Q183" s="5">
        <v>13350</v>
      </c>
      <c r="R183" s="5">
        <v>40</v>
      </c>
      <c r="S183" s="5">
        <v>13310</v>
      </c>
      <c r="T183" s="5">
        <v>0</v>
      </c>
      <c r="U183" s="5">
        <v>0</v>
      </c>
      <c r="V183" s="5">
        <v>0</v>
      </c>
      <c r="W183" s="5">
        <v>4427</v>
      </c>
      <c r="X183" s="114">
        <v>3133.2</v>
      </c>
      <c r="Y183" s="114">
        <v>127.44159325928763</v>
      </c>
      <c r="Z183" s="114">
        <v>-11227.8</v>
      </c>
      <c r="AA183" s="166">
        <v>21587.75</v>
      </c>
      <c r="AB183" s="166">
        <v>122207.93</v>
      </c>
      <c r="AC183" s="167">
        <v>4.5834929145921102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95"/>
      <c r="BJ183" s="183"/>
    </row>
    <row r="184" spans="1:62" ht="12.75" customHeight="1" x14ac:dyDescent="0.35">
      <c r="A184" s="105"/>
      <c r="B184" s="163" t="s">
        <v>1</v>
      </c>
      <c r="C184" s="5" t="s">
        <v>50</v>
      </c>
      <c r="D184" s="5" t="s">
        <v>320</v>
      </c>
      <c r="E184" s="5" t="s">
        <v>402</v>
      </c>
      <c r="F184" s="120">
        <v>1060961</v>
      </c>
      <c r="G184" s="121" t="s">
        <v>726</v>
      </c>
      <c r="H184" s="164">
        <v>9190.2774808386876</v>
      </c>
      <c r="I184" s="164">
        <v>1654.2499465509636</v>
      </c>
      <c r="J184" s="114">
        <v>0</v>
      </c>
      <c r="K184" s="114">
        <v>680</v>
      </c>
      <c r="L184" s="165">
        <v>122.39999999999999</v>
      </c>
      <c r="M184" s="115">
        <v>8.3566573653651402E-2</v>
      </c>
      <c r="N184" s="165">
        <v>1531.8499465509635</v>
      </c>
      <c r="O184" s="165">
        <v>0</v>
      </c>
      <c r="P184" s="115">
        <v>0.41532201498262467</v>
      </c>
      <c r="Q184" s="5">
        <v>40461</v>
      </c>
      <c r="R184" s="5">
        <v>88</v>
      </c>
      <c r="S184" s="5">
        <v>40373</v>
      </c>
      <c r="T184" s="5">
        <v>0</v>
      </c>
      <c r="U184" s="5">
        <v>0</v>
      </c>
      <c r="V184" s="5">
        <v>0</v>
      </c>
      <c r="W184" s="5">
        <v>0</v>
      </c>
      <c r="X184" s="114">
        <v>9190.2774808386876</v>
      </c>
      <c r="Y184" s="114">
        <v>131.79036242651827</v>
      </c>
      <c r="Z184" s="114">
        <v>-31950.722519161311</v>
      </c>
      <c r="AA184" s="166">
        <v>62677.69</v>
      </c>
      <c r="AB184" s="166">
        <v>275343.86</v>
      </c>
      <c r="AC184" s="167">
        <v>4.4765786545375938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96"/>
      <c r="BJ184" s="183"/>
    </row>
    <row r="185" spans="1:62" ht="12.75" customHeight="1" x14ac:dyDescent="0.35">
      <c r="A185" s="105"/>
      <c r="B185" s="163" t="s">
        <v>148</v>
      </c>
      <c r="C185" s="5" t="s">
        <v>5</v>
      </c>
      <c r="D185" s="5" t="s">
        <v>318</v>
      </c>
      <c r="E185" s="5" t="s">
        <v>319</v>
      </c>
      <c r="F185" s="112">
        <v>1065299</v>
      </c>
      <c r="G185" s="113" t="s">
        <v>506</v>
      </c>
      <c r="H185" s="164">
        <v>145825</v>
      </c>
      <c r="I185" s="164">
        <v>116660</v>
      </c>
      <c r="J185" s="114">
        <v>0</v>
      </c>
      <c r="K185" s="114">
        <v>71370</v>
      </c>
      <c r="L185" s="165">
        <v>57096</v>
      </c>
      <c r="M185" s="115">
        <v>0.64137150694325396</v>
      </c>
      <c r="N185" s="165">
        <v>59564</v>
      </c>
      <c r="O185" s="165">
        <v>0</v>
      </c>
      <c r="P185" s="115">
        <v>0.93767570877013229</v>
      </c>
      <c r="Q185" s="5">
        <v>665274</v>
      </c>
      <c r="R185" s="5">
        <v>22158</v>
      </c>
      <c r="S185" s="5">
        <v>643116</v>
      </c>
      <c r="T185" s="5">
        <v>5250</v>
      </c>
      <c r="U185" s="5">
        <v>0</v>
      </c>
      <c r="V185" s="5">
        <v>0</v>
      </c>
      <c r="W185" s="5">
        <v>0</v>
      </c>
      <c r="X185" s="114">
        <v>145825</v>
      </c>
      <c r="Y185" s="114">
        <v>132.30570889765127</v>
      </c>
      <c r="Z185" s="114">
        <v>-596069</v>
      </c>
      <c r="AA185" s="166">
        <v>1067439</v>
      </c>
      <c r="AB185" s="166">
        <v>4746039.12</v>
      </c>
      <c r="AC185" s="167">
        <v>5.087563860792045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96" t="s">
        <v>1</v>
      </c>
      <c r="BJ185" s="183"/>
    </row>
    <row r="186" spans="1:62" ht="12.75" customHeight="1" x14ac:dyDescent="0.35">
      <c r="A186" s="105"/>
      <c r="B186" s="163" t="s">
        <v>1</v>
      </c>
      <c r="C186" s="5" t="s">
        <v>2</v>
      </c>
      <c r="D186" s="5" t="s">
        <v>310</v>
      </c>
      <c r="E186" s="5" t="s">
        <v>311</v>
      </c>
      <c r="F186" s="122">
        <v>1068294</v>
      </c>
      <c r="G186" s="123" t="s">
        <v>565</v>
      </c>
      <c r="H186" s="164">
        <v>728.1032508723456</v>
      </c>
      <c r="I186" s="164">
        <v>109.21548763085184</v>
      </c>
      <c r="J186" s="114">
        <v>0</v>
      </c>
      <c r="K186" s="114">
        <v>50</v>
      </c>
      <c r="L186" s="165">
        <v>7.5</v>
      </c>
      <c r="M186" s="115">
        <v>6.8671579120261658E-2</v>
      </c>
      <c r="N186" s="165">
        <v>101.71548763085184</v>
      </c>
      <c r="O186" s="165">
        <v>50.752824008329242</v>
      </c>
      <c r="P186" s="115">
        <v>2.6961398295143773</v>
      </c>
      <c r="Q186" s="5">
        <v>3228</v>
      </c>
      <c r="R186" s="5">
        <v>0</v>
      </c>
      <c r="S186" s="5">
        <v>3228</v>
      </c>
      <c r="T186" s="5">
        <v>0</v>
      </c>
      <c r="U186" s="5">
        <v>0</v>
      </c>
      <c r="V186" s="5">
        <v>0</v>
      </c>
      <c r="W186" s="5">
        <v>0</v>
      </c>
      <c r="X186" s="114">
        <v>728.1032508723456</v>
      </c>
      <c r="Y186" s="114">
        <v>133.00311444012277</v>
      </c>
      <c r="Z186" s="114">
        <v>-2549.8967491276544</v>
      </c>
      <c r="AA186" s="166">
        <v>1485.33</v>
      </c>
      <c r="AB186" s="166">
        <v>6585.12</v>
      </c>
      <c r="AC186" s="167">
        <v>4.5021087271243534</v>
      </c>
      <c r="AD186" s="168"/>
      <c r="AE186" s="168">
        <v>16.66190502303137</v>
      </c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96" t="s">
        <v>1</v>
      </c>
      <c r="BJ186" s="183"/>
    </row>
    <row r="187" spans="1:62" ht="12.75" customHeight="1" x14ac:dyDescent="0.35">
      <c r="A187" s="105"/>
      <c r="B187" s="163" t="s">
        <v>1</v>
      </c>
      <c r="C187" s="5" t="s">
        <v>24</v>
      </c>
      <c r="D187" s="5" t="s">
        <v>316</v>
      </c>
      <c r="E187" s="5" t="s">
        <v>317</v>
      </c>
      <c r="F187" s="5">
        <v>1059902</v>
      </c>
      <c r="G187" s="7" t="s">
        <v>766</v>
      </c>
      <c r="H187" s="164">
        <v>1521.2947518924948</v>
      </c>
      <c r="I187" s="164">
        <v>76.064737594624745</v>
      </c>
      <c r="J187" s="114">
        <v>0</v>
      </c>
      <c r="K187" s="114">
        <v>240</v>
      </c>
      <c r="L187" s="165">
        <v>12</v>
      </c>
      <c r="M187" s="115">
        <v>0.17353639041453556</v>
      </c>
      <c r="N187" s="165">
        <v>64.064737594624745</v>
      </c>
      <c r="O187" s="165">
        <v>0</v>
      </c>
      <c r="P187" s="115">
        <v>0.12347266881028938</v>
      </c>
      <c r="Q187" s="5">
        <v>7050</v>
      </c>
      <c r="R187" s="5">
        <v>24</v>
      </c>
      <c r="S187" s="5">
        <v>7026</v>
      </c>
      <c r="T187" s="5">
        <v>0</v>
      </c>
      <c r="U187" s="5">
        <v>0</v>
      </c>
      <c r="V187" s="5">
        <v>0</v>
      </c>
      <c r="W187" s="5">
        <v>0</v>
      </c>
      <c r="X187" s="114">
        <v>1521.2947518924948</v>
      </c>
      <c r="Y187" s="114">
        <v>138.5530317105144</v>
      </c>
      <c r="Z187" s="114">
        <v>-5768.7052481075052</v>
      </c>
      <c r="AA187" s="166">
        <v>7606.47</v>
      </c>
      <c r="AB187" s="166">
        <v>35130</v>
      </c>
      <c r="AC187" s="167">
        <v>4.7919707807650163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96"/>
      <c r="BJ187" s="183"/>
    </row>
    <row r="188" spans="1:62" ht="12.75" customHeight="1" x14ac:dyDescent="0.35">
      <c r="A188" s="105"/>
      <c r="B188" s="163" t="s">
        <v>1</v>
      </c>
      <c r="C188" s="5" t="s">
        <v>24</v>
      </c>
      <c r="D188" s="5" t="s">
        <v>316</v>
      </c>
      <c r="E188" s="5" t="s">
        <v>317</v>
      </c>
      <c r="F188" s="5">
        <v>1032132</v>
      </c>
      <c r="G188" s="7" t="s">
        <v>96</v>
      </c>
      <c r="H188" s="164">
        <v>2870.7492789714947</v>
      </c>
      <c r="I188" s="164">
        <v>143.53746394857475</v>
      </c>
      <c r="J188" s="114">
        <v>0</v>
      </c>
      <c r="K188" s="114">
        <v>1136</v>
      </c>
      <c r="L188" s="165">
        <v>56.800000000000004</v>
      </c>
      <c r="M188" s="115">
        <v>0.39571550477128237</v>
      </c>
      <c r="N188" s="165">
        <v>86.737463948574742</v>
      </c>
      <c r="O188" s="165">
        <v>0</v>
      </c>
      <c r="P188" s="115">
        <v>0.63560216823393823</v>
      </c>
      <c r="Q188" s="5">
        <v>13377</v>
      </c>
      <c r="R188" s="5">
        <v>0</v>
      </c>
      <c r="S188" s="5">
        <v>13377</v>
      </c>
      <c r="T188" s="5">
        <v>0</v>
      </c>
      <c r="U188" s="5">
        <v>0</v>
      </c>
      <c r="V188" s="5">
        <v>0</v>
      </c>
      <c r="W188" s="5">
        <v>2</v>
      </c>
      <c r="X188" s="114">
        <v>2870.7492789714947</v>
      </c>
      <c r="Y188" s="114">
        <v>139.7927722004959</v>
      </c>
      <c r="Z188" s="114">
        <v>-11642.250721028506</v>
      </c>
      <c r="AA188" s="166">
        <v>12459.05</v>
      </c>
      <c r="AB188" s="166">
        <v>58064.86</v>
      </c>
      <c r="AC188" s="167">
        <v>5.0554745781211459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95"/>
      <c r="BJ188" s="183"/>
    </row>
    <row r="189" spans="1:62" ht="12.75" customHeight="1" x14ac:dyDescent="0.35">
      <c r="A189" s="105"/>
      <c r="B189" s="163" t="s">
        <v>1</v>
      </c>
      <c r="C189" s="5" t="s">
        <v>2</v>
      </c>
      <c r="D189" s="5" t="s">
        <v>310</v>
      </c>
      <c r="E189" s="5" t="s">
        <v>311</v>
      </c>
      <c r="F189" s="5">
        <v>1080399</v>
      </c>
      <c r="G189" s="7" t="s">
        <v>752</v>
      </c>
      <c r="H189" s="164">
        <v>5863.2</v>
      </c>
      <c r="I189" s="164">
        <v>0</v>
      </c>
      <c r="J189" s="114">
        <v>0</v>
      </c>
      <c r="K189" s="114">
        <v>2074</v>
      </c>
      <c r="L189" s="165">
        <v>0</v>
      </c>
      <c r="M189" s="115">
        <v>0.35782507845545097</v>
      </c>
      <c r="N189" s="165">
        <v>0</v>
      </c>
      <c r="O189" s="165">
        <v>0</v>
      </c>
      <c r="P189" s="115">
        <v>0.23034843444077668</v>
      </c>
      <c r="Q189" s="5">
        <v>30408</v>
      </c>
      <c r="R189" s="5">
        <v>24</v>
      </c>
      <c r="S189" s="5">
        <v>30384</v>
      </c>
      <c r="T189" s="5">
        <v>0</v>
      </c>
      <c r="U189" s="5">
        <v>0</v>
      </c>
      <c r="V189" s="5">
        <v>0</v>
      </c>
      <c r="W189" s="5">
        <v>5785</v>
      </c>
      <c r="X189" s="114">
        <v>5863.2</v>
      </c>
      <c r="Y189" s="114">
        <v>155.46459271387639</v>
      </c>
      <c r="Z189" s="114">
        <v>-26618.799999999999</v>
      </c>
      <c r="AA189" s="166">
        <v>13133.57</v>
      </c>
      <c r="AB189" s="166">
        <v>81018.559999999998</v>
      </c>
      <c r="AC189" s="167">
        <v>5.5399781689179974</v>
      </c>
      <c r="AD189" s="168"/>
      <c r="AE189" s="168">
        <v>0</v>
      </c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96" t="s">
        <v>1</v>
      </c>
      <c r="BJ189" s="183"/>
    </row>
    <row r="190" spans="1:62" ht="12.75" customHeight="1" x14ac:dyDescent="0.35">
      <c r="A190" s="105"/>
      <c r="B190" s="163" t="s">
        <v>1</v>
      </c>
      <c r="C190" s="5" t="s">
        <v>50</v>
      </c>
      <c r="D190" s="5" t="s">
        <v>320</v>
      </c>
      <c r="E190" s="5" t="s">
        <v>402</v>
      </c>
      <c r="F190" s="120">
        <v>1060962</v>
      </c>
      <c r="G190" s="121" t="s">
        <v>727</v>
      </c>
      <c r="H190" s="164">
        <v>8569.5035837426894</v>
      </c>
      <c r="I190" s="164">
        <v>1542.5106450736841</v>
      </c>
      <c r="J190" s="114">
        <v>0</v>
      </c>
      <c r="K190" s="114">
        <v>360</v>
      </c>
      <c r="L190" s="165">
        <v>64.8</v>
      </c>
      <c r="M190" s="115">
        <v>5.134486446037894E-2</v>
      </c>
      <c r="N190" s="165">
        <v>1477.7106450736842</v>
      </c>
      <c r="O190" s="165">
        <v>0</v>
      </c>
      <c r="P190" s="115">
        <v>0.40695971944757536</v>
      </c>
      <c r="Q190" s="5">
        <v>44740</v>
      </c>
      <c r="R190" s="5">
        <v>80</v>
      </c>
      <c r="S190" s="5">
        <v>44660</v>
      </c>
      <c r="T190" s="5">
        <v>0</v>
      </c>
      <c r="U190" s="5">
        <v>0</v>
      </c>
      <c r="V190" s="5">
        <v>0</v>
      </c>
      <c r="W190" s="5">
        <v>0</v>
      </c>
      <c r="X190" s="114">
        <v>8569.5035837426894</v>
      </c>
      <c r="Y190" s="114">
        <v>156.34511228185386</v>
      </c>
      <c r="Z190" s="114">
        <v>-36530.496416257309</v>
      </c>
      <c r="AA190" s="166">
        <v>58444.01</v>
      </c>
      <c r="AB190" s="166">
        <v>304581.2</v>
      </c>
      <c r="AC190" s="167">
        <v>5.2628486071888414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95"/>
      <c r="BJ190" s="183"/>
    </row>
    <row r="191" spans="1:62" ht="12.75" customHeight="1" x14ac:dyDescent="0.35">
      <c r="A191" s="105"/>
      <c r="B191" s="163" t="s">
        <v>1</v>
      </c>
      <c r="C191" s="5" t="s">
        <v>24</v>
      </c>
      <c r="D191" s="5" t="s">
        <v>316</v>
      </c>
      <c r="E191" s="5" t="s">
        <v>317</v>
      </c>
      <c r="F191" s="5">
        <v>1064331</v>
      </c>
      <c r="G191" s="7" t="s">
        <v>596</v>
      </c>
      <c r="H191" s="164">
        <v>104.99410119375361</v>
      </c>
      <c r="I191" s="164">
        <v>8.9244986014690575</v>
      </c>
      <c r="J191" s="114">
        <v>0</v>
      </c>
      <c r="K191" s="114">
        <v>264</v>
      </c>
      <c r="L191" s="165">
        <v>22.44</v>
      </c>
      <c r="M191" s="115">
        <v>2.7430112427795508</v>
      </c>
      <c r="N191" s="165">
        <v>13.515501398530944</v>
      </c>
      <c r="O191" s="165">
        <v>108.57921382792523</v>
      </c>
      <c r="P191" s="115">
        <v>4.8386721453482346</v>
      </c>
      <c r="Q191" s="5">
        <v>2266</v>
      </c>
      <c r="R191" s="5">
        <v>24</v>
      </c>
      <c r="S191" s="5">
        <v>2242</v>
      </c>
      <c r="T191" s="5">
        <v>0</v>
      </c>
      <c r="U191" s="5">
        <v>0</v>
      </c>
      <c r="V191" s="5">
        <v>0</v>
      </c>
      <c r="W191" s="5">
        <v>0</v>
      </c>
      <c r="X191" s="114">
        <v>384</v>
      </c>
      <c r="Y191" s="114">
        <v>175.15625</v>
      </c>
      <c r="Z191" s="114">
        <v>-2425.0058988062465</v>
      </c>
      <c r="AA191" s="166">
        <v>690.86</v>
      </c>
      <c r="AB191" s="166">
        <v>14752.36</v>
      </c>
      <c r="AC191" s="167">
        <v>24.096591820250914</v>
      </c>
      <c r="AD191" s="168"/>
      <c r="AE191" s="168">
        <v>105.57129340524175</v>
      </c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96" t="s">
        <v>1</v>
      </c>
      <c r="BJ191" s="183"/>
    </row>
    <row r="192" spans="1:62" ht="12.75" customHeight="1" x14ac:dyDescent="0.35">
      <c r="A192" s="105"/>
      <c r="B192" s="163" t="s">
        <v>1</v>
      </c>
      <c r="C192" s="5" t="s">
        <v>2</v>
      </c>
      <c r="D192" s="5" t="s">
        <v>306</v>
      </c>
      <c r="E192" s="5" t="s">
        <v>401</v>
      </c>
      <c r="F192" s="55">
        <v>1064893</v>
      </c>
      <c r="G192" s="64" t="s">
        <v>535</v>
      </c>
      <c r="H192" s="164">
        <v>350</v>
      </c>
      <c r="I192" s="164">
        <v>630</v>
      </c>
      <c r="J192" s="114">
        <v>0</v>
      </c>
      <c r="K192" s="114">
        <v>745</v>
      </c>
      <c r="L192" s="165">
        <v>1341</v>
      </c>
      <c r="M192" s="115">
        <v>2.1285714285714286</v>
      </c>
      <c r="N192" s="165">
        <v>711</v>
      </c>
      <c r="O192" s="165">
        <v>14.657142857142853</v>
      </c>
      <c r="P192" s="115">
        <v>1.2740384615384615</v>
      </c>
      <c r="Q192" s="5">
        <v>6188</v>
      </c>
      <c r="R192" s="5">
        <v>0</v>
      </c>
      <c r="S192" s="5">
        <v>6188</v>
      </c>
      <c r="T192" s="5">
        <v>0</v>
      </c>
      <c r="U192" s="5">
        <v>0</v>
      </c>
      <c r="V192" s="5">
        <v>0</v>
      </c>
      <c r="W192" s="5">
        <v>0</v>
      </c>
      <c r="X192" s="114">
        <v>993.33333333333337</v>
      </c>
      <c r="Y192" s="114">
        <v>186.88590604026845</v>
      </c>
      <c r="Z192" s="114">
        <v>-6583</v>
      </c>
      <c r="AA192" s="166">
        <v>1053.5</v>
      </c>
      <c r="AB192" s="166">
        <v>18625.88</v>
      </c>
      <c r="AC192" s="167">
        <v>19.80857142857143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96"/>
      <c r="BJ192" s="183" t="s">
        <v>827</v>
      </c>
    </row>
    <row r="193" spans="1:62" ht="12.75" customHeight="1" x14ac:dyDescent="0.35">
      <c r="A193" s="105"/>
      <c r="B193" s="163">
        <v>0</v>
      </c>
      <c r="C193" s="5" t="s">
        <v>2</v>
      </c>
      <c r="D193" s="5" t="s">
        <v>308</v>
      </c>
      <c r="E193" s="5" t="s">
        <v>395</v>
      </c>
      <c r="F193" s="160">
        <v>1080733</v>
      </c>
      <c r="G193" s="162" t="s">
        <v>806</v>
      </c>
      <c r="H193" s="164">
        <v>1100</v>
      </c>
      <c r="I193" s="164">
        <v>103.95</v>
      </c>
      <c r="J193" s="114">
        <v>0</v>
      </c>
      <c r="K193" s="114">
        <v>84</v>
      </c>
      <c r="L193" s="165">
        <v>7.9379999999999997</v>
      </c>
      <c r="M193" s="115">
        <v>7.636363636363637E-2</v>
      </c>
      <c r="N193" s="165">
        <v>96.012</v>
      </c>
      <c r="O193" s="165">
        <v>0</v>
      </c>
      <c r="P193" s="115">
        <v>0.34920634920634919</v>
      </c>
      <c r="Q193" s="5">
        <v>6971</v>
      </c>
      <c r="R193" s="5">
        <v>0</v>
      </c>
      <c r="S193" s="5">
        <v>6971</v>
      </c>
      <c r="T193" s="5">
        <v>0</v>
      </c>
      <c r="U193" s="5">
        <v>0</v>
      </c>
      <c r="V193" s="5">
        <v>0</v>
      </c>
      <c r="W193" s="5">
        <v>0</v>
      </c>
      <c r="X193" s="114">
        <v>1100</v>
      </c>
      <c r="Y193" s="114">
        <v>190.1181818181818</v>
      </c>
      <c r="Z193" s="114">
        <v>-5955</v>
      </c>
      <c r="AA193" s="166">
        <v>8943</v>
      </c>
      <c r="AB193" s="166">
        <v>56674.23</v>
      </c>
      <c r="AC193" s="167">
        <v>6.413636363636364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96" t="s">
        <v>1</v>
      </c>
      <c r="BJ193" s="183"/>
    </row>
    <row r="194" spans="1:62" ht="12.75" customHeight="1" x14ac:dyDescent="0.35">
      <c r="A194" s="105"/>
      <c r="B194" s="163" t="s">
        <v>1</v>
      </c>
      <c r="C194" s="5" t="s">
        <v>2</v>
      </c>
      <c r="D194" s="5" t="s">
        <v>396</v>
      </c>
      <c r="E194" s="5" t="s">
        <v>397</v>
      </c>
      <c r="F194" s="5">
        <v>1043305</v>
      </c>
      <c r="G194" s="7" t="s">
        <v>128</v>
      </c>
      <c r="H194" s="164">
        <v>2053.023340704045</v>
      </c>
      <c r="I194" s="164">
        <v>2053.023340704045</v>
      </c>
      <c r="J194" s="114">
        <v>0</v>
      </c>
      <c r="K194" s="114">
        <v>1245</v>
      </c>
      <c r="L194" s="165">
        <v>1245</v>
      </c>
      <c r="M194" s="115">
        <v>0.77836426323920727</v>
      </c>
      <c r="N194" s="165">
        <v>808.02334070404504</v>
      </c>
      <c r="O194" s="165">
        <v>0</v>
      </c>
      <c r="P194" s="115">
        <v>0.36368153197935904</v>
      </c>
      <c r="Q194" s="5">
        <v>16817</v>
      </c>
      <c r="R194" s="5">
        <v>353</v>
      </c>
      <c r="S194" s="5">
        <v>16464</v>
      </c>
      <c r="T194" s="5">
        <v>0</v>
      </c>
      <c r="U194" s="5">
        <v>0</v>
      </c>
      <c r="V194" s="5">
        <v>0</v>
      </c>
      <c r="W194" s="5">
        <v>0</v>
      </c>
      <c r="X194" s="114">
        <v>2130.666666666667</v>
      </c>
      <c r="Y194" s="114">
        <v>231.81476846057569</v>
      </c>
      <c r="Z194" s="114">
        <v>-16008.976659295955</v>
      </c>
      <c r="AA194" s="166">
        <v>61344.34</v>
      </c>
      <c r="AB194" s="166">
        <v>491944.32</v>
      </c>
      <c r="AC194" s="167">
        <v>8.7977567726073609</v>
      </c>
      <c r="AD194" s="168"/>
      <c r="AE194" s="168">
        <v>75.108571428571437</v>
      </c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96" t="s">
        <v>1</v>
      </c>
      <c r="BJ194" s="183"/>
    </row>
    <row r="195" spans="1:62" ht="12.75" customHeight="1" x14ac:dyDescent="0.35">
      <c r="A195" s="105"/>
      <c r="B195" s="163" t="s">
        <v>148</v>
      </c>
      <c r="C195" s="5" t="s">
        <v>5</v>
      </c>
      <c r="D195" s="5" t="s">
        <v>318</v>
      </c>
      <c r="E195" s="5" t="s">
        <v>307</v>
      </c>
      <c r="F195" s="112">
        <v>1072129</v>
      </c>
      <c r="G195" s="113" t="s">
        <v>603</v>
      </c>
      <c r="H195" s="164">
        <v>537</v>
      </c>
      <c r="I195" s="164">
        <v>268.5</v>
      </c>
      <c r="J195" s="114">
        <v>0</v>
      </c>
      <c r="K195" s="114">
        <v>271</v>
      </c>
      <c r="L195" s="165">
        <v>135.5</v>
      </c>
      <c r="M195" s="115">
        <v>0.57169459962756053</v>
      </c>
      <c r="N195" s="165">
        <v>133</v>
      </c>
      <c r="O195" s="165">
        <v>0</v>
      </c>
      <c r="P195" s="115">
        <v>0.24422858584584331</v>
      </c>
      <c r="Q195" s="5">
        <v>5602</v>
      </c>
      <c r="R195" s="5">
        <v>36</v>
      </c>
      <c r="S195" s="5">
        <v>5566</v>
      </c>
      <c r="T195" s="5">
        <v>0</v>
      </c>
      <c r="U195" s="5">
        <v>0</v>
      </c>
      <c r="V195" s="5">
        <v>0</v>
      </c>
      <c r="W195" s="5">
        <v>0</v>
      </c>
      <c r="X195" s="114">
        <v>537</v>
      </c>
      <c r="Y195" s="114">
        <v>310.94972067039106</v>
      </c>
      <c r="Z195" s="114">
        <v>-5336</v>
      </c>
      <c r="AA195" s="166">
        <v>4720.2299999999996</v>
      </c>
      <c r="AB195" s="166">
        <v>48925.14</v>
      </c>
      <c r="AC195" s="167">
        <v>10.936685288640597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96" t="s">
        <v>1</v>
      </c>
      <c r="BJ195" s="183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396</v>
      </c>
      <c r="E196" s="5" t="s">
        <v>397</v>
      </c>
      <c r="F196" s="122">
        <v>1067716</v>
      </c>
      <c r="G196" s="123" t="s">
        <v>639</v>
      </c>
      <c r="H196" s="164">
        <v>0</v>
      </c>
      <c r="I196" s="164">
        <v>0</v>
      </c>
      <c r="J196" s="114">
        <v>0</v>
      </c>
      <c r="K196" s="114">
        <v>1546</v>
      </c>
      <c r="L196" s="165">
        <v>773</v>
      </c>
      <c r="M196" s="115">
        <v>0</v>
      </c>
      <c r="N196" s="165">
        <v>773</v>
      </c>
      <c r="O196" s="165">
        <v>0</v>
      </c>
      <c r="P196" s="115">
        <v>0.55873668338943372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1512</v>
      </c>
      <c r="X196" s="114">
        <v>0</v>
      </c>
      <c r="Y196" s="114" t="s">
        <v>574</v>
      </c>
      <c r="Z196" s="114"/>
      <c r="AA196" s="166">
        <v>0</v>
      </c>
      <c r="AB196" s="166">
        <v>22906.799999999999</v>
      </c>
      <c r="AC196" s="167"/>
      <c r="AD196" s="168"/>
      <c r="AE196" s="168">
        <v>31.022079772079774</v>
      </c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96" t="s">
        <v>1</v>
      </c>
      <c r="BJ196" s="183" t="s">
        <v>813</v>
      </c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308</v>
      </c>
      <c r="E197" s="5" t="s">
        <v>395</v>
      </c>
      <c r="F197" s="5">
        <v>1078355</v>
      </c>
      <c r="G197" s="7" t="s">
        <v>706</v>
      </c>
      <c r="H197" s="164">
        <v>0</v>
      </c>
      <c r="I197" s="164">
        <v>0</v>
      </c>
      <c r="J197" s="114">
        <v>0</v>
      </c>
      <c r="K197" s="114">
        <v>132</v>
      </c>
      <c r="L197" s="165">
        <v>33.264000000000003</v>
      </c>
      <c r="M197" s="115">
        <v>0</v>
      </c>
      <c r="N197" s="165">
        <v>33.264000000000003</v>
      </c>
      <c r="O197" s="165">
        <v>0</v>
      </c>
      <c r="P197" s="115">
        <v>0.1687289088863892</v>
      </c>
      <c r="Q197" s="5">
        <v>13</v>
      </c>
      <c r="R197" s="5">
        <v>0</v>
      </c>
      <c r="S197" s="5">
        <v>13</v>
      </c>
      <c r="T197" s="5">
        <v>0</v>
      </c>
      <c r="U197" s="5">
        <v>0</v>
      </c>
      <c r="V197" s="5">
        <v>0</v>
      </c>
      <c r="W197" s="5">
        <v>1426</v>
      </c>
      <c r="X197" s="114">
        <v>0</v>
      </c>
      <c r="Y197" s="114" t="s">
        <v>574</v>
      </c>
      <c r="Z197" s="114"/>
      <c r="AA197" s="166">
        <v>0</v>
      </c>
      <c r="AB197" s="166">
        <v>13022.95</v>
      </c>
      <c r="AC197" s="167"/>
      <c r="AD197" s="168"/>
      <c r="AE197" s="168">
        <v>67.599515738498795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96" t="s">
        <v>1</v>
      </c>
      <c r="BJ197" s="183" t="s">
        <v>828</v>
      </c>
    </row>
    <row r="198" spans="1:62" ht="12.75" customHeight="1" x14ac:dyDescent="0.35">
      <c r="A198" s="105"/>
      <c r="B198" s="163" t="s">
        <v>31</v>
      </c>
      <c r="C198" s="5" t="s">
        <v>5</v>
      </c>
      <c r="D198" s="5" t="s">
        <v>306</v>
      </c>
      <c r="E198" s="5" t="s">
        <v>307</v>
      </c>
      <c r="F198" s="139">
        <v>1091734</v>
      </c>
      <c r="G198" s="140" t="s">
        <v>809</v>
      </c>
      <c r="H198" s="164">
        <v>0</v>
      </c>
      <c r="I198" s="164">
        <v>0</v>
      </c>
      <c r="J198" s="114">
        <v>0</v>
      </c>
      <c r="K198" s="114">
        <v>0</v>
      </c>
      <c r="L198" s="165">
        <v>0</v>
      </c>
      <c r="M198" s="115">
        <v>0</v>
      </c>
      <c r="N198" s="165">
        <v>0</v>
      </c>
      <c r="O198" s="165">
        <v>0</v>
      </c>
      <c r="P198" s="115">
        <v>0</v>
      </c>
      <c r="Q198" s="5">
        <v>90700</v>
      </c>
      <c r="R198" s="5">
        <v>0</v>
      </c>
      <c r="S198" s="5">
        <v>90700</v>
      </c>
      <c r="T198" s="5">
        <v>0</v>
      </c>
      <c r="U198" s="5">
        <v>0</v>
      </c>
      <c r="V198" s="5">
        <v>0</v>
      </c>
      <c r="W198" s="5">
        <v>0</v>
      </c>
      <c r="X198" s="114">
        <v>0</v>
      </c>
      <c r="Y198" s="114" t="s">
        <v>574</v>
      </c>
      <c r="Z198" s="114"/>
      <c r="AA198" s="166">
        <v>0</v>
      </c>
      <c r="AB198" s="166">
        <v>106119</v>
      </c>
      <c r="AC198" s="167"/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96" t="s">
        <v>1</v>
      </c>
      <c r="BJ198" s="183"/>
    </row>
    <row r="199" spans="1:62" ht="12.75" customHeight="1" x14ac:dyDescent="0.35">
      <c r="A199" s="105"/>
      <c r="B199" s="163" t="s">
        <v>148</v>
      </c>
      <c r="C199" s="5" t="s">
        <v>5</v>
      </c>
      <c r="D199" s="5" t="s">
        <v>318</v>
      </c>
      <c r="E199" s="5" t="s">
        <v>319</v>
      </c>
      <c r="F199" s="128">
        <v>1091732</v>
      </c>
      <c r="G199" s="129" t="s">
        <v>803</v>
      </c>
      <c r="H199" s="164">
        <v>0</v>
      </c>
      <c r="I199" s="164">
        <v>0</v>
      </c>
      <c r="J199" s="114">
        <v>0</v>
      </c>
      <c r="K199" s="114">
        <v>7746</v>
      </c>
      <c r="L199" s="165">
        <v>5809.5</v>
      </c>
      <c r="M199" s="115">
        <v>0</v>
      </c>
      <c r="N199" s="165">
        <v>5809.5</v>
      </c>
      <c r="O199" s="165">
        <v>0</v>
      </c>
      <c r="P199" s="115">
        <v>0.59634584664536738</v>
      </c>
      <c r="Q199" s="5">
        <v>6</v>
      </c>
      <c r="R199" s="5">
        <v>0</v>
      </c>
      <c r="S199" s="5">
        <v>6</v>
      </c>
      <c r="T199" s="5">
        <v>0</v>
      </c>
      <c r="U199" s="5">
        <v>0</v>
      </c>
      <c r="V199" s="5">
        <v>0</v>
      </c>
      <c r="W199" s="5">
        <v>6</v>
      </c>
      <c r="X199" s="114">
        <v>0</v>
      </c>
      <c r="Y199" s="114" t="s">
        <v>574</v>
      </c>
      <c r="Z199" s="114"/>
      <c r="AA199" s="166">
        <v>0</v>
      </c>
      <c r="AB199" s="166">
        <v>70.44</v>
      </c>
      <c r="AC199" s="167"/>
      <c r="AD199" s="168"/>
      <c r="AE199" s="168">
        <v>56.781838316722038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96" t="s">
        <v>1</v>
      </c>
      <c r="BJ199" s="183"/>
    </row>
    <row r="200" spans="1:62" ht="12.75" customHeight="1" x14ac:dyDescent="0.35">
      <c r="A200" s="105"/>
      <c r="B200" s="163" t="s">
        <v>4</v>
      </c>
      <c r="C200" s="5" t="s">
        <v>5</v>
      </c>
      <c r="D200" s="5" t="s">
        <v>308</v>
      </c>
      <c r="E200" s="5" t="s">
        <v>314</v>
      </c>
      <c r="F200" s="139">
        <v>1075138</v>
      </c>
      <c r="G200" s="140" t="s">
        <v>664</v>
      </c>
      <c r="H200" s="164">
        <v>0</v>
      </c>
      <c r="I200" s="164">
        <v>0</v>
      </c>
      <c r="J200" s="114">
        <v>0</v>
      </c>
      <c r="K200" s="114">
        <v>0</v>
      </c>
      <c r="L200" s="165">
        <v>0</v>
      </c>
      <c r="M200" s="115">
        <v>0</v>
      </c>
      <c r="N200" s="165">
        <v>0</v>
      </c>
      <c r="O200" s="165">
        <v>13.786133690866436</v>
      </c>
      <c r="P200" s="115">
        <v>1.4416670528519053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1364</v>
      </c>
      <c r="X200" s="114">
        <v>0</v>
      </c>
      <c r="Y200" s="114" t="s">
        <v>574</v>
      </c>
      <c r="Z200" s="114"/>
      <c r="AA200" s="166">
        <v>0</v>
      </c>
      <c r="AB200" s="166">
        <v>518.32000000000005</v>
      </c>
      <c r="AC200" s="167"/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95" t="s">
        <v>1</v>
      </c>
      <c r="BJ200" s="183"/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1823</v>
      </c>
      <c r="L201" s="165">
        <v>1823</v>
      </c>
      <c r="M201" s="115">
        <v>0</v>
      </c>
      <c r="N201" s="165">
        <v>1823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1878</v>
      </c>
      <c r="X201" s="114">
        <v>0</v>
      </c>
      <c r="Y201" s="114" t="s">
        <v>574</v>
      </c>
      <c r="Z201" s="114"/>
      <c r="AA201" s="166">
        <v>0</v>
      </c>
      <c r="AB201" s="166">
        <v>67307.520000000004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96" t="s">
        <v>1</v>
      </c>
      <c r="BJ201" s="183"/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1000</v>
      </c>
      <c r="L202" s="165">
        <v>500</v>
      </c>
      <c r="M202" s="115">
        <v>0</v>
      </c>
      <c r="N202" s="165">
        <v>500</v>
      </c>
      <c r="O202" s="165">
        <v>50.06970456988568</v>
      </c>
      <c r="P202" s="115">
        <v>1.512887019639082</v>
      </c>
      <c r="Q202" s="5">
        <v>720</v>
      </c>
      <c r="R202" s="5">
        <v>0</v>
      </c>
      <c r="S202" s="5">
        <v>720</v>
      </c>
      <c r="T202" s="5">
        <v>0</v>
      </c>
      <c r="U202" s="5">
        <v>0</v>
      </c>
      <c r="V202" s="5">
        <v>0</v>
      </c>
      <c r="W202" s="5">
        <v>2063</v>
      </c>
      <c r="X202" s="114">
        <v>0</v>
      </c>
      <c r="Y202" s="114" t="s">
        <v>574</v>
      </c>
      <c r="Z202" s="114"/>
      <c r="AA202" s="166">
        <v>0</v>
      </c>
      <c r="AB202" s="166">
        <v>51457.67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96" t="s">
        <v>1</v>
      </c>
      <c r="BJ202" s="183"/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96" t="s">
        <v>1</v>
      </c>
      <c r="BJ203" s="183"/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95" t="s">
        <v>1</v>
      </c>
      <c r="BJ204" s="183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809</v>
      </c>
      <c r="L205" s="165">
        <v>294.476</v>
      </c>
      <c r="M205" s="115">
        <v>0</v>
      </c>
      <c r="N205" s="165">
        <v>294.476</v>
      </c>
      <c r="O205" s="165">
        <v>0</v>
      </c>
      <c r="P205" s="115">
        <v>0.53704752665289601</v>
      </c>
      <c r="Q205" s="5">
        <v>1829</v>
      </c>
      <c r="R205" s="5">
        <v>0</v>
      </c>
      <c r="S205" s="5">
        <v>1829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10717.94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95"/>
      <c r="BJ205" s="183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96" t="s">
        <v>1</v>
      </c>
      <c r="BJ206" s="183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13060</v>
      </c>
      <c r="R207" s="5">
        <v>0</v>
      </c>
      <c r="S207" s="5">
        <v>13060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99778.4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95" t="s">
        <v>1</v>
      </c>
      <c r="BJ207" s="183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6">
        <v>0</v>
      </c>
      <c r="AB208" s="166">
        <v>0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96" t="s">
        <v>1</v>
      </c>
      <c r="BJ208" s="183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-1</v>
      </c>
      <c r="L209" s="165">
        <v>-0.12</v>
      </c>
      <c r="M209" s="115">
        <v>0</v>
      </c>
      <c r="N209" s="165">
        <v>0.12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96" t="s">
        <v>1</v>
      </c>
      <c r="BJ209" s="183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95" t="s">
        <v>1</v>
      </c>
      <c r="BJ210" s="183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-25</v>
      </c>
      <c r="L211" s="165">
        <v>-12.5</v>
      </c>
      <c r="M211" s="115">
        <v>0</v>
      </c>
      <c r="N211" s="165">
        <v>12.5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95"/>
      <c r="BJ211" s="183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96" t="s">
        <v>1</v>
      </c>
      <c r="BJ212" s="183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96" t="s">
        <v>1</v>
      </c>
      <c r="BJ213" s="183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481</v>
      </c>
      <c r="L214" s="165">
        <v>288.59999999999997</v>
      </c>
      <c r="M214" s="115">
        <v>0</v>
      </c>
      <c r="N214" s="165">
        <v>288.59999999999997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95" t="s">
        <v>1</v>
      </c>
      <c r="BJ214" s="183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96"/>
      <c r="BJ215" s="183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96"/>
      <c r="BJ216" s="183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332</v>
      </c>
      <c r="L217" s="165">
        <v>53.120000000000005</v>
      </c>
      <c r="M217" s="115">
        <v>0</v>
      </c>
      <c r="N217" s="165">
        <v>53.120000000000005</v>
      </c>
      <c r="O217" s="165">
        <v>0</v>
      </c>
      <c r="P217" s="115">
        <v>0</v>
      </c>
      <c r="Q217" s="5">
        <v>9041</v>
      </c>
      <c r="R217" s="5">
        <v>0</v>
      </c>
      <c r="S217" s="5">
        <v>9041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31191.45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96"/>
      <c r="BJ217" s="183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96"/>
      <c r="BJ218" s="183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96" t="s">
        <v>1</v>
      </c>
      <c r="BJ219" s="183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1132</v>
      </c>
      <c r="R220" s="5">
        <v>0</v>
      </c>
      <c r="S220" s="5">
        <v>1132</v>
      </c>
      <c r="T220" s="5">
        <v>878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95"/>
      <c r="BJ220" s="183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27</v>
      </c>
      <c r="L221" s="165">
        <v>11.664</v>
      </c>
      <c r="M221" s="115">
        <v>0</v>
      </c>
      <c r="N221" s="165">
        <v>11.664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95"/>
      <c r="BJ221" s="183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95"/>
      <c r="BJ222" s="183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95" t="s">
        <v>1</v>
      </c>
      <c r="BJ223" s="183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95" t="s">
        <v>1</v>
      </c>
      <c r="BJ224" s="183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96" t="s">
        <v>1</v>
      </c>
      <c r="BJ225" s="183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95" t="s">
        <v>1</v>
      </c>
      <c r="BJ226" s="183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95" t="s">
        <v>1</v>
      </c>
      <c r="BJ227" s="183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95"/>
      <c r="BJ228" s="183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95" t="s">
        <v>1</v>
      </c>
      <c r="BJ229" s="183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96" t="s">
        <v>1</v>
      </c>
      <c r="BJ230" s="183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95" t="s">
        <v>1</v>
      </c>
      <c r="BJ231" s="183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61</v>
      </c>
      <c r="L232" s="165">
        <v>24.400000000000002</v>
      </c>
      <c r="M232" s="115">
        <v>0</v>
      </c>
      <c r="N232" s="165">
        <v>24.400000000000002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95" t="s">
        <v>1</v>
      </c>
      <c r="BJ232" s="183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95" t="s">
        <v>1</v>
      </c>
      <c r="BJ233" s="183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95" t="s">
        <v>1</v>
      </c>
      <c r="BJ234" s="183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95" t="s">
        <v>1</v>
      </c>
      <c r="BJ235" s="183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96" t="s">
        <v>1</v>
      </c>
      <c r="BJ236" s="183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95"/>
      <c r="BJ237" s="183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96"/>
      <c r="BJ238" s="183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119</v>
      </c>
      <c r="L239" s="165">
        <v>57.12</v>
      </c>
      <c r="M239" s="115">
        <v>0</v>
      </c>
      <c r="N239" s="165">
        <v>57.12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96"/>
      <c r="BJ239" s="183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-159</v>
      </c>
      <c r="L240" s="165">
        <v>-25.44</v>
      </c>
      <c r="M240" s="115">
        <v>0</v>
      </c>
      <c r="N240" s="165">
        <v>25.44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95" t="s">
        <v>1</v>
      </c>
      <c r="BJ240" s="183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95" t="s">
        <v>1</v>
      </c>
      <c r="BJ241" s="183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96" t="s">
        <v>1</v>
      </c>
      <c r="BJ242" s="183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96" t="s">
        <v>1</v>
      </c>
      <c r="BJ243" s="183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95" t="s">
        <v>1</v>
      </c>
      <c r="BJ244" s="183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13</v>
      </c>
      <c r="L245" s="165">
        <v>2.34</v>
      </c>
      <c r="M245" s="115">
        <v>0</v>
      </c>
      <c r="N245" s="165">
        <v>2.34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95" t="s">
        <v>1</v>
      </c>
      <c r="BJ245" s="183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-193</v>
      </c>
      <c r="L246" s="165">
        <v>-28.95</v>
      </c>
      <c r="M246" s="115">
        <v>0</v>
      </c>
      <c r="N246" s="165">
        <v>28.95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96" t="s">
        <v>1</v>
      </c>
      <c r="BJ246" s="183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95"/>
      <c r="BJ247" s="183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-2</v>
      </c>
      <c r="L248" s="165">
        <v>-0.3</v>
      </c>
      <c r="M248" s="115">
        <v>0</v>
      </c>
      <c r="N248" s="165">
        <v>0.3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96" t="s">
        <v>1</v>
      </c>
      <c r="BJ248" s="183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96" t="s">
        <v>1</v>
      </c>
      <c r="BJ249" s="183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96" t="s">
        <v>1</v>
      </c>
      <c r="BJ250" s="183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95" t="s">
        <v>1</v>
      </c>
      <c r="BJ251" s="183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95" t="s">
        <v>1</v>
      </c>
      <c r="BJ252" s="183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96" t="s">
        <v>1</v>
      </c>
      <c r="BJ253" s="183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95" t="s">
        <v>1</v>
      </c>
      <c r="BJ254" s="183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95" t="s">
        <v>1</v>
      </c>
      <c r="BJ255" s="183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95" t="s">
        <v>1</v>
      </c>
      <c r="BJ256" s="183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96" t="s">
        <v>1</v>
      </c>
      <c r="BJ257" s="183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95" t="s">
        <v>1</v>
      </c>
      <c r="BJ258" s="183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95" t="s">
        <v>1</v>
      </c>
      <c r="BJ259" s="183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96" t="s">
        <v>1</v>
      </c>
      <c r="BJ260" s="183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96" t="s">
        <v>1</v>
      </c>
      <c r="BJ261" s="183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96"/>
      <c r="BJ262" s="183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96"/>
      <c r="BJ263" s="183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96" t="s">
        <v>1</v>
      </c>
      <c r="BJ264" s="183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96" t="s">
        <v>1</v>
      </c>
      <c r="BJ265" s="183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96" t="s">
        <v>1</v>
      </c>
      <c r="BJ266" s="183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96"/>
      <c r="BJ267" s="183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95" t="s">
        <v>1</v>
      </c>
      <c r="BJ268" s="183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96" t="s">
        <v>1</v>
      </c>
      <c r="BJ269" s="183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96" t="s">
        <v>1</v>
      </c>
      <c r="BJ270" s="183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95" t="s">
        <v>1</v>
      </c>
      <c r="BJ271" s="183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95" t="s">
        <v>1</v>
      </c>
      <c r="BJ272" s="183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96" t="s">
        <v>1</v>
      </c>
      <c r="BJ273" s="183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95"/>
      <c r="BJ274" s="183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95" t="s">
        <v>1</v>
      </c>
      <c r="BJ275" s="183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95" t="s">
        <v>1</v>
      </c>
      <c r="BJ276" s="183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96" t="s">
        <v>1</v>
      </c>
      <c r="BJ277" s="183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96" t="s">
        <v>1</v>
      </c>
      <c r="BJ278" s="183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96" t="s">
        <v>1</v>
      </c>
      <c r="BJ279" s="183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96" t="s">
        <v>1</v>
      </c>
      <c r="BJ280" s="183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95" t="s">
        <v>1</v>
      </c>
      <c r="BJ281" s="183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95" t="s">
        <v>1</v>
      </c>
      <c r="BJ282" s="183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95" t="s">
        <v>1</v>
      </c>
      <c r="BJ283" s="183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95" t="s">
        <v>1</v>
      </c>
      <c r="BJ284" s="183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12282</v>
      </c>
      <c r="R285" s="5">
        <v>0</v>
      </c>
      <c r="S285" s="5">
        <v>12282</v>
      </c>
      <c r="T285" s="5">
        <v>1368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107971.5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95" t="s">
        <v>1</v>
      </c>
      <c r="BJ285" s="183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95" t="s">
        <v>1</v>
      </c>
      <c r="BJ286" s="183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95" t="s">
        <v>1</v>
      </c>
      <c r="BJ287" s="183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95" t="s">
        <v>1</v>
      </c>
      <c r="BJ288" s="183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96" t="s">
        <v>1</v>
      </c>
      <c r="BJ289" s="183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95" t="s">
        <v>1</v>
      </c>
      <c r="BJ290" s="183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95" t="s">
        <v>1</v>
      </c>
      <c r="BJ291" s="183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95" t="s">
        <v>1</v>
      </c>
      <c r="BJ292" s="183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95" t="s">
        <v>1</v>
      </c>
      <c r="BJ293" s="183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95" t="s">
        <v>1</v>
      </c>
      <c r="BJ294" s="183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95" t="s">
        <v>1</v>
      </c>
      <c r="BJ295" s="183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96"/>
      <c r="BJ296" s="183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96" t="s">
        <v>1</v>
      </c>
      <c r="BJ297" s="183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96" t="s">
        <v>1</v>
      </c>
      <c r="BJ298" s="183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96" t="s">
        <v>1</v>
      </c>
      <c r="BJ299" s="183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96" t="s">
        <v>1</v>
      </c>
      <c r="BJ300" s="183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96" t="s">
        <v>1</v>
      </c>
      <c r="BJ301" s="183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96" t="s">
        <v>1</v>
      </c>
      <c r="BJ302" s="183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95" t="s">
        <v>1</v>
      </c>
      <c r="BJ303" s="183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96" t="s">
        <v>1</v>
      </c>
      <c r="BJ304" s="183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96" t="s">
        <v>1</v>
      </c>
      <c r="BJ305" s="183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95" t="s">
        <v>1</v>
      </c>
      <c r="BJ306" s="183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95" t="s">
        <v>1</v>
      </c>
      <c r="BJ307" s="183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95" t="s">
        <v>1</v>
      </c>
      <c r="BJ308" s="183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96"/>
      <c r="BJ309" s="183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96" t="s">
        <v>1</v>
      </c>
      <c r="BJ310" s="183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95" t="s">
        <v>1</v>
      </c>
      <c r="BJ311" s="183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95" t="s">
        <v>1</v>
      </c>
      <c r="BJ312" s="183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95" t="s">
        <v>1</v>
      </c>
      <c r="BJ313" s="183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96" t="s">
        <v>1</v>
      </c>
      <c r="BJ314" s="183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95" t="s">
        <v>1</v>
      </c>
      <c r="BJ315" s="183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96" t="s">
        <v>1</v>
      </c>
      <c r="BJ316" s="183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95" t="s">
        <v>1</v>
      </c>
      <c r="BJ317" s="183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96" t="s">
        <v>1</v>
      </c>
      <c r="BJ318" s="183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95" t="s">
        <v>1</v>
      </c>
      <c r="BJ319" s="183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96" t="s">
        <v>1</v>
      </c>
      <c r="BJ320" s="183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95" t="s">
        <v>1</v>
      </c>
      <c r="BJ321" s="183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95" t="s">
        <v>1</v>
      </c>
      <c r="BJ322" s="183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96"/>
      <c r="BJ323" s="183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96" t="s">
        <v>1</v>
      </c>
      <c r="BJ324" s="183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96" t="s">
        <v>1</v>
      </c>
      <c r="BJ325" s="183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95"/>
      <c r="BJ326" s="183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96"/>
      <c r="BJ327" s="183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96" t="s">
        <v>1</v>
      </c>
      <c r="BJ328" s="183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95" t="s">
        <v>1</v>
      </c>
      <c r="BJ329" s="183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95" t="s">
        <v>1</v>
      </c>
      <c r="BJ330" s="183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95" t="s">
        <v>1</v>
      </c>
      <c r="BJ331" s="183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95" t="s">
        <v>1</v>
      </c>
      <c r="BJ332" s="183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95" t="s">
        <v>1</v>
      </c>
      <c r="BJ333" s="183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95" t="s">
        <v>1</v>
      </c>
      <c r="BJ334" s="183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95" t="s">
        <v>1</v>
      </c>
      <c r="BJ335" s="183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96" t="s">
        <v>1</v>
      </c>
      <c r="BJ336" s="183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95" t="s">
        <v>1</v>
      </c>
      <c r="BJ337" s="183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95" t="s">
        <v>1</v>
      </c>
      <c r="BJ338" s="183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95" t="s">
        <v>1</v>
      </c>
      <c r="BJ339" s="183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96" t="s">
        <v>1</v>
      </c>
      <c r="BJ340" s="183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96"/>
      <c r="BJ341" s="183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96" t="s">
        <v>1</v>
      </c>
      <c r="BJ342" s="183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95" t="s">
        <v>1</v>
      </c>
      <c r="BJ343" s="183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96" t="s">
        <v>1</v>
      </c>
      <c r="BJ344" s="183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96" t="s">
        <v>1</v>
      </c>
      <c r="BJ345" s="183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96" t="s">
        <v>1</v>
      </c>
      <c r="BJ346" s="183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95" t="s">
        <v>1</v>
      </c>
      <c r="BJ347" s="183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95" t="s">
        <v>1</v>
      </c>
      <c r="BJ348" s="183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95" t="s">
        <v>1</v>
      </c>
      <c r="BJ349" s="183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96" t="s">
        <v>1</v>
      </c>
      <c r="BJ350" s="183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96" t="s">
        <v>1</v>
      </c>
      <c r="BJ351" s="183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96" t="s">
        <v>1</v>
      </c>
      <c r="BJ352" s="183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95" t="s">
        <v>1</v>
      </c>
      <c r="BJ353" s="183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96" t="s">
        <v>1</v>
      </c>
      <c r="BJ354" s="183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95" t="s">
        <v>1</v>
      </c>
      <c r="BJ355" s="183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96" t="s">
        <v>1</v>
      </c>
      <c r="BJ356" s="183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95" t="s">
        <v>1</v>
      </c>
      <c r="BJ357" s="183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95" t="s">
        <v>1</v>
      </c>
      <c r="BJ358" s="183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96" t="s">
        <v>1</v>
      </c>
      <c r="BJ359" s="183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96"/>
      <c r="BJ360" s="183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95" t="s">
        <v>1</v>
      </c>
      <c r="BJ361" s="183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95" t="s">
        <v>1</v>
      </c>
      <c r="BJ362" s="183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96" t="s">
        <v>1</v>
      </c>
      <c r="BJ363" s="183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96" t="s">
        <v>1</v>
      </c>
      <c r="BJ364" s="183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96" t="s">
        <v>1</v>
      </c>
      <c r="BJ365" s="183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95" t="s">
        <v>1</v>
      </c>
      <c r="BJ366" s="183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96" t="s">
        <v>1</v>
      </c>
      <c r="BJ367" s="183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96"/>
      <c r="BJ368" s="183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96" t="s">
        <v>1</v>
      </c>
      <c r="BJ369" s="183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95" t="s">
        <v>1</v>
      </c>
      <c r="BJ370" s="183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95"/>
      <c r="BJ371" s="183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77</v>
      </c>
      <c r="L372" s="165">
        <v>7.2765000000000004</v>
      </c>
      <c r="M372" s="115">
        <v>0</v>
      </c>
      <c r="N372" s="165">
        <v>7.2765000000000004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95" t="s">
        <v>1</v>
      </c>
      <c r="BJ372" s="183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95" t="s">
        <v>1</v>
      </c>
      <c r="BJ373" s="183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95" t="s">
        <v>1</v>
      </c>
      <c r="BJ374" s="183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6130</v>
      </c>
      <c r="R375" s="5">
        <v>0</v>
      </c>
      <c r="S375" s="5">
        <v>6130</v>
      </c>
      <c r="T375" s="5">
        <v>510</v>
      </c>
      <c r="U375" s="5">
        <v>0</v>
      </c>
      <c r="V375" s="5">
        <v>0</v>
      </c>
      <c r="W375" s="5">
        <v>510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96" t="s">
        <v>1</v>
      </c>
      <c r="BJ375" s="183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95" t="s">
        <v>1</v>
      </c>
      <c r="BJ376" s="183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95" t="s">
        <v>1</v>
      </c>
      <c r="BJ377" s="183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95" t="s">
        <v>1</v>
      </c>
      <c r="BJ378" s="183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95" t="s">
        <v>1</v>
      </c>
      <c r="BJ379" s="183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95" t="s">
        <v>1</v>
      </c>
      <c r="BJ380" s="183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96" t="s">
        <v>1</v>
      </c>
      <c r="BJ381" s="183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95" t="s">
        <v>1</v>
      </c>
      <c r="BJ382" s="183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96" t="s">
        <v>1</v>
      </c>
      <c r="BJ383" s="183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96" t="s">
        <v>1</v>
      </c>
      <c r="BJ384" s="183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95" t="s">
        <v>1</v>
      </c>
      <c r="BJ385" s="183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96" t="s">
        <v>1</v>
      </c>
      <c r="BJ386" s="183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95" t="s">
        <v>1</v>
      </c>
      <c r="BJ387" s="183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95" t="s">
        <v>1</v>
      </c>
      <c r="BJ388" s="183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95" t="s">
        <v>1</v>
      </c>
      <c r="BJ389" s="183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95" t="s">
        <v>1</v>
      </c>
      <c r="BJ390" s="183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95" t="s">
        <v>1</v>
      </c>
      <c r="BJ391" s="183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95" t="s">
        <v>1</v>
      </c>
      <c r="BJ392" s="183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96" t="s">
        <v>1</v>
      </c>
      <c r="BJ393" s="183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96" t="s">
        <v>1</v>
      </c>
      <c r="BJ394" s="183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20</v>
      </c>
      <c r="L395" s="165">
        <v>3.5999999999999996</v>
      </c>
      <c r="M395" s="115">
        <v>0</v>
      </c>
      <c r="N395" s="165">
        <v>3.5999999999999996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95" t="s">
        <v>1</v>
      </c>
      <c r="BJ395" s="183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95" t="s">
        <v>1</v>
      </c>
      <c r="BJ396" s="183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95" t="s">
        <v>1</v>
      </c>
      <c r="BJ397" s="183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96" t="s">
        <v>1</v>
      </c>
      <c r="BJ398" s="183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95" t="s">
        <v>1</v>
      </c>
      <c r="BJ399" s="183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-136</v>
      </c>
      <c r="L400" s="165">
        <v>-65.28</v>
      </c>
      <c r="M400" s="115">
        <v>0</v>
      </c>
      <c r="N400" s="165">
        <v>65.28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96" t="s">
        <v>1</v>
      </c>
      <c r="BJ400" s="183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95" t="s">
        <v>1</v>
      </c>
      <c r="BJ401" s="183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95" t="s">
        <v>1</v>
      </c>
      <c r="BJ402" s="183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96" t="s">
        <v>1</v>
      </c>
      <c r="BJ403" s="183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96"/>
      <c r="BJ404" s="183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95" t="s">
        <v>1</v>
      </c>
      <c r="BJ405" s="183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95" t="s">
        <v>1</v>
      </c>
      <c r="BJ406" s="183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95" t="s">
        <v>1</v>
      </c>
      <c r="BJ407" s="183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95" t="s">
        <v>1</v>
      </c>
      <c r="BJ408" s="183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95" t="s">
        <v>1</v>
      </c>
      <c r="BJ409" s="183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96" t="s">
        <v>1</v>
      </c>
      <c r="BJ410" s="183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96" t="s">
        <v>1</v>
      </c>
      <c r="BJ411" s="183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95" t="s">
        <v>1</v>
      </c>
      <c r="BJ412" s="183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95" t="s">
        <v>1</v>
      </c>
      <c r="BJ413" s="183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95"/>
      <c r="BJ414" s="183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95" t="s">
        <v>1</v>
      </c>
      <c r="BJ415" s="183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96" t="s">
        <v>1</v>
      </c>
      <c r="BJ416" s="183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95"/>
      <c r="BJ417" s="183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95" t="s">
        <v>1</v>
      </c>
      <c r="BJ418" s="183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95" t="s">
        <v>1</v>
      </c>
      <c r="BJ419" s="183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95" t="s">
        <v>1</v>
      </c>
      <c r="BJ420" s="183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96" t="s">
        <v>1</v>
      </c>
      <c r="BJ421" s="183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96" t="s">
        <v>1</v>
      </c>
      <c r="BJ422" s="183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95" t="s">
        <v>1</v>
      </c>
      <c r="BJ423" s="183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95" t="s">
        <v>1</v>
      </c>
      <c r="BJ424" s="183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96" t="s">
        <v>1</v>
      </c>
      <c r="BJ425" s="183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96" t="s">
        <v>1</v>
      </c>
      <c r="BJ426" s="183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96" t="s">
        <v>1</v>
      </c>
      <c r="BJ427" s="183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95" t="s">
        <v>1</v>
      </c>
      <c r="BJ428" s="183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-66</v>
      </c>
      <c r="L429" s="165">
        <v>-10.097999999999999</v>
      </c>
      <c r="M429" s="115">
        <v>0</v>
      </c>
      <c r="N429" s="165">
        <v>10.097999999999999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96" t="s">
        <v>1</v>
      </c>
      <c r="BJ429" s="183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95" t="s">
        <v>1</v>
      </c>
      <c r="BJ430" s="183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96" t="s">
        <v>1</v>
      </c>
      <c r="BJ431" s="183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95" t="s">
        <v>1</v>
      </c>
      <c r="BJ432" s="183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95"/>
      <c r="BJ433" s="183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96" t="s">
        <v>1</v>
      </c>
      <c r="BJ434" s="183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96"/>
      <c r="BJ435" s="183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95" t="s">
        <v>1</v>
      </c>
      <c r="BJ436" s="183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96" t="s">
        <v>1</v>
      </c>
      <c r="BJ437" s="183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96" t="s">
        <v>1</v>
      </c>
      <c r="BJ438" s="183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96" t="s">
        <v>1</v>
      </c>
      <c r="BJ439" s="183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96" t="s">
        <v>1</v>
      </c>
      <c r="BJ440" s="183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95" t="s">
        <v>1</v>
      </c>
      <c r="BJ441" s="183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96" t="s">
        <v>1</v>
      </c>
      <c r="BJ442" s="183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95" t="s">
        <v>1</v>
      </c>
      <c r="BJ443" s="183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95" t="s">
        <v>1</v>
      </c>
      <c r="BJ444" s="183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96"/>
      <c r="BJ445" s="183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96"/>
      <c r="BJ446" s="183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96" t="s">
        <v>1</v>
      </c>
      <c r="BJ447" s="183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96" t="s">
        <v>1</v>
      </c>
      <c r="BJ448" s="183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-10</v>
      </c>
      <c r="L449" s="165">
        <v>-10</v>
      </c>
      <c r="M449" s="115">
        <v>0</v>
      </c>
      <c r="N449" s="165">
        <v>10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96" t="s">
        <v>1</v>
      </c>
      <c r="BJ449" s="183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96" t="s">
        <v>1</v>
      </c>
      <c r="BJ450" s="183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96" t="s">
        <v>1</v>
      </c>
      <c r="BJ451" s="183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96" t="s">
        <v>1</v>
      </c>
      <c r="BJ452" s="183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96" t="s">
        <v>1</v>
      </c>
      <c r="BJ453" s="183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96" t="s">
        <v>1</v>
      </c>
      <c r="BJ454" s="183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95" t="s">
        <v>1</v>
      </c>
      <c r="BJ455" s="183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95" t="s">
        <v>1</v>
      </c>
      <c r="BJ456" s="183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96" t="s">
        <v>1</v>
      </c>
      <c r="BJ457" s="183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96" t="s">
        <v>1</v>
      </c>
      <c r="BJ458" s="183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19</v>
      </c>
      <c r="L459" s="165">
        <v>4.2560000000000002</v>
      </c>
      <c r="M459" s="115">
        <v>0</v>
      </c>
      <c r="N459" s="165">
        <v>4.2560000000000002</v>
      </c>
      <c r="O459" s="165">
        <v>0</v>
      </c>
      <c r="P459" s="115">
        <v>0</v>
      </c>
      <c r="Q459" s="5">
        <v>476</v>
      </c>
      <c r="R459" s="5">
        <v>0</v>
      </c>
      <c r="S459" s="5">
        <v>476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2108.6799999999998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95" t="s">
        <v>1</v>
      </c>
      <c r="BJ459" s="183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95" t="s">
        <v>1</v>
      </c>
      <c r="BJ460" s="183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95" t="s">
        <v>1</v>
      </c>
      <c r="BJ461" s="183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96" t="s">
        <v>1</v>
      </c>
      <c r="BJ462" s="183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95" t="s">
        <v>1</v>
      </c>
      <c r="BJ463" s="183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-266</v>
      </c>
      <c r="L464" s="165">
        <v>-53.2</v>
      </c>
      <c r="M464" s="115">
        <v>0</v>
      </c>
      <c r="N464" s="165">
        <v>53.2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95" t="s">
        <v>1</v>
      </c>
      <c r="BJ464" s="183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-1</v>
      </c>
      <c r="L465" s="165">
        <v>-0.38400000000000001</v>
      </c>
      <c r="M465" s="115">
        <v>0</v>
      </c>
      <c r="N465" s="165">
        <v>0.38400000000000001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96" t="s">
        <v>1</v>
      </c>
      <c r="BJ465" s="183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96" t="s">
        <v>1</v>
      </c>
      <c r="BJ466" s="183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96"/>
      <c r="BJ467" s="183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96"/>
      <c r="BJ468" s="183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96" t="s">
        <v>1</v>
      </c>
      <c r="BJ469" s="183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96" t="s">
        <v>1</v>
      </c>
      <c r="BJ470" s="183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96" t="s">
        <v>1</v>
      </c>
      <c r="BJ471" s="183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96" t="s">
        <v>1</v>
      </c>
      <c r="BJ472" s="183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96" t="s">
        <v>1</v>
      </c>
      <c r="BJ473" s="183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96" t="s">
        <v>1</v>
      </c>
      <c r="BJ474" s="183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96"/>
      <c r="BJ475" s="183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95" t="s">
        <v>1</v>
      </c>
      <c r="BJ476" s="183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96" t="s">
        <v>1</v>
      </c>
      <c r="BJ477" s="183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95" t="s">
        <v>1</v>
      </c>
      <c r="BJ478" s="183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95" t="s">
        <v>1</v>
      </c>
      <c r="BJ479" s="183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96" t="s">
        <v>1</v>
      </c>
      <c r="BJ480" s="183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95" t="s">
        <v>1</v>
      </c>
      <c r="BJ481" s="183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95" t="s">
        <v>1</v>
      </c>
      <c r="BJ482" s="183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96" t="s">
        <v>1</v>
      </c>
      <c r="BJ483" s="183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95" t="s">
        <v>1</v>
      </c>
      <c r="BJ484" s="183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96" t="s">
        <v>1</v>
      </c>
      <c r="BJ485" s="183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95"/>
      <c r="BJ486" s="183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95" t="s">
        <v>1</v>
      </c>
      <c r="BJ487" s="183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95" t="s">
        <v>1</v>
      </c>
      <c r="BJ488" s="183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95" t="s">
        <v>1</v>
      </c>
      <c r="BJ489" s="183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95" t="s">
        <v>1</v>
      </c>
      <c r="BJ490" s="183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95" t="s">
        <v>1</v>
      </c>
      <c r="BJ491" s="183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95" t="s">
        <v>1</v>
      </c>
      <c r="BJ492" s="183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95" t="s">
        <v>1</v>
      </c>
      <c r="BJ493" s="183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95" t="s">
        <v>1</v>
      </c>
      <c r="BJ494" s="183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95" t="s">
        <v>1</v>
      </c>
      <c r="BJ495" s="183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95" t="s">
        <v>1</v>
      </c>
      <c r="BJ496" s="183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95" t="s">
        <v>1</v>
      </c>
      <c r="BJ497" s="183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96" t="s">
        <v>1</v>
      </c>
      <c r="BJ498" s="183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95" t="s">
        <v>1</v>
      </c>
      <c r="BJ499" s="183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95" t="s">
        <v>1</v>
      </c>
      <c r="BJ500" s="183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96" t="s">
        <v>1</v>
      </c>
      <c r="BJ501" s="183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95" t="s">
        <v>1</v>
      </c>
      <c r="BJ502" s="183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96" t="s">
        <v>1</v>
      </c>
      <c r="BJ503" s="183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95" t="s">
        <v>1</v>
      </c>
      <c r="BJ504" s="183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96" t="s">
        <v>1</v>
      </c>
      <c r="BJ505" s="183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96" t="s">
        <v>1</v>
      </c>
      <c r="BJ506" s="183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95" t="s">
        <v>1</v>
      </c>
      <c r="BJ507" s="183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95" t="s">
        <v>1</v>
      </c>
      <c r="BJ508" s="183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95" t="s">
        <v>1</v>
      </c>
      <c r="BJ509" s="183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95" t="s">
        <v>1</v>
      </c>
      <c r="BJ510" s="183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95" t="s">
        <v>1</v>
      </c>
      <c r="BJ511" s="183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95"/>
      <c r="BJ512" s="183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95" t="s">
        <v>1</v>
      </c>
      <c r="BJ513" s="183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95" t="s">
        <v>1</v>
      </c>
      <c r="BJ514" s="183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95" t="s">
        <v>1</v>
      </c>
      <c r="BJ515" s="183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96"/>
      <c r="BJ516" s="183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95" t="s">
        <v>1</v>
      </c>
      <c r="BJ517" s="183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95" t="s">
        <v>1</v>
      </c>
      <c r="BJ518" s="183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95" t="s">
        <v>1</v>
      </c>
      <c r="BJ519" s="183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96" t="s">
        <v>1</v>
      </c>
      <c r="BJ520" s="183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95" t="s">
        <v>1</v>
      </c>
      <c r="BJ521" s="183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96" t="s">
        <v>1</v>
      </c>
      <c r="BJ522" s="183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95"/>
      <c r="BJ523" s="183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95" t="s">
        <v>1</v>
      </c>
      <c r="BJ524" s="183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95" t="s">
        <v>1</v>
      </c>
      <c r="BJ525" s="183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95" t="s">
        <v>1</v>
      </c>
      <c r="BJ526" s="183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95" t="s">
        <v>1</v>
      </c>
      <c r="BJ527" s="183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96" t="s">
        <v>1</v>
      </c>
      <c r="BJ528" s="183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95" t="s">
        <v>1</v>
      </c>
      <c r="BJ529" s="183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95" t="s">
        <v>1</v>
      </c>
      <c r="BJ530" s="183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95" t="s">
        <v>1</v>
      </c>
      <c r="BJ531" s="183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95" t="s">
        <v>1</v>
      </c>
      <c r="BJ532" s="183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95" t="s">
        <v>1</v>
      </c>
      <c r="BJ533" s="183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95" t="s">
        <v>1</v>
      </c>
      <c r="BJ534" s="183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95" t="s">
        <v>1</v>
      </c>
      <c r="BJ535" s="183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96" t="s">
        <v>1</v>
      </c>
      <c r="BJ536" s="183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96" t="s">
        <v>1</v>
      </c>
      <c r="BJ537" s="183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95" t="s">
        <v>1</v>
      </c>
      <c r="BJ538" s="183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96" t="s">
        <v>1</v>
      </c>
      <c r="BJ539" s="183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95" t="s">
        <v>1</v>
      </c>
      <c r="BJ540" s="183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96" t="s">
        <v>1</v>
      </c>
      <c r="BJ541" s="183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1</v>
      </c>
      <c r="L542" s="165">
        <v>0.05</v>
      </c>
      <c r="M542" s="115">
        <v>0</v>
      </c>
      <c r="N542" s="165">
        <v>0.05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95" t="s">
        <v>1</v>
      </c>
      <c r="BJ542" s="183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95" t="s">
        <v>1</v>
      </c>
      <c r="BJ543" s="183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98" t="s">
        <v>1</v>
      </c>
      <c r="BJ544" s="183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98" t="s">
        <v>1</v>
      </c>
      <c r="BJ545" s="183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95" t="s">
        <v>1</v>
      </c>
      <c r="BJ546" s="183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95" t="s">
        <v>1</v>
      </c>
      <c r="BJ547" s="183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96" t="s">
        <v>1</v>
      </c>
      <c r="BJ548" s="183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96" t="s">
        <v>1</v>
      </c>
      <c r="BJ549" s="199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95" t="s">
        <v>1</v>
      </c>
      <c r="BJ550" s="199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200"/>
      <c r="BJ551" s="199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95"/>
      <c r="BJ552" s="199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201"/>
      <c r="BJ553" s="202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201"/>
      <c r="BJ554" s="20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886"/>
  </conditionalFormatting>
  <conditionalFormatting sqref="F18">
    <cfRule type="duplicateValues" dxfId="124" priority="2114"/>
  </conditionalFormatting>
  <conditionalFormatting sqref="M18:O18">
    <cfRule type="expression" dxfId="95" priority="2020" stopIfTrue="1">
      <formula>"g4&gt;1"</formula>
    </cfRule>
  </conditionalFormatting>
  <conditionalFormatting sqref="P18">
    <cfRule type="expression" dxfId="94" priority="2019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9E5FAAE8-97B8-4A1B-B4EE-E41295BE783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7CE63550-0539-4C25-AD80-43956EB0C90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023C3127-141A-4899-A991-3DB8B5C9761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2026-07-21T14:00:43Z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