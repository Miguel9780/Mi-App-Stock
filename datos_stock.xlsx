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4B0B04DF-7A67-4A78-A28E-DB7D9EB36306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<sst xmlns="http://schemas.openxmlformats.org/spreadsheetml/2006/main" count="5183" uniqueCount="836">
  <si>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</si>
  <si>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</si>
  <si>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</si>
  <si>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</si>
  <si>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</si>
  <si>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</si>
  <si>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</si>
  <si>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</si>
  <si>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</si>
  <si>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</si>
  <si>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</si>
  <si>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</si>
  <si>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</si>
  <si>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</si>
  <si>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</si>
  <si>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</si>
  <si>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</si>
  <si>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</si>
  <si>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</si>
  <si>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</si>
  <si>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</si>
  <si>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</si>
  <si>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</si>
  <si>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</si>
  <si>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</si>
  <si>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</si>
  <si>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</si>
  <si>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</si>
  <si>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</si>
  <si>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</si>
  <si>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</si>
  <si>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</si>
  <si>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</si>
  <si>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</si>
  <si>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</si>
  <si>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</si>
  <si>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</si>
  <si>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</si>
  <si>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</si>
  <si>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</si>
  <si>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</si>
  <si>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</si>
  <si>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</si>
  <si>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</si>
  <si>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</si>
  <si>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</si>
  <si>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</si>
  <si>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</si>
  <si>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</si>
  <si>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</si>
  <si>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</si>
  <si>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</si>
  <si>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</si>
  <si>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</si>
  <si>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</si>
  <si>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</si>
  <si>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</si>
  <si>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</si>
  <si>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</si>
  <si>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</si>
  <si>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</si>
  <si>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</si>
  <si>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</si>
  <si>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</si>
  <si>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</si>
  <si>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</si>
  <si>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</si>
  <si>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</si>
  <si>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</si>
  <si>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</si>
  <si>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</si>
  <si>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</si>
  <si>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</si>
  <si>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</si>
  <si>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</si>
  <si>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</si>
  <si>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</si>
  <si>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</si>
  <si>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</si>
  <si>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</si>
  <si>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</si>
  <si>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</si>
  <si>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</si>
  <si>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</si>
  <si>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</si>
  <si>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</si>
  <si>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</si>
  <si>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</si>
  <si>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</si>
  <si>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</si>
  <si>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</si>
  <si>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</si>
  <si>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</si>
  <si>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</si>
  <si>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</si>
  <si>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</si>
  <si>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</si>
  <si>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</si>
  <si>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</si>
  <si>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</si>
  <si>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</si>
  <si>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</si>
  <si>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</si>
  <si>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</si>
  <si>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</si>
  <si>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</si>
  <si>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</si>
  <si>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</si>
  <si>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</si>
  <si>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</si>
  <si>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</si>
  <si>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</si>
  <si>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</si>
  <si>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</si>
  <si>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</si>
  <si>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</si>
  <si>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</si>
  <si>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</si>
  <si>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</si>
  <si>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</si>
  <si>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</si>
  <si>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</si>
  <si>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</si>
  <si>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</si>
  <si>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</si>
  <si>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</si>
  <si>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</si>
  <si>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</si>
  <si>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</si>
  <si>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</si>
  <si>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</si>
  <si>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</si>
  <si>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</si>
  <si>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</si>
  <si>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</si>
  <si>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</si>
  <si>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</si>
  <si>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</si>
  <si>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</si>
  <si>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</si>
  <si>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</si>
  <si>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</si>
  <si>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</si>
  <si>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</si>
  <si>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</si>
  <si>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</si>
  <si>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</si>
  <si>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</si>
  <si>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</si>
  <si>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</si>
  <si>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</si>
  <si>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</si>
  <si>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</si>
  <si>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</si>
  <si>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</si>
  <si>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</si>
  <si>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</si>
  <si>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</si>
  <si>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</si>
  <si>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</si>
  <si>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</si>
  <si>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</si>
  <si>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</si>
  <si>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</si>
  <si>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</si>
  <si>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</si>
  <si>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</si>
  <si>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</si>
  <si>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</si>
  <si>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</si>
  <si>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</si>
  <si>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</si>
  <si>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</si>
  <si>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</si>
  <si>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</si>
  <si>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</si>
  <si>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</si>
  <si>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</si>
  <si>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</si>
  <si>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</si>
  <si>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</si>
  <si>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</si>
  <si>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</si>
  <si>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</si>
  <si>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</si>
  <si>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</si>
  <si>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</si>
  <si>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</si>
  <si>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</si>
  <si>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</si>
  <si>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</si>
  <si>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</si>
  <si>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</si>
  <si>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</si>
  <si>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</si>
  <si>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</si>
  <si>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</si>
  <si>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</si>
  <si>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</si>
  <si>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</si>
  <si>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</si>
  <si>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</si>
  <si>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</si>
  <si>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</si>
  <si>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</si>
  <si>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</si>
  <si>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</si>
  <si>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</si>
  <si>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</si>
  <si>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</si>
  <si>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</si>
  <si>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</si>
  <si>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</si>
  <si>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</si>
  <si>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</si>
  <si>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</si>
  <si>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</si>
  <si>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</si>
  <si>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</si>
  <si>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</si>
  <si>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</si>
  <si>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</si>
  <si>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</si>
  <si>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</si>
  <si>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</si>
  <si>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</si>
  <si>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</si>
  <si>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</si>
  <si>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</si>
  <si>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</si>
  <si>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</si>
  <si>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</si>
  <si>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</si>
  <si>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</si>
  <si>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</si>
  <si>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</si>
  <si>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</si>
  <si>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</si>
  <si>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</si>
  <si>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</si>
  <si>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</si>
  <si>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</si>
  <si>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</si>
  <si>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</si>
  <si>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</si>
  <si>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</si>
  <si>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</si>
  <si>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</si>
  <si>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</si>
  <si>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</si>
  <si>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</si>
  <si>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</si>
  <si>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</si>
  <si>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</si>
  <si>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</si>
  <si>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</si>
  <si>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</si>
  <si>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</si>
  <si>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</si>
  <si>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</si>
  <si>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</si>
  <si>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</si>
  <si>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</si>
  <si>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</si>
  <si>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</si>
  <si>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</si>
  <si>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</si>
  <si>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</si>
  <si>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</si>
  <si>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</si>
  <si>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</si>
  <si>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</si>
  <si>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</si>
  <si>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</si>
  <si>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</si>
  <si>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</si>
  <si>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</si>
  <si>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</si>
  <si>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</si>
  <si>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</si>
  <si>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</si>
  <si>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</si>
  <si>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</si>
  <si>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</si>
  <si>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</si>
  <si>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</si>
  <si>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</si>
  <si>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</si>
  <si>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</si>
  <si>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</si>
  <si>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</si>
  <si>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</si>
  <si>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</si>
  <si>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</si>
  <si>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</si>
  <si>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</si>
  <si>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</si>
  <si>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</si>
  <si>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</si>
  <si>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</si>
  <si>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</si>
  <si>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</si>
  <si>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</si>
  <si>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</si>
  <si>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</si>
  <si>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</si>
  <si>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</si>
  <si>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</si>
  <si>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</si>
  <si>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</si>
  <si>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</si>
  <si>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</si>
  <si>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</si>
  <si>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</si>
  <si>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</si>
  <si>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</si>
  <si>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</si>
  <si>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</si>
  <si>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</si>
  <si>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</si>
  <si>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</si>
  <si>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</si>
  <si>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</si>
  <si>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</si>
  <si>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</si>
  <si>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</si>
  <si>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</si>
  <si>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</si>
  <si>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</si>
  <si>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</si>
  <si>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</si>
  <si>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</si>
  <si>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</si>
  <si>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</si>
  <si>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</si>
  <si>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</si>
  <si>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</si>
  <si>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</si>
  <si>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</si>
  <si>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</si>
  <si>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</si>
  <si>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</si>
  <si>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</si>
  <si>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</si>
  <si>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</si>
  <si>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</si>
  <si>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</si>
  <si>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</si>
  <si>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</si>
  <si>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</si>
  <si>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</si>
  <si>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</si>
  <si>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</si>
  <si>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</si>
  <si>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</si>
  <si>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</si>
  <si>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</si>
  <si>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</si>
  <si>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</si>
  <si>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</si>
  <si>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</si>
  <si>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</si>
  <si>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</si>
  <si>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</si>
  <si>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</si>
  <si>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</si>
  <si>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</si>
  <si>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</si>
  <si>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</si>
  <si>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</si>
  <si>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</si>
  <si>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</si>
  <si>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</si>
  <si>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</si>
  <si>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</si>
  <si>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</si>
  <si>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</si>
  <si>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</si>
  <si>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</si>
  <si>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</si>
  <si>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</si>
  <si>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</si>
  <si>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</si>
  <si>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</si>
  <si>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</si>
  <si>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</si>
  <si>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</si>
  <si>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</si>
  <si>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</si>
  <si>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</si>
  <si>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</si>
  <si>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</si>
  <si>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</si>
  <si>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</si>
  <si>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</si>
  <si>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</si>
  <si>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</si>
  <si>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</si>
  <si>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</si>
  <si>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</si>
  <si>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</si>
  <si>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</si>
  <si>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</si>
  <si>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</si>
  <si>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</si>
  <si>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</si>
  <si>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</si>
  <si>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</si>
  <si>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</si>
  <si>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</si>
  <si>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</si>
  <si>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</si>
  <si>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</si>
  <si>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</si>
  <si>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</si>
  <si>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</si>
  <si>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</si>
  <si>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</si>
  <si>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</si>
  <si>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</si>
  <si>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</si>
  <si>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</si>
  <si>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</si>
  <si>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</si>
  <si>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</si>
  <si>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</si>
  <si>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</si>
  <si>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</si>
  <si>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</si>
  <si>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</si>
  <si>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</si>
  <si>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</si>
  <si>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</si>
  <si>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</si>
  <si>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</si>
  <si>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</si>
  <si>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</si>
  <si>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</si>
  <si>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</si>
  <si>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</si>
  <si>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</si>
  <si>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</si>
  <si>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</si>
  <si>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</si>
  <si>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</si>
  <si>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</si>
  <si>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</si>
  <si>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</si>
  <si>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</si>
  <si>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</si>
  <si>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</si>
  <si>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</si>
  <si>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</si>
  <si>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</si>
  <si>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</si>
  <si>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</si>
  <si>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</si>
  <si>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</si>
  <si>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</si>
  <si>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</si>
  <si>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</si>
  <si>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</si>
  <si>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</si>
  <si>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</si>
  <si>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</si>
  <si>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</si>
  <si>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</si>
  <si>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</si>
  <si>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</si>
  <si>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</si>
  <si>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</si>
  <si>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</si>
  <si>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</si>
  <si>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</si>
  <si>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</si>
  <si>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</si>
  <si>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</si>
  <si>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</si>
  <si>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</si>
  <si>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</si>
  <si>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</si>
  <si>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</si>
  <si>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</si>
  <si>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</si>
  <si>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</si>
  <si>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</si>
  <si>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</si>
  <si>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</si>
  <si>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</si>
  <si>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</si>
  <si>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</si>
  <si>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</si>
  <si>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</si>
  <si>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</si>
  <si>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</si>
  <si>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</si>
  <si>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</si>
  <si>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</si>
  <si>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</si>
  <si>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</si>
  <si>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</si>
  <si>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</si>
  <si>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</si>
  <si>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</si>
  <si>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</si>
  <si>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</si>
  <si>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</si>
  <si>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</si>
  <si>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</si>
  <si>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</si>
  <si>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</si>
  <si>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</si>
  <si>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</si>
  <si>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</si>
  <si>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</si>
  <si>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</si>
  <si>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</si>
  <si>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</si>
  <si>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</si>
  <si>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</si>
  <si>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</si>
  <si>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</si>
  <si>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</si>
  <si>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</si>
  <si>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</si>
  <si>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</si>
  <si>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</si>
  <si>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</si>
  <si>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</si>
  <si>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</si>
  <si>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</si>
  <si>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</si>
  <si>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</si>
  <si>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</si>
  <si>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</si>
  <si>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</si>
  <si>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</si>
  <si>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</si>
  <si>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</si>
  <si>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</si>
  <si>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</si>
  <si>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</si>
  <si>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</si>
  <si>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</si>
  <si>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</si>
  <si>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</si>
  <si>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</si>
  <si>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</si>
  <si>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</si>
  <si>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</si>
  <si>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</si>
  <si>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</si>
  <si>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</si>
  <si>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</si>
  <si>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</si>
  <si>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</si>
  <si>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</si>
  <si>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</si>
  <si>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</si>
  <si>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</si>
  <si>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</si>
  <si>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</si>
  <si>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</si>
  <si>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</si>
  <si>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</si>
  <si>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</si>
  <si>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</si>
  <si>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</si>
  <si>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</si>
  <si>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</si>
  <si>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</si>
  <si>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</si>
  <si>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</si>
  <si>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</si>
  <si>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</si>
  <si>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</si>
  <si>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</si>
  <si>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</si>
  <si>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</si>
  <si>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</si>
  <si>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</si>
  <si>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</si>
  <si>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</si>
  <si>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</si>
  <si>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</si>
  <si>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</si>
  <si>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</si>
  <si>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</si>
  <si>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</si>
  <si>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</si>
  <si>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</si>
  <si>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</si>
  <si>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</si>
  <si>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</si>
  <si>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</si>
  <si>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</si>
  <si>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</si>
  <si>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</si>
  <si>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</si>
  <si>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</si>
  <si>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</si>
  <si>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</si>
  <si>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</si>
  <si>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</si>
  <si>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</si>
  <si>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</si>
  <si>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</si>
  <si>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</si>
  <si>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</si>
  <si>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</si>
  <si>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</si>
  <si>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</si>
  <si>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</si>
  <si>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</si>
  <si>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</si>
  <si>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</si>
  <si>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</si>
  <si>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</si>
  <si>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</si>
  <si>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</si>
  <si>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</si>
  <si>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</si>
  <si>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</si>
  <si>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</si>
  <si>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</si>
  <si>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</si>
  <si>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</si>
  <si>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</si>
  <si>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</si>
  <si>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</si>
  <si>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</si>
  <si>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</si>
  <si>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</si>
  <si>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</si>
  <si>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</si>
  <si>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</si>
  <si>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</si>
  <si>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</si>
  <si>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</si>
  <si>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</si>
  <si>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</si>
  <si>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</si>
  <si>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</si>
  <si>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</si>
  <si>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</si>
  <si>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</si>
  <si>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</si>
  <si>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</si>
  <si>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</si>
  <si>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</si>
  <si>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</si>
  <si>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</si>
  <si>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</si>
  <si>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</si>
  <si>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</si>
  <si>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</si>
  <si>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</si>
  <si>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</si>
  <si>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</si>
  <si>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</si>
  <si>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</si>
  <si>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</si>
  <si>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</si>
  <si>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</si>
  <si>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</si>
  <si>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</si>
  <si>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</si>
  <si>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</si>
  <si>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</si>
  <si>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</si>
  <si>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</si>
  <si>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</si>
  <si>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</si>
  <si>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</si>
  <si>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</si>
  <si>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</si>
  <si>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</si>
  <si>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</si>
  <si>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</si>
  <si>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</si>
  <si>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</si>
  <si>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</si>
  <si>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</si>
  <si>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</si>
  <si>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</si>
  <si>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</si>
  <si>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</si>
  <si>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</si>
  <si>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</si>
  <si>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</si>
  <si>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</si>
  <si>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</si>
  <si>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</si>
  <si>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</si>
  <si>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</si>
  <si>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</si>
  <si>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</si>
  <si>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</si>
  <si>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</si>
  <si>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</si>
  <si>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</si>
  <si>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</si>
  <si>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</si>
  <si>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</si>
  <si>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</si>
  <si>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</si>
  <si>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</si>
  <si>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</si>
  <si>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</si>
  <si>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</si>
  <si>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</si>
  <si>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</si>
  <si>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</si>
  <si>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</si>
  <si>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</si>
  <si>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</si>
  <si>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</si>
  <si>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</si>
  <si>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</si>
  <si>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</si>
  <si>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</si>
  <si>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</si>
  <si>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</si>
  <si>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</si>
  <si>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</si>
  <si>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</si>
  <si>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</si>
  <si>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</si>
  <si>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</si>
  <si>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</si>
  <si>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</si>
  <si>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</si>
  <si>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</si>
  <si>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</si>
  <si>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</si>
  <si>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</si>
  <si>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</si>
  <si>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</si>
  <si>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</si>
  <si>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</si>
  <si>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</si>
  <si>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</si>
  <si>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</si>
  <si>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</si>
  <si>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</si>
  <si>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</si>
  <si>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</si>
  <si>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</si>
  <si>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</si>
  <si>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</si>
  <si>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</si>
  <si>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</si>
  <si>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</si>
  <si>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</si>
  <si>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</si>
  <si>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</si>
  <si>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</si>
  <si>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</si>
  <si>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</si>
  <si>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</si>
  <si>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</si>
  <si>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</si>
  <si>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</si>
  <si>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</si>
  <si>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</si>
  <si>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</si>
  <si>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</si>
  <si>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</si>
  <si>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</si>
  <si>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</si>
  <si>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</si>
  <si>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</si>
  <si>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</si>
  <si>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</si>
  <si>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</si>
  <si>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</si>
  <si>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</si>
  <si>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</si>
  <si>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</si>
  <si>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</si>
  <si>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</si>
  <si>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</si>
  <si>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</si>
  <si>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</si>
  <si>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</si>
  <si>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</si>
  <si>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</si>
  <si>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</si>
  <si>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</si>
  <si>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</si>
  <si>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</si>
  <si>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</si>
  <si>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</si>
  <si>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</si>
  <si>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</si>
  <si>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</si>
  <si>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</si>
  <si>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</si>
  <si>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</si>
  <si>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</si>
  <si>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</si>
  <si>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</si>
  <si>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Existirá ingreso de 126,864 und que brinda una cobertura de 4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</si>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</sst>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5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50" xfId="0" applyNumberFormat="1" applyFont="1" applyBorder="1" applyAlignment="1">
      <alignment horizontal="center" vertical="center"/>
    </xf>
    <xf numFmtId="167" fontId="9" fillId="0" borderId="5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36"/>
      <tableStyleElement type="headerRow" dxfId="235"/>
      <tableStyleElement type="totalRow" dxfId="234"/>
      <tableStyleElement type="firstRowStripe" dxfId="233"/>
      <tableStyleElement type="firstColumnStripe" dxfId="232"/>
      <tableStyleElement type="firstHeaderCell" dxfId="231"/>
      <tableStyleElement type="firstSubtotalRow" dxfId="230"/>
      <tableStyleElement type="secondSubtotalRow" dxfId="229"/>
      <tableStyleElement type="firstColumnSubheading" dxfId="228"/>
      <tableStyleElement type="firstRowSubheading" dxfId="227"/>
      <tableStyleElement type="secondRowSubheading" dxfId="226"/>
      <tableStyleElement type="pageFieldLabels" dxfId="225"/>
      <tableStyleElement type="pageFieldValues" dxfId="224"/>
    </tableStyle>
    <tableStyle name="PivotStyleMedium6 3" table="0" count="13" xr9:uid="{00000000-0011-0000-FFFF-FFFF01000000}">
      <tableStyleElement type="wholeTable" dxfId="223"/>
      <tableStyleElement type="headerRow" dxfId="222"/>
      <tableStyleElement type="totalRow" dxfId="221"/>
      <tableStyleElement type="firstRowStripe" dxfId="220"/>
      <tableStyleElement type="firstColumnStripe" dxfId="219"/>
      <tableStyleElement type="firstHeaderCell" dxfId="218"/>
      <tableStyleElement type="firstSubtotalRow" dxfId="217"/>
      <tableStyleElement type="secondSubtotalRow" dxfId="216"/>
      <tableStyleElement type="firstColumnSubheading" dxfId="215"/>
      <tableStyleElement type="firstRowSubheading" dxfId="214"/>
      <tableStyleElement type="secondRowSubheading" dxfId="213"/>
      <tableStyleElement type="pageFieldLabels" dxfId="212"/>
      <tableStyleElement type="pageFieldValues" dxfId="211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6" dataDxfId="144" headerRowBorderDxfId="145" tableBorderDxfId="143" totalsRowBorderDxfId="142">
  <autoFilter ref="B2:L222" xr:uid="{00000000-0009-0000-0100-000006000000}"/>
  <tableColumns count="11">
    <tableColumn id="1" xr3:uid="{00000000-0010-0000-0100-000001000000}" name="CÓDIGO" dataDxfId="141"/>
    <tableColumn id="2" xr3:uid="{00000000-0010-0000-0100-000002000000}" name="DESCRIPCIÓN" dataDxfId="140"/>
    <tableColumn id="11" xr3:uid="{00000000-0010-0000-0100-00000B000000}" name="ORIGEN" dataDxfId="139"/>
    <tableColumn id="10" xr3:uid="{00000000-0010-0000-0100-00000A000000}" name="CATEGORÍA" dataDxfId="138"/>
    <tableColumn id="3" xr3:uid="{00000000-0010-0000-0100-000003000000}" name="Tiempo de Vida" dataDxfId="137"/>
    <tableColumn id="4" xr3:uid="{00000000-0010-0000-0100-000004000000}" name="Tottus" dataDxfId="136">
      <calculatedColumnFormula>IF(F3&lt;=210,F3*0.6,IF(F3&lt;=365,120,IF(F3&lt;=3600,150)))</calculatedColumnFormula>
    </tableColumn>
    <tableColumn id="5" xr3:uid="{00000000-0010-0000-0100-000005000000}" name="Cencosud" dataDxfId="135"/>
    <tableColumn id="6" xr3:uid="{00000000-0010-0000-0100-000006000000}" name="Tambo" dataDxfId="134"/>
    <tableColumn id="7" xr3:uid="{00000000-0010-0000-0100-000007000000}" name="Oxxo" dataDxfId="133"/>
    <tableColumn id="8" xr3:uid="{00000000-0010-0000-0100-000008000000}" name="SPSA / MAKRO" dataDxfId="132">
      <calculatedColumnFormula>ROUNDDOWN(F3/3,0)-1</calculatedColumnFormula>
    </tableColumn>
    <tableColumn id="9" xr3:uid="{00000000-0010-0000-0100-000009000000}" name="Canal Tradicional / Otros" dataDxfId="13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210" dataDxfId="0" tableBorderDxfId="209" headerRowCellStyle="Normal 10 2">
  <autoFilter ref="B18:BJ546" xr:uid="{00000000-000C-0000-FFFF-FFFF00000000}"/>
  <tableColumns count="61">
    <tableColumn id="1" xr3:uid="{00000000-0010-0000-0000-000001000000}" name="RESPONSABLE DE PRODUCCIÓN" dataDxfId="60" totalsRowDxfId="208"/>
    <tableColumn id="2" xr3:uid="{00000000-0010-0000-0000-000002000000}" name="GEOGRAFÍA" dataDxfId="59" totalsRowDxfId="207"/>
    <tableColumn id="53" xr3:uid="{00000000-0010-0000-0000-000035000000}" name="CATEGORÍA" dataDxfId="58" totalsRowDxfId="206"/>
    <tableColumn id="54" xr3:uid="{00000000-0010-0000-0000-000036000000}" name="MARCA" dataDxfId="57" totalsRowDxfId="205"/>
    <tableColumn id="3" xr3:uid="{00000000-0010-0000-0000-000003000000}" name="CÓDIGO" dataDxfId="56" totalsRowDxfId="204"/>
    <tableColumn id="4" xr3:uid="{00000000-0010-0000-0000-000004000000}" name="DESCRIPCIÓN" dataDxfId="203" totalsRowDxfId="202"/>
    <tableColumn id="5" xr3:uid="{00000000-0010-0000-0000-000005000000}" name="Plan de demanda" dataDxfId="55" totalsRowDxfId="201"/>
    <tableColumn id="55" xr3:uid="{00000000-0010-0000-0000-000037000000}" name="Plan Demanda (Kg)" dataDxfId="54" totalsRowDxfId="200"/>
    <tableColumn id="60" xr3:uid="{00000000-0010-0000-0000-00003C000000}" name="Salidas varias" dataDxfId="53" totalsRowDxfId="199"/>
    <tableColumn id="6" xr3:uid="{00000000-0010-0000-0000-000006000000}" name="Avance Vta." dataDxfId="52" totalsRowDxfId="198"/>
    <tableColumn id="57" xr3:uid="{00000000-0010-0000-0000-000039000000}" name="Avance _x000a_Vta. (Kg)" dataDxfId="51" totalsRowDxfId="197" dataCellStyle="Porcentaje"/>
    <tableColumn id="7" xr3:uid="{00000000-0010-0000-0000-000007000000}" name="%V Mes actual" dataDxfId="50" totalsRowDxfId="196" dataCellStyle="Porcentaje"/>
    <tableColumn id="58" xr3:uid="{00000000-0010-0000-0000-00003A000000}" name="Error ABS_x000a_(KG)" dataDxfId="49" totalsRowDxfId="195" dataCellStyle="Porcentaje"/>
    <tableColumn id="56" xr3:uid="{00000000-0010-0000-0000-000038000000}" name="Días consumidos por sobreventa en el mes pasado" dataDxfId="48" totalsRowDxfId="194" dataCellStyle="Porcentaje"/>
    <tableColumn id="8" xr3:uid="{00000000-0010-0000-0000-000008000000}" name="%V Mes pasado" dataDxfId="47" totalsRowDxfId="193" dataCellStyle="Porcentaje"/>
    <tableColumn id="9" xr3:uid="{00000000-0010-0000-0000-000009000000}" name="STOCK TOTAL" dataDxfId="46" totalsRowDxfId="192"/>
    <tableColumn id="10" xr3:uid="{00000000-0010-0000-0000-00000A000000}" name="STOCK POR FACTURAR" dataDxfId="45" totalsRowDxfId="191"/>
    <tableColumn id="11" xr3:uid="{00000000-0010-0000-0000-00000B000000}" name="CEDI FINAL" dataDxfId="44" totalsRowDxfId="190"/>
    <tableColumn id="12" xr3:uid="{00000000-0010-0000-0000-00000C000000}" name="PLANTA" dataDxfId="43" totalsRowDxfId="189"/>
    <tableColumn id="13" xr3:uid="{00000000-0010-0000-0000-00000D000000}" name="TRANSITO" dataDxfId="42" totalsRowDxfId="188"/>
    <tableColumn id="14" xr3:uid="{00000000-0010-0000-0000-00000E000000}" name="CALIDAD" dataDxfId="41" totalsRowDxfId="187"/>
    <tableColumn id="15" xr3:uid="{00000000-0010-0000-0000-00000F000000}" name="BLOQUEADO" dataDxfId="40" totalsRowDxfId="186"/>
    <tableColumn id="16" xr3:uid="{00000000-0010-0000-0000-000010000000}" name="Vta. Proy." dataDxfId="39" totalsRowDxfId="185"/>
    <tableColumn id="17" xr3:uid="{00000000-0010-0000-0000-000011000000}" name="Días De Inventario" dataDxfId="38" totalsRowDxfId="184"/>
    <tableColumn id="18" xr3:uid="{00000000-0010-0000-0000-000012000000}" name="Faltante" dataDxfId="37" totalsRowDxfId="183"/>
    <tableColumn id="61" xr3:uid="{00000000-0010-0000-0000-00003D000000}" name="Valorizado Plan de Demanda" dataDxfId="36" totalsRowDxfId="182" dataCellStyle="Moneda"/>
    <tableColumn id="59" xr3:uid="{00000000-0010-0000-0000-00003B000000}" name="Valorizado Stock" dataDxfId="35" totalsRowDxfId="181" dataCellStyle="Moneda"/>
    <tableColumn id="19" xr3:uid="{00000000-0010-0000-0000-000013000000}" name="% Cob." dataDxfId="34" totalsRowDxfId="180" dataCellStyle="Porcentaje"/>
    <tableColumn id="20" xr3:uid="{00000000-0010-0000-0000-000014000000}" name="1" dataDxfId="33" totalsRowDxfId="179"/>
    <tableColumn id="21" xr3:uid="{00000000-0010-0000-0000-000015000000}" name="2" dataDxfId="32" totalsRowDxfId="178"/>
    <tableColumn id="22" xr3:uid="{00000000-0010-0000-0000-000016000000}" name="3" dataDxfId="31" totalsRowDxfId="177"/>
    <tableColumn id="23" xr3:uid="{00000000-0010-0000-0000-000017000000}" name="4" dataDxfId="30" totalsRowDxfId="176"/>
    <tableColumn id="24" xr3:uid="{00000000-0010-0000-0000-000018000000}" name="5" dataDxfId="29" totalsRowDxfId="175"/>
    <tableColumn id="25" xr3:uid="{00000000-0010-0000-0000-000019000000}" name="6" dataDxfId="28" totalsRowDxfId="174"/>
    <tableColumn id="26" xr3:uid="{00000000-0010-0000-0000-00001A000000}" name="7" dataDxfId="27" totalsRowDxfId="173"/>
    <tableColumn id="27" xr3:uid="{00000000-0010-0000-0000-00001B000000}" name="8" dataDxfId="26" totalsRowDxfId="172"/>
    <tableColumn id="28" xr3:uid="{00000000-0010-0000-0000-00001C000000}" name="9" dataDxfId="25" totalsRowDxfId="171"/>
    <tableColumn id="29" xr3:uid="{00000000-0010-0000-0000-00001D000000}" name="10" dataDxfId="24" totalsRowDxfId="170"/>
    <tableColumn id="30" xr3:uid="{00000000-0010-0000-0000-00001E000000}" name="11" dataDxfId="23" totalsRowDxfId="169"/>
    <tableColumn id="31" xr3:uid="{00000000-0010-0000-0000-00001F000000}" name="12" dataDxfId="22" totalsRowDxfId="168"/>
    <tableColumn id="32" xr3:uid="{00000000-0010-0000-0000-000020000000}" name="13" dataDxfId="21" totalsRowDxfId="167"/>
    <tableColumn id="33" xr3:uid="{00000000-0010-0000-0000-000021000000}" name="14" dataDxfId="20" totalsRowDxfId="166"/>
    <tableColumn id="34" xr3:uid="{00000000-0010-0000-0000-000022000000}" name="15" dataDxfId="19" totalsRowDxfId="165"/>
    <tableColumn id="35" xr3:uid="{00000000-0010-0000-0000-000023000000}" name="16" dataDxfId="18" totalsRowDxfId="164"/>
    <tableColumn id="36" xr3:uid="{00000000-0010-0000-0000-000024000000}" name="17" dataDxfId="17" totalsRowDxfId="163"/>
    <tableColumn id="37" xr3:uid="{00000000-0010-0000-0000-000025000000}" name="18" dataDxfId="16" totalsRowDxfId="162"/>
    <tableColumn id="38" xr3:uid="{00000000-0010-0000-0000-000026000000}" name="19" dataDxfId="15" totalsRowDxfId="161"/>
    <tableColumn id="39" xr3:uid="{00000000-0010-0000-0000-000027000000}" name="20" dataDxfId="14" totalsRowDxfId="160"/>
    <tableColumn id="40" xr3:uid="{00000000-0010-0000-0000-000028000000}" name="21" dataDxfId="13" totalsRowDxfId="159"/>
    <tableColumn id="41" xr3:uid="{00000000-0010-0000-0000-000029000000}" name="22" dataDxfId="12" totalsRowDxfId="158"/>
    <tableColumn id="42" xr3:uid="{00000000-0010-0000-0000-00002A000000}" name="23" dataDxfId="11" totalsRowDxfId="157"/>
    <tableColumn id="43" xr3:uid="{00000000-0010-0000-0000-00002B000000}" name="24" dataDxfId="10" totalsRowDxfId="156"/>
    <tableColumn id="44" xr3:uid="{00000000-0010-0000-0000-00002C000000}" name="25" dataDxfId="9" totalsRowDxfId="155"/>
    <tableColumn id="45" xr3:uid="{00000000-0010-0000-0000-00002D000000}" name="26" dataDxfId="8" totalsRowDxfId="154"/>
    <tableColumn id="46" xr3:uid="{00000000-0010-0000-0000-00002E000000}" name="27" dataDxfId="7" totalsRowDxfId="153"/>
    <tableColumn id="47" xr3:uid="{00000000-0010-0000-0000-00002F000000}" name="28" dataDxfId="6" totalsRowDxfId="152"/>
    <tableColumn id="48" xr3:uid="{00000000-0010-0000-0000-000030000000}" name="29" dataDxfId="5" totalsRowDxfId="151"/>
    <tableColumn id="49" xr3:uid="{00000000-0010-0000-0000-000031000000}" name="30" dataDxfId="4" totalsRowDxfId="150"/>
    <tableColumn id="50" xr3:uid="{00000000-0010-0000-0000-000032000000}" name="31" dataDxfId="3" totalsRowDxfId="149"/>
    <tableColumn id="51" xr3:uid="{00000000-0010-0000-0000-000033000000}" name="Fecha de _x000a_Ingreso según RAS" dataDxfId="2" totalsRowDxfId="148" dataCellStyle="Millares 10"/>
    <tableColumn id="52" xr3:uid="{00000000-0010-0000-0000-000034000000}" name="Causal / Observado" dataDxfId="1" totalsRowDxfId="147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130" priority="2"/>
  </conditionalFormatting>
  <conditionalFormatting sqref="B3:B222">
    <cfRule type="duplicateValues" dxfId="129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128" priority="2"/>
  </conditionalFormatting>
  <conditionalFormatting sqref="D2">
    <cfRule type="duplicateValues" dxfId="127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196" t="s">
        <v>341</v>
      </c>
      <c r="C2" s="197"/>
      <c r="D2" s="197"/>
      <c r="E2" s="197"/>
      <c r="F2" s="197"/>
      <c r="G2" s="200">
        <v>46122</v>
      </c>
    </row>
    <row r="3" spans="1:59" ht="13.5" customHeight="1" thickBot="1" x14ac:dyDescent="0.4">
      <c r="A3" s="118"/>
      <c r="B3" s="198"/>
      <c r="C3" s="199"/>
      <c r="D3" s="199"/>
      <c r="E3" s="199"/>
      <c r="F3" s="199"/>
      <c r="G3" s="201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65.384615384615387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17996243.290000059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-4261123.47999998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13735119.810000079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0.54886075643084054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535141.30988833879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2" t="s">
        <v>342</v>
      </c>
      <c r="R17" s="203"/>
      <c r="S17" s="204"/>
      <c r="T17" s="202" t="s">
        <v>497</v>
      </c>
      <c r="U17" s="203"/>
      <c r="V17" s="203"/>
      <c r="W17" s="203"/>
      <c r="X17" s="28"/>
      <c r="Y17" s="28"/>
      <c r="Z17" s="26"/>
      <c r="AA17" s="26"/>
      <c r="AB17" s="26"/>
      <c r="AC17" s="195" t="s">
        <v>331</v>
      </c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95"/>
      <c r="AW17" s="195"/>
      <c r="AX17" s="195"/>
      <c r="AY17" s="195"/>
      <c r="AZ17" s="195"/>
      <c r="BA17" s="195"/>
      <c r="BB17" s="195"/>
      <c r="BC17" s="195"/>
      <c r="BD17" s="195"/>
      <c r="BE17" s="195"/>
      <c r="BF17" s="195"/>
      <c r="BG17" s="195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31</v>
      </c>
      <c r="C19" s="6" t="s">
        <v>5</v>
      </c>
      <c r="D19" s="6" t="s">
        <v>306</v>
      </c>
      <c r="E19" s="6" t="s">
        <v>307</v>
      </c>
      <c r="F19" s="6">
        <v>1071167</v>
      </c>
      <c r="G19" s="8" t="s">
        <v>599</v>
      </c>
      <c r="H19" s="129">
        <v>1.8744419638455512E-4</v>
      </c>
      <c r="I19" s="129">
        <v>7.4977678553822056E-5</v>
      </c>
      <c r="J19" s="9">
        <v>0</v>
      </c>
      <c r="K19" s="9">
        <v>9</v>
      </c>
      <c r="L19" s="100">
        <v>3.6</v>
      </c>
      <c r="M19" s="10">
        <v>48014.289978527042</v>
      </c>
      <c r="N19" s="100">
        <v>3.5999250223214463</v>
      </c>
      <c r="O19" s="100">
        <v>0</v>
      </c>
      <c r="P19" s="10">
        <v>0.91655885962634531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30.857142857142858</v>
      </c>
      <c r="Y19" s="9">
        <v>0</v>
      </c>
      <c r="Z19" s="9">
        <v>-8.9998125558036151</v>
      </c>
      <c r="AA19" s="132">
        <v>1.703867745135606E-3</v>
      </c>
      <c r="AB19" s="132">
        <v>0</v>
      </c>
      <c r="AC19" s="11">
        <v>48014.289978527042</v>
      </c>
      <c r="AD19" s="71"/>
      <c r="AE19" s="71">
        <v>33.010210690745616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17</v>
      </c>
      <c r="D20" s="6" t="s">
        <v>312</v>
      </c>
      <c r="E20" s="6" t="s">
        <v>398</v>
      </c>
      <c r="F20" s="6">
        <v>1067656</v>
      </c>
      <c r="G20" s="8" t="s">
        <v>536</v>
      </c>
      <c r="H20" s="129">
        <v>13306.06301006055</v>
      </c>
      <c r="I20" s="129">
        <v>1596.727561207266</v>
      </c>
      <c r="J20" s="9">
        <v>0</v>
      </c>
      <c r="K20" s="9">
        <v>3</v>
      </c>
      <c r="L20" s="100">
        <v>0.36</v>
      </c>
      <c r="M20" s="10">
        <v>2.2546112984221832E-4</v>
      </c>
      <c r="N20" s="100">
        <v>1596.3675612072661</v>
      </c>
      <c r="O20" s="100">
        <v>15.712344731653895</v>
      </c>
      <c r="P20" s="10">
        <v>1.7809669747989676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13306.06301006055</v>
      </c>
      <c r="Y20" s="9">
        <v>0</v>
      </c>
      <c r="Z20" s="9">
        <v>13303.06301006055</v>
      </c>
      <c r="AA20" s="132">
        <v>16632.578762575689</v>
      </c>
      <c r="AB20" s="132">
        <v>0</v>
      </c>
      <c r="AC20" s="11">
        <v>2.2546112984223043E-4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</v>
      </c>
      <c r="C21" s="6" t="s">
        <v>2</v>
      </c>
      <c r="D21" s="6" t="s">
        <v>308</v>
      </c>
      <c r="E21" s="6" t="s">
        <v>395</v>
      </c>
      <c r="F21" s="6">
        <v>1070485</v>
      </c>
      <c r="G21" s="8" t="s">
        <v>625</v>
      </c>
      <c r="H21" s="129">
        <v>1E-4</v>
      </c>
      <c r="I21" s="129">
        <v>9.450000000000001E-6</v>
      </c>
      <c r="J21" s="9">
        <v>0</v>
      </c>
      <c r="K21" s="9">
        <v>0</v>
      </c>
      <c r="L21" s="100">
        <v>0</v>
      </c>
      <c r="M21" s="10">
        <v>0</v>
      </c>
      <c r="N21" s="100">
        <v>9.450000000000001E-6</v>
      </c>
      <c r="O21" s="100">
        <v>7.3540058664098868</v>
      </c>
      <c r="P21" s="10">
        <v>1.2464327935256101</v>
      </c>
      <c r="Q21" s="6">
        <v>2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1E-4</v>
      </c>
      <c r="Y21" s="9">
        <v>0</v>
      </c>
      <c r="Z21" s="9">
        <v>-1.9999</v>
      </c>
      <c r="AA21" s="132">
        <v>3.0800000000000001E-4</v>
      </c>
      <c r="AB21" s="132">
        <v>0</v>
      </c>
      <c r="AC21" s="11">
        <v>20000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2"/>
      <c r="BJ21" s="31"/>
    </row>
    <row r="22" spans="1:62" ht="12.75" customHeight="1" x14ac:dyDescent="0.35">
      <c r="A22" s="118"/>
      <c r="B22" s="30" t="s">
        <v>1</v>
      </c>
      <c r="C22" s="6" t="s">
        <v>50</v>
      </c>
      <c r="D22" s="6" t="s">
        <v>320</v>
      </c>
      <c r="E22" s="6" t="s">
        <v>402</v>
      </c>
      <c r="F22" s="96">
        <v>1060961</v>
      </c>
      <c r="G22" s="97" t="s">
        <v>726</v>
      </c>
      <c r="H22" s="129">
        <v>25941.717791411047</v>
      </c>
      <c r="I22" s="129">
        <v>4669.5092024539881</v>
      </c>
      <c r="J22" s="9">
        <v>0</v>
      </c>
      <c r="K22" s="9">
        <v>0</v>
      </c>
      <c r="L22" s="100">
        <v>0</v>
      </c>
      <c r="M22" s="10">
        <v>0</v>
      </c>
      <c r="N22" s="100">
        <v>4669.5092024539881</v>
      </c>
      <c r="O22" s="100">
        <v>0</v>
      </c>
      <c r="P22" s="10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25941.717791411047</v>
      </c>
      <c r="Y22" s="9">
        <v>0</v>
      </c>
      <c r="Z22" s="9">
        <v>25941.717791411047</v>
      </c>
      <c r="AA22" s="132">
        <v>176922.51533742333</v>
      </c>
      <c r="AB22" s="132">
        <v>0</v>
      </c>
      <c r="AC22" s="11">
        <v>0</v>
      </c>
      <c r="AD22" s="71"/>
      <c r="AE22" s="71">
        <v>33.495568685376661</v>
      </c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320</v>
      </c>
      <c r="E23" s="6" t="s">
        <v>402</v>
      </c>
      <c r="F23" s="96">
        <v>1060962</v>
      </c>
      <c r="G23" s="97" t="s">
        <v>727</v>
      </c>
      <c r="H23" s="129">
        <v>31305.056179775278</v>
      </c>
      <c r="I23" s="129">
        <v>5634.9101123595501</v>
      </c>
      <c r="J23" s="9">
        <v>0</v>
      </c>
      <c r="K23" s="9">
        <v>0</v>
      </c>
      <c r="L23" s="100">
        <v>0</v>
      </c>
      <c r="M23" s="10">
        <v>0</v>
      </c>
      <c r="N23" s="100">
        <v>5634.9101123595501</v>
      </c>
      <c r="O23" s="100">
        <v>0</v>
      </c>
      <c r="P23" s="10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31305.056179775278</v>
      </c>
      <c r="Y23" s="9">
        <v>0</v>
      </c>
      <c r="Z23" s="9">
        <v>31305.056179775278</v>
      </c>
      <c r="AA23" s="132">
        <v>213500.48314606742</v>
      </c>
      <c r="AB23" s="132">
        <v>0</v>
      </c>
      <c r="AC23" s="11">
        <v>0</v>
      </c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2"/>
      <c r="BJ23" s="31"/>
    </row>
    <row r="24" spans="1:62" ht="12.75" customHeight="1" x14ac:dyDescent="0.35">
      <c r="A24" s="118"/>
      <c r="B24" s="30" t="s">
        <v>31</v>
      </c>
      <c r="C24" s="6" t="s">
        <v>5</v>
      </c>
      <c r="D24" s="6" t="s">
        <v>306</v>
      </c>
      <c r="E24" s="6" t="s">
        <v>307</v>
      </c>
      <c r="F24" s="133">
        <v>1076007</v>
      </c>
      <c r="G24" s="134" t="s">
        <v>653</v>
      </c>
      <c r="H24" s="129">
        <v>5.3515266486592371E-4</v>
      </c>
      <c r="I24" s="129">
        <v>1.6054579945977711E-4</v>
      </c>
      <c r="J24" s="9">
        <v>0</v>
      </c>
      <c r="K24" s="9">
        <v>0</v>
      </c>
      <c r="L24" s="100">
        <v>0</v>
      </c>
      <c r="M24" s="10">
        <v>0</v>
      </c>
      <c r="N24" s="100">
        <v>1.6054579945977711E-4</v>
      </c>
      <c r="O24" s="100">
        <v>0</v>
      </c>
      <c r="P24" s="10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5.3515266486592371E-4</v>
      </c>
      <c r="Y24" s="9">
        <v>0</v>
      </c>
      <c r="Z24" s="9">
        <v>5.3515266486592371E-4</v>
      </c>
      <c r="AA24" s="132">
        <v>3.9654812466564946E-3</v>
      </c>
      <c r="AB24" s="132">
        <v>0</v>
      </c>
      <c r="AC24" s="11">
        <v>0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/>
      <c r="BJ24" s="31"/>
    </row>
    <row r="25" spans="1:62" ht="12.75" customHeight="1" x14ac:dyDescent="0.35">
      <c r="A25" s="118"/>
      <c r="B25" s="30" t="s">
        <v>4</v>
      </c>
      <c r="C25" s="6" t="s">
        <v>5</v>
      </c>
      <c r="D25" s="116" t="s">
        <v>308</v>
      </c>
      <c r="E25" s="6" t="s">
        <v>314</v>
      </c>
      <c r="F25" s="6">
        <v>1083123</v>
      </c>
      <c r="G25" s="162" t="s">
        <v>797</v>
      </c>
      <c r="H25" s="129">
        <v>1.0000000000000001E-5</v>
      </c>
      <c r="I25" s="129">
        <v>9.6000000000000013E-7</v>
      </c>
      <c r="J25" s="9">
        <v>0</v>
      </c>
      <c r="K25" s="9">
        <v>0</v>
      </c>
      <c r="L25" s="100">
        <v>0</v>
      </c>
      <c r="M25" s="10">
        <v>0</v>
      </c>
      <c r="N25" s="100">
        <v>9.6000000000000013E-7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1.0000000000000001E-5</v>
      </c>
      <c r="Y25" s="9">
        <v>0</v>
      </c>
      <c r="Z25" s="9">
        <v>1.0000000000000001E-5</v>
      </c>
      <c r="AA25" s="132">
        <v>2.2000000000000003E-5</v>
      </c>
      <c r="AB25" s="132">
        <v>0</v>
      </c>
      <c r="AC25" s="11">
        <v>0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/>
    </row>
    <row r="26" spans="1:62" ht="12.75" customHeight="1" x14ac:dyDescent="0.35">
      <c r="A26" s="118"/>
      <c r="B26" s="30" t="s">
        <v>21</v>
      </c>
      <c r="C26" s="6" t="s">
        <v>5</v>
      </c>
      <c r="D26" s="6" t="s">
        <v>308</v>
      </c>
      <c r="E26" s="6" t="s">
        <v>372</v>
      </c>
      <c r="F26" s="6">
        <v>1089904</v>
      </c>
      <c r="G26" s="162" t="s">
        <v>798</v>
      </c>
      <c r="H26" s="129">
        <v>1.0000000000000001E-5</v>
      </c>
      <c r="I26" s="129">
        <v>4.3200000000000001E-6</v>
      </c>
      <c r="J26" s="9">
        <v>0</v>
      </c>
      <c r="K26" s="9">
        <v>0</v>
      </c>
      <c r="L26" s="100">
        <v>0</v>
      </c>
      <c r="M26" s="10">
        <v>0</v>
      </c>
      <c r="N26" s="100">
        <v>4.3200000000000001E-6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1.0000000000000001E-5</v>
      </c>
      <c r="Y26" s="9">
        <v>0</v>
      </c>
      <c r="Z26" s="9">
        <v>1.0000000000000001E-5</v>
      </c>
      <c r="AA26" s="132">
        <v>1.1650000000000001E-4</v>
      </c>
      <c r="AB26" s="132">
        <v>0</v>
      </c>
      <c r="AC26" s="11">
        <v>0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1</v>
      </c>
      <c r="C27" s="6" t="s">
        <v>2</v>
      </c>
      <c r="D27" s="6" t="s">
        <v>310</v>
      </c>
      <c r="E27" s="6" t="s">
        <v>311</v>
      </c>
      <c r="F27" s="127">
        <v>1068294</v>
      </c>
      <c r="G27" s="128" t="s">
        <v>565</v>
      </c>
      <c r="H27" s="129">
        <v>627.10326087234557</v>
      </c>
      <c r="I27" s="129">
        <v>94.06548913085183</v>
      </c>
      <c r="J27" s="9">
        <v>0</v>
      </c>
      <c r="K27" s="9">
        <v>0</v>
      </c>
      <c r="L27" s="100">
        <v>0</v>
      </c>
      <c r="M27" s="10">
        <v>0</v>
      </c>
      <c r="N27" s="100">
        <v>94.06548913085183</v>
      </c>
      <c r="O27" s="100">
        <v>0</v>
      </c>
      <c r="P27" s="10">
        <v>0.35855639024825814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2503</v>
      </c>
      <c r="X27" s="9">
        <v>627.10326087234557</v>
      </c>
      <c r="Y27" s="9">
        <v>0</v>
      </c>
      <c r="Z27" s="9">
        <v>627.10326087234557</v>
      </c>
      <c r="AA27" s="132">
        <v>1279.2906521795851</v>
      </c>
      <c r="AB27" s="132">
        <v>5106.12</v>
      </c>
      <c r="AC27" s="11">
        <v>0</v>
      </c>
      <c r="AD27" s="71"/>
      <c r="AE27" s="71">
        <v>105.57129340524175</v>
      </c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27</v>
      </c>
      <c r="C28" s="6" t="s">
        <v>5</v>
      </c>
      <c r="D28" s="6" t="s">
        <v>312</v>
      </c>
      <c r="E28" s="6" t="s">
        <v>313</v>
      </c>
      <c r="F28" s="6">
        <v>1073737</v>
      </c>
      <c r="G28" s="8" t="s">
        <v>619</v>
      </c>
      <c r="H28" s="129">
        <v>32765.546912907917</v>
      </c>
      <c r="I28" s="129">
        <v>12450.90782690501</v>
      </c>
      <c r="J28" s="9">
        <v>0</v>
      </c>
      <c r="K28" s="9">
        <v>11658</v>
      </c>
      <c r="L28" s="100">
        <v>4430.04</v>
      </c>
      <c r="M28" s="10">
        <v>0.3561668001763959</v>
      </c>
      <c r="N28" s="100">
        <v>8020.8678269050097</v>
      </c>
      <c r="O28" s="100">
        <v>40.642254924409976</v>
      </c>
      <c r="P28" s="10">
        <v>2.3614270531427963</v>
      </c>
      <c r="Q28" s="6">
        <v>12</v>
      </c>
      <c r="R28" s="6">
        <v>12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40011.428571428572</v>
      </c>
      <c r="Y28" s="9">
        <v>0</v>
      </c>
      <c r="Z28" s="9">
        <v>21095.546912907917</v>
      </c>
      <c r="AA28" s="132">
        <v>128768.59936772812</v>
      </c>
      <c r="AB28" s="132">
        <v>0</v>
      </c>
      <c r="AC28" s="11">
        <v>0.3561668001763959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 t="s">
        <v>1</v>
      </c>
      <c r="BJ28" s="31" t="s">
        <v>801</v>
      </c>
    </row>
    <row r="29" spans="1:62" ht="12.75" customHeight="1" x14ac:dyDescent="0.35">
      <c r="A29" s="118"/>
      <c r="B29" s="30" t="s">
        <v>1</v>
      </c>
      <c r="C29" s="6" t="s">
        <v>50</v>
      </c>
      <c r="D29" s="6" t="s">
        <v>316</v>
      </c>
      <c r="E29" s="6" t="s">
        <v>408</v>
      </c>
      <c r="F29" s="6">
        <v>1060670</v>
      </c>
      <c r="G29" s="8" t="s">
        <v>518</v>
      </c>
      <c r="H29" s="129">
        <v>2050</v>
      </c>
      <c r="I29" s="129">
        <v>512.5</v>
      </c>
      <c r="J29" s="9">
        <v>0</v>
      </c>
      <c r="K29" s="9">
        <v>16</v>
      </c>
      <c r="L29" s="100">
        <v>4</v>
      </c>
      <c r="M29" s="10">
        <v>0.37658536585365854</v>
      </c>
      <c r="N29" s="100">
        <v>508.5</v>
      </c>
      <c r="O29" s="100">
        <v>0</v>
      </c>
      <c r="P29" s="10">
        <v>0.69065091000939727</v>
      </c>
      <c r="Q29" s="6">
        <v>756</v>
      </c>
      <c r="R29" s="6">
        <v>756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2646.8571428571427</v>
      </c>
      <c r="Y29" s="9">
        <v>0</v>
      </c>
      <c r="Z29" s="9">
        <v>1278</v>
      </c>
      <c r="AA29" s="132">
        <v>40426</v>
      </c>
      <c r="AB29" s="132">
        <v>0</v>
      </c>
      <c r="AC29" s="11">
        <v>0.37658536585365854</v>
      </c>
      <c r="AD29" s="71"/>
      <c r="AE29" s="71">
        <v>14.586349534643228</v>
      </c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31"/>
    </row>
    <row r="30" spans="1:62" ht="12.75" customHeight="1" x14ac:dyDescent="0.35">
      <c r="A30" s="118"/>
      <c r="B30" s="30" t="s">
        <v>1</v>
      </c>
      <c r="C30" s="6" t="s">
        <v>17</v>
      </c>
      <c r="D30" s="6" t="s">
        <v>312</v>
      </c>
      <c r="E30" s="6" t="s">
        <v>398</v>
      </c>
      <c r="F30" s="6">
        <v>1058451</v>
      </c>
      <c r="G30" s="8" t="s">
        <v>268</v>
      </c>
      <c r="H30" s="129">
        <v>738867.64238772611</v>
      </c>
      <c r="I30" s="129">
        <v>178067.10181544197</v>
      </c>
      <c r="J30" s="9">
        <v>0</v>
      </c>
      <c r="K30" s="9">
        <v>128079</v>
      </c>
      <c r="L30" s="100">
        <v>30867.039000000001</v>
      </c>
      <c r="M30" s="10">
        <v>0.17832693224215926</v>
      </c>
      <c r="N30" s="100">
        <v>147200.06281544198</v>
      </c>
      <c r="O30" s="100">
        <v>6.8391036369083071</v>
      </c>
      <c r="P30" s="10">
        <v>1.3029722543123703</v>
      </c>
      <c r="Q30" s="6">
        <v>3552</v>
      </c>
      <c r="R30" s="6">
        <v>3681</v>
      </c>
      <c r="S30" s="6">
        <v>0</v>
      </c>
      <c r="T30" s="6">
        <v>0</v>
      </c>
      <c r="U30" s="6">
        <v>0</v>
      </c>
      <c r="V30" s="6">
        <v>0</v>
      </c>
      <c r="W30" s="6">
        <v>129</v>
      </c>
      <c r="X30" s="9">
        <v>738867.64238772611</v>
      </c>
      <c r="Y30" s="9">
        <v>0</v>
      </c>
      <c r="Z30" s="9">
        <v>607236.64238772611</v>
      </c>
      <c r="AA30" s="132">
        <v>1913667.1937842106</v>
      </c>
      <c r="AB30" s="132">
        <v>334.10999999999996</v>
      </c>
      <c r="AC30" s="11">
        <v>0.17815234075567443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31" t="s">
        <v>802</v>
      </c>
    </row>
    <row r="31" spans="1:62" ht="12.75" customHeight="1" x14ac:dyDescent="0.35">
      <c r="A31" s="118"/>
      <c r="B31" s="30" t="s">
        <v>1</v>
      </c>
      <c r="C31" s="6" t="s">
        <v>24</v>
      </c>
      <c r="D31" s="6" t="s">
        <v>316</v>
      </c>
      <c r="E31" s="6" t="s">
        <v>317</v>
      </c>
      <c r="F31" s="6">
        <v>1070721</v>
      </c>
      <c r="G31" s="8" t="s">
        <v>683</v>
      </c>
      <c r="H31" s="129">
        <v>3064.7964694214656</v>
      </c>
      <c r="I31" s="129">
        <v>330.99801869751826</v>
      </c>
      <c r="J31" s="9">
        <v>0</v>
      </c>
      <c r="K31" s="9">
        <v>0</v>
      </c>
      <c r="L31" s="100">
        <v>0</v>
      </c>
      <c r="M31" s="10">
        <v>3.2628594100043702E-3</v>
      </c>
      <c r="N31" s="100">
        <v>330.99801869751826</v>
      </c>
      <c r="O31" s="100">
        <v>0</v>
      </c>
      <c r="P31" s="10">
        <v>0.84488487140410262</v>
      </c>
      <c r="Q31" s="6">
        <v>10</v>
      </c>
      <c r="R31" s="6">
        <v>10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9">
        <v>3064.7964694214656</v>
      </c>
      <c r="Y31" s="9">
        <v>0</v>
      </c>
      <c r="Z31" s="9">
        <v>3054.7964694214656</v>
      </c>
      <c r="AA31" s="132">
        <v>16212.773323239553</v>
      </c>
      <c r="AB31" s="132">
        <v>0</v>
      </c>
      <c r="AC31" s="11">
        <v>3.2628594100043706E-3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 t="s">
        <v>796</v>
      </c>
    </row>
    <row r="32" spans="1:62" ht="12.75" customHeight="1" x14ac:dyDescent="0.35">
      <c r="A32" s="118"/>
      <c r="B32" s="30" t="s">
        <v>148</v>
      </c>
      <c r="C32" s="6" t="s">
        <v>5</v>
      </c>
      <c r="D32" s="6" t="s">
        <v>318</v>
      </c>
      <c r="E32" s="6" t="s">
        <v>319</v>
      </c>
      <c r="F32" s="120">
        <v>1065299</v>
      </c>
      <c r="G32" s="121" t="s">
        <v>506</v>
      </c>
      <c r="H32" s="129">
        <v>50000</v>
      </c>
      <c r="I32" s="129">
        <v>40000</v>
      </c>
      <c r="J32" s="9">
        <v>0</v>
      </c>
      <c r="K32" s="9">
        <v>19470</v>
      </c>
      <c r="L32" s="100">
        <v>15576</v>
      </c>
      <c r="M32" s="10">
        <v>0.38940000000000002</v>
      </c>
      <c r="N32" s="100">
        <v>24424</v>
      </c>
      <c r="O32" s="100">
        <v>0</v>
      </c>
      <c r="P32" s="10">
        <v>-57499999.999999993</v>
      </c>
      <c r="Q32" s="6">
        <v>6</v>
      </c>
      <c r="R32" s="6">
        <v>0</v>
      </c>
      <c r="S32" s="6">
        <v>6</v>
      </c>
      <c r="T32" s="6">
        <v>0</v>
      </c>
      <c r="U32" s="6">
        <v>0</v>
      </c>
      <c r="V32" s="6">
        <v>0</v>
      </c>
      <c r="W32" s="6">
        <v>0</v>
      </c>
      <c r="X32" s="9">
        <v>66754.285714285725</v>
      </c>
      <c r="Y32" s="9">
        <v>2.6964560862865945E-3</v>
      </c>
      <c r="Z32" s="9">
        <v>30524</v>
      </c>
      <c r="AA32" s="132">
        <v>366000</v>
      </c>
      <c r="AB32" s="132">
        <v>43.92</v>
      </c>
      <c r="AC32" s="11">
        <v>0.38951999999999998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/>
      <c r="BJ32" s="31" t="s">
        <v>815</v>
      </c>
    </row>
    <row r="33" spans="1:62" ht="12.75" customHeight="1" x14ac:dyDescent="0.35">
      <c r="A33" s="118"/>
      <c r="B33" s="30" t="s">
        <v>1</v>
      </c>
      <c r="C33" s="6" t="s">
        <v>2</v>
      </c>
      <c r="D33" s="6" t="s">
        <v>310</v>
      </c>
      <c r="E33" s="6" t="s">
        <v>311</v>
      </c>
      <c r="F33" s="6">
        <v>1068805</v>
      </c>
      <c r="G33" s="8" t="s">
        <v>564</v>
      </c>
      <c r="H33" s="129">
        <v>29000.001500000009</v>
      </c>
      <c r="I33" s="129">
        <v>5220.0002700000014</v>
      </c>
      <c r="J33" s="9">
        <v>0</v>
      </c>
      <c r="K33" s="9">
        <v>29853.006000000001</v>
      </c>
      <c r="L33" s="100">
        <v>5373.54108</v>
      </c>
      <c r="M33" s="10">
        <v>1.036862222231264</v>
      </c>
      <c r="N33" s="100">
        <v>153.5408099999986</v>
      </c>
      <c r="O33" s="100">
        <v>0</v>
      </c>
      <c r="P33" s="10">
        <v>0.50666666666666671</v>
      </c>
      <c r="Q33" s="6">
        <v>228</v>
      </c>
      <c r="R33" s="6">
        <v>216</v>
      </c>
      <c r="S33" s="6">
        <v>12</v>
      </c>
      <c r="T33" s="6">
        <v>0</v>
      </c>
      <c r="U33" s="6">
        <v>0</v>
      </c>
      <c r="V33" s="6">
        <v>0</v>
      </c>
      <c r="W33" s="6">
        <v>0</v>
      </c>
      <c r="X33" s="9">
        <v>103093.73485714286</v>
      </c>
      <c r="Y33" s="9">
        <v>3.4919677757222836E-3</v>
      </c>
      <c r="Z33" s="9">
        <v>-1081.0044999999918</v>
      </c>
      <c r="AA33" s="132">
        <v>54810.002835000014</v>
      </c>
      <c r="AB33" s="132">
        <v>22.68</v>
      </c>
      <c r="AC33" s="11">
        <v>1.0372760153133092</v>
      </c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2"/>
      <c r="BJ33" s="31"/>
    </row>
    <row r="34" spans="1:62" ht="12.75" customHeight="1" x14ac:dyDescent="0.35">
      <c r="A34" s="118"/>
      <c r="B34" s="30" t="s">
        <v>1</v>
      </c>
      <c r="C34" s="6" t="s">
        <v>24</v>
      </c>
      <c r="D34" s="6" t="s">
        <v>316</v>
      </c>
      <c r="E34" s="6" t="s">
        <v>317</v>
      </c>
      <c r="F34" s="6">
        <v>1071324</v>
      </c>
      <c r="G34" s="8" t="s">
        <v>686</v>
      </c>
      <c r="H34" s="129">
        <v>8398.9587083562747</v>
      </c>
      <c r="I34" s="129">
        <v>907.08754050247762</v>
      </c>
      <c r="J34" s="9">
        <v>0</v>
      </c>
      <c r="K34" s="9">
        <v>2651</v>
      </c>
      <c r="L34" s="100">
        <v>286.30799999999999</v>
      </c>
      <c r="M34" s="10">
        <v>0.32849310203835402</v>
      </c>
      <c r="N34" s="100">
        <v>620.77954050247763</v>
      </c>
      <c r="O34" s="100">
        <v>13.96921076905786</v>
      </c>
      <c r="P34" s="10">
        <v>1.5575671398536322</v>
      </c>
      <c r="Q34" s="6">
        <v>115</v>
      </c>
      <c r="R34" s="6">
        <v>108</v>
      </c>
      <c r="S34" s="6">
        <v>7</v>
      </c>
      <c r="T34" s="6">
        <v>0</v>
      </c>
      <c r="U34" s="6">
        <v>0</v>
      </c>
      <c r="V34" s="6">
        <v>0</v>
      </c>
      <c r="W34" s="6">
        <v>0</v>
      </c>
      <c r="X34" s="9">
        <v>9459.4285714285706</v>
      </c>
      <c r="Y34" s="9">
        <v>2.2200072490032623E-2</v>
      </c>
      <c r="Z34" s="9">
        <v>5632.9587083562747</v>
      </c>
      <c r="AA34" s="132">
        <v>44262.512393037563</v>
      </c>
      <c r="AB34" s="132">
        <v>36.89</v>
      </c>
      <c r="AC34" s="11">
        <v>0.32932653868723716</v>
      </c>
      <c r="AD34" s="71"/>
      <c r="AE34" s="71">
        <v>87.428449744463364</v>
      </c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 t="s">
        <v>805</v>
      </c>
    </row>
    <row r="35" spans="1:62" ht="12.75" customHeight="1" x14ac:dyDescent="0.35">
      <c r="A35" s="118"/>
      <c r="B35" s="30" t="s">
        <v>1</v>
      </c>
      <c r="C35" s="6" t="s">
        <v>2</v>
      </c>
      <c r="D35" s="6" t="s">
        <v>306</v>
      </c>
      <c r="E35" s="6" t="s">
        <v>401</v>
      </c>
      <c r="F35" s="6">
        <v>1070092</v>
      </c>
      <c r="G35" s="8" t="s">
        <v>585</v>
      </c>
      <c r="H35" s="129">
        <v>4436.99118578249</v>
      </c>
      <c r="I35" s="129">
        <v>4436.99118578249</v>
      </c>
      <c r="J35" s="9">
        <v>0</v>
      </c>
      <c r="K35" s="9">
        <v>160</v>
      </c>
      <c r="L35" s="100">
        <v>160</v>
      </c>
      <c r="M35" s="10">
        <v>3.6060472807043234E-2</v>
      </c>
      <c r="N35" s="100">
        <v>4276.99118578249</v>
      </c>
      <c r="O35" s="100">
        <v>0</v>
      </c>
      <c r="P35" s="10">
        <v>0.75763937814395377</v>
      </c>
      <c r="Q35" s="6">
        <v>9</v>
      </c>
      <c r="R35" s="6">
        <v>0</v>
      </c>
      <c r="S35" s="6">
        <v>9</v>
      </c>
      <c r="T35" s="6">
        <v>0</v>
      </c>
      <c r="U35" s="6">
        <v>0</v>
      </c>
      <c r="V35" s="6">
        <v>0</v>
      </c>
      <c r="W35" s="6">
        <v>0</v>
      </c>
      <c r="X35" s="9">
        <v>4436.99118578249</v>
      </c>
      <c r="Y35" s="9">
        <v>6.0852047861885458E-2</v>
      </c>
      <c r="Z35" s="9">
        <v>4267.99118578249</v>
      </c>
      <c r="AA35" s="132">
        <v>40066.030407615879</v>
      </c>
      <c r="AB35" s="132">
        <v>81.27</v>
      </c>
      <c r="AC35" s="11">
        <v>3.8088874402439465E-2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/>
      <c r="BJ35" s="31"/>
    </row>
    <row r="36" spans="1:62" ht="12.75" customHeight="1" x14ac:dyDescent="0.35">
      <c r="A36" s="118"/>
      <c r="B36" s="30" t="s">
        <v>9</v>
      </c>
      <c r="C36" s="6" t="s">
        <v>5</v>
      </c>
      <c r="D36" s="6" t="s">
        <v>308</v>
      </c>
      <c r="E36" s="6" t="s">
        <v>803</v>
      </c>
      <c r="F36" s="6">
        <v>1079783</v>
      </c>
      <c r="G36" s="162" t="s">
        <v>804</v>
      </c>
      <c r="H36" s="129">
        <v>1070</v>
      </c>
      <c r="I36" s="129">
        <v>535</v>
      </c>
      <c r="J36" s="9">
        <v>0</v>
      </c>
      <c r="K36" s="9">
        <v>460</v>
      </c>
      <c r="L36" s="100">
        <v>230</v>
      </c>
      <c r="M36" s="10">
        <v>0.42990654205607476</v>
      </c>
      <c r="N36" s="100">
        <v>305</v>
      </c>
      <c r="O36" s="100">
        <v>0</v>
      </c>
      <c r="P36" s="10">
        <v>0</v>
      </c>
      <c r="Q36" s="6">
        <v>16</v>
      </c>
      <c r="R36" s="6">
        <v>0</v>
      </c>
      <c r="S36" s="6">
        <v>16</v>
      </c>
      <c r="T36" s="6">
        <v>0</v>
      </c>
      <c r="U36" s="6">
        <v>0</v>
      </c>
      <c r="V36" s="6">
        <v>0</v>
      </c>
      <c r="W36" s="6">
        <v>0</v>
      </c>
      <c r="X36" s="9">
        <v>1577.1428571428571</v>
      </c>
      <c r="Y36" s="9">
        <v>0.30434782608695654</v>
      </c>
      <c r="Z36" s="9">
        <v>594</v>
      </c>
      <c r="AA36" s="132">
        <v>22534.199999999997</v>
      </c>
      <c r="AB36" s="132">
        <v>336.96</v>
      </c>
      <c r="AC36" s="11">
        <v>0.44485981308411215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2"/>
      <c r="BJ36" s="31"/>
    </row>
    <row r="37" spans="1:62" ht="12.75" customHeight="1" x14ac:dyDescent="0.35">
      <c r="A37" s="118"/>
      <c r="B37" s="30" t="s">
        <v>31</v>
      </c>
      <c r="C37" s="6" t="s">
        <v>5</v>
      </c>
      <c r="D37" s="6" t="s">
        <v>306</v>
      </c>
      <c r="E37" s="6" t="s">
        <v>307</v>
      </c>
      <c r="F37" s="6">
        <v>1056628</v>
      </c>
      <c r="G37" s="8" t="s">
        <v>222</v>
      </c>
      <c r="H37" s="129">
        <v>3.7622435065959889E-4</v>
      </c>
      <c r="I37" s="129">
        <v>1.8811217532979944E-4</v>
      </c>
      <c r="J37" s="9">
        <v>0</v>
      </c>
      <c r="K37" s="9">
        <v>288</v>
      </c>
      <c r="L37" s="100">
        <v>144</v>
      </c>
      <c r="M37" s="10">
        <v>893084.13825666171</v>
      </c>
      <c r="N37" s="100">
        <v>143.99981188782468</v>
      </c>
      <c r="O37" s="100">
        <v>0</v>
      </c>
      <c r="P37" s="10">
        <v>0.84752798255847261</v>
      </c>
      <c r="Q37" s="6">
        <v>60</v>
      </c>
      <c r="R37" s="6">
        <v>48</v>
      </c>
      <c r="S37" s="6">
        <v>12</v>
      </c>
      <c r="T37" s="6">
        <v>0</v>
      </c>
      <c r="U37" s="6">
        <v>4</v>
      </c>
      <c r="V37" s="6">
        <v>0</v>
      </c>
      <c r="W37" s="6">
        <v>0</v>
      </c>
      <c r="X37" s="9">
        <v>1152</v>
      </c>
      <c r="Y37" s="9">
        <v>0.3125</v>
      </c>
      <c r="Z37" s="9">
        <v>-347.99962377564935</v>
      </c>
      <c r="AA37" s="132">
        <v>4.3943004157041146E-3</v>
      </c>
      <c r="AB37" s="132">
        <v>186.88</v>
      </c>
      <c r="AC37" s="11">
        <v>924980.00033725682</v>
      </c>
      <c r="AD37" s="71"/>
      <c r="AE37" s="71">
        <v>45.093708609271523</v>
      </c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/>
    </row>
    <row r="38" spans="1:62" ht="12.75" customHeight="1" x14ac:dyDescent="0.35">
      <c r="A38" s="118"/>
      <c r="B38" s="30">
        <v>0</v>
      </c>
      <c r="C38" s="6" t="s">
        <v>5</v>
      </c>
      <c r="D38" s="116" t="s">
        <v>318</v>
      </c>
      <c r="E38" s="6" t="s">
        <v>319</v>
      </c>
      <c r="F38" s="120">
        <v>1079428</v>
      </c>
      <c r="G38" s="121" t="s">
        <v>734</v>
      </c>
      <c r="H38" s="129">
        <v>10000</v>
      </c>
      <c r="I38" s="129">
        <v>8000</v>
      </c>
      <c r="J38" s="9">
        <v>0</v>
      </c>
      <c r="K38" s="9">
        <v>10002</v>
      </c>
      <c r="L38" s="100">
        <v>8001.6</v>
      </c>
      <c r="M38" s="10">
        <v>1.0002</v>
      </c>
      <c r="N38" s="100">
        <v>1.6000000000003638</v>
      </c>
      <c r="O38" s="100">
        <v>0</v>
      </c>
      <c r="P38" s="10">
        <v>0</v>
      </c>
      <c r="Q38" s="6">
        <v>1176</v>
      </c>
      <c r="R38" s="6">
        <v>0</v>
      </c>
      <c r="S38" s="6">
        <v>1176</v>
      </c>
      <c r="T38" s="6">
        <v>0</v>
      </c>
      <c r="U38" s="6">
        <v>0</v>
      </c>
      <c r="V38" s="6">
        <v>0</v>
      </c>
      <c r="W38" s="6">
        <v>0</v>
      </c>
      <c r="X38" s="9">
        <v>34292.571428571428</v>
      </c>
      <c r="Y38" s="9">
        <v>1.0287942411517697</v>
      </c>
      <c r="Z38" s="9">
        <v>-1178</v>
      </c>
      <c r="AA38" s="132">
        <v>77800</v>
      </c>
      <c r="AB38" s="132">
        <v>9149.2800000000007</v>
      </c>
      <c r="AC38" s="11">
        <v>1.1177999999999999</v>
      </c>
      <c r="AD38" s="72"/>
      <c r="AE38" s="71" t="s">
        <v>574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31</v>
      </c>
      <c r="C39" s="6" t="s">
        <v>5</v>
      </c>
      <c r="D39" s="116" t="s">
        <v>306</v>
      </c>
      <c r="E39" s="6" t="s">
        <v>307</v>
      </c>
      <c r="F39" s="6">
        <v>1071166</v>
      </c>
      <c r="G39" s="4" t="s">
        <v>605</v>
      </c>
      <c r="H39" s="129">
        <v>30159.735955766228</v>
      </c>
      <c r="I39" s="129">
        <v>4222.3630338072726</v>
      </c>
      <c r="J39" s="9">
        <v>0</v>
      </c>
      <c r="K39" s="9">
        <v>2099</v>
      </c>
      <c r="L39" s="100">
        <v>293.86</v>
      </c>
      <c r="M39" s="10">
        <v>8.9490173387409222E-2</v>
      </c>
      <c r="N39" s="100">
        <v>3928.5030338072725</v>
      </c>
      <c r="O39" s="100">
        <v>0</v>
      </c>
      <c r="P39" s="10">
        <v>0.99164681242476349</v>
      </c>
      <c r="Q39" s="6">
        <v>3240</v>
      </c>
      <c r="R39" s="6">
        <v>600</v>
      </c>
      <c r="S39" s="6">
        <v>2640</v>
      </c>
      <c r="T39" s="6">
        <v>0</v>
      </c>
      <c r="U39" s="6">
        <v>0</v>
      </c>
      <c r="V39" s="6">
        <v>0</v>
      </c>
      <c r="W39" s="6">
        <v>0</v>
      </c>
      <c r="X39" s="9">
        <v>30159.735955766228</v>
      </c>
      <c r="Y39" s="9">
        <v>2.6260176851733275</v>
      </c>
      <c r="Z39" s="9">
        <v>24820.735955766228</v>
      </c>
      <c r="AA39" s="132">
        <v>82336.079159241795</v>
      </c>
      <c r="AB39" s="132">
        <v>7207.2</v>
      </c>
      <c r="AC39" s="11">
        <v>0.17702409622652016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126" t="s">
        <v>1</v>
      </c>
      <c r="BJ39" s="31" t="s">
        <v>808</v>
      </c>
    </row>
    <row r="40" spans="1:62" ht="12.75" customHeight="1" x14ac:dyDescent="0.35">
      <c r="A40" s="118"/>
      <c r="B40" s="30" t="s">
        <v>1</v>
      </c>
      <c r="C40" s="6" t="s">
        <v>5</v>
      </c>
      <c r="D40" s="116" t="s">
        <v>308</v>
      </c>
      <c r="E40" s="6" t="s">
        <v>307</v>
      </c>
      <c r="F40" s="96">
        <v>1082266</v>
      </c>
      <c r="G40" s="97" t="s">
        <v>756</v>
      </c>
      <c r="H40" s="129">
        <v>119460</v>
      </c>
      <c r="I40" s="129">
        <v>0</v>
      </c>
      <c r="J40" s="9">
        <v>0</v>
      </c>
      <c r="K40" s="9">
        <v>1960</v>
      </c>
      <c r="L40" s="100">
        <v>0</v>
      </c>
      <c r="M40" s="10">
        <v>0.30269546291645738</v>
      </c>
      <c r="N40" s="100">
        <v>0</v>
      </c>
      <c r="O40" s="100">
        <v>0</v>
      </c>
      <c r="P40" s="10">
        <v>0</v>
      </c>
      <c r="Q40" s="6">
        <v>46060</v>
      </c>
      <c r="R40" s="6">
        <v>34200</v>
      </c>
      <c r="S40" s="6">
        <v>11860</v>
      </c>
      <c r="T40" s="6">
        <v>0</v>
      </c>
      <c r="U40" s="6">
        <v>0</v>
      </c>
      <c r="V40" s="6">
        <v>0</v>
      </c>
      <c r="W40" s="6">
        <v>0</v>
      </c>
      <c r="X40" s="9">
        <v>123977.14285714286</v>
      </c>
      <c r="Y40" s="9">
        <v>2.8698838495575223</v>
      </c>
      <c r="Z40" s="9">
        <v>71440</v>
      </c>
      <c r="AA40" s="132">
        <v>897144.6</v>
      </c>
      <c r="AB40" s="132">
        <v>89068.599999999991</v>
      </c>
      <c r="AC40" s="11">
        <v>0.40197555667168927</v>
      </c>
      <c r="AD40" s="72"/>
      <c r="AE40" s="71" t="s">
        <v>574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26" t="s">
        <v>1</v>
      </c>
      <c r="BJ40" s="31"/>
    </row>
    <row r="41" spans="1:62" ht="12.75" customHeight="1" x14ac:dyDescent="0.35">
      <c r="A41" s="118"/>
      <c r="B41" s="30" t="s">
        <v>1</v>
      </c>
      <c r="C41" s="6" t="s">
        <v>50</v>
      </c>
      <c r="D41" s="116" t="s">
        <v>320</v>
      </c>
      <c r="E41" s="6" t="s">
        <v>402</v>
      </c>
      <c r="F41" s="6">
        <v>1060797</v>
      </c>
      <c r="G41" s="8" t="s">
        <v>434</v>
      </c>
      <c r="H41" s="129">
        <v>16833.602340139307</v>
      </c>
      <c r="I41" s="129">
        <v>3030.0484212250749</v>
      </c>
      <c r="J41" s="9">
        <v>0</v>
      </c>
      <c r="K41" s="9">
        <v>2347</v>
      </c>
      <c r="L41" s="100">
        <v>422.46</v>
      </c>
      <c r="M41" s="10">
        <v>0.18599702765546552</v>
      </c>
      <c r="N41" s="100">
        <v>2607.5884212250749</v>
      </c>
      <c r="O41" s="100">
        <v>0</v>
      </c>
      <c r="P41" s="10">
        <v>0.40879748567684676</v>
      </c>
      <c r="Q41" s="6">
        <v>2749</v>
      </c>
      <c r="R41" s="6">
        <v>784</v>
      </c>
      <c r="S41" s="6">
        <v>1965</v>
      </c>
      <c r="T41" s="6">
        <v>0</v>
      </c>
      <c r="U41" s="6">
        <v>0</v>
      </c>
      <c r="V41" s="6">
        <v>0</v>
      </c>
      <c r="W41" s="6">
        <v>0</v>
      </c>
      <c r="X41" s="9">
        <v>16833.602340139307</v>
      </c>
      <c r="Y41" s="9">
        <v>3.5019242351611926</v>
      </c>
      <c r="Z41" s="9">
        <v>11737.602340139307</v>
      </c>
      <c r="AA41" s="132">
        <v>115646.84807675704</v>
      </c>
      <c r="AB41" s="132">
        <v>13499.550000000001</v>
      </c>
      <c r="AC41" s="11">
        <v>0.30272783549417193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126" t="s">
        <v>1</v>
      </c>
      <c r="BJ41" s="31"/>
    </row>
    <row r="42" spans="1:62" ht="12.75" customHeight="1" x14ac:dyDescent="0.35">
      <c r="A42" s="118"/>
      <c r="B42" s="30" t="s">
        <v>31</v>
      </c>
      <c r="C42" s="6" t="s">
        <v>5</v>
      </c>
      <c r="D42" s="6" t="s">
        <v>306</v>
      </c>
      <c r="E42" s="6" t="s">
        <v>307</v>
      </c>
      <c r="F42" s="6">
        <v>1074077</v>
      </c>
      <c r="G42" s="8" t="s">
        <v>696</v>
      </c>
      <c r="H42" s="129">
        <v>50474.663472302091</v>
      </c>
      <c r="I42" s="129">
        <v>9388.2874058481884</v>
      </c>
      <c r="J42" s="9">
        <v>0</v>
      </c>
      <c r="K42" s="9">
        <v>3771</v>
      </c>
      <c r="L42" s="100">
        <v>701.40599999999995</v>
      </c>
      <c r="M42" s="10">
        <v>0.11560255380804964</v>
      </c>
      <c r="N42" s="100">
        <v>8686.8814058481876</v>
      </c>
      <c r="O42" s="100">
        <v>0</v>
      </c>
      <c r="P42" s="10">
        <v>0.81202239874358628</v>
      </c>
      <c r="Q42" s="6">
        <v>8920</v>
      </c>
      <c r="R42" s="6">
        <v>2064</v>
      </c>
      <c r="S42" s="6">
        <v>6856</v>
      </c>
      <c r="T42" s="6">
        <v>0</v>
      </c>
      <c r="U42" s="6">
        <v>0</v>
      </c>
      <c r="V42" s="6">
        <v>0</v>
      </c>
      <c r="W42" s="6">
        <v>0</v>
      </c>
      <c r="X42" s="9">
        <v>50474.663472302091</v>
      </c>
      <c r="Y42" s="9">
        <v>4.0749157270333587</v>
      </c>
      <c r="Z42" s="9">
        <v>37783.663472302091</v>
      </c>
      <c r="AA42" s="132">
        <v>160509.42984192065</v>
      </c>
      <c r="AB42" s="132">
        <v>21802.080000000002</v>
      </c>
      <c r="AC42" s="11">
        <v>0.25143307804249493</v>
      </c>
      <c r="AD42" s="71"/>
      <c r="AE42" s="71" t="s">
        <v>574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2" t="s">
        <v>1</v>
      </c>
      <c r="BJ42" s="31" t="s">
        <v>810</v>
      </c>
    </row>
    <row r="43" spans="1:62" ht="12.5" customHeight="1" x14ac:dyDescent="0.35">
      <c r="A43" s="118"/>
      <c r="B43" s="30" t="s">
        <v>1</v>
      </c>
      <c r="C43" s="6" t="s">
        <v>24</v>
      </c>
      <c r="D43" s="6" t="s">
        <v>316</v>
      </c>
      <c r="E43" s="6" t="s">
        <v>400</v>
      </c>
      <c r="F43" s="6">
        <v>1024997</v>
      </c>
      <c r="G43" s="8" t="s">
        <v>62</v>
      </c>
      <c r="H43" s="129">
        <v>64206.610054715675</v>
      </c>
      <c r="I43" s="129">
        <v>13611.801331599723</v>
      </c>
      <c r="J43" s="9">
        <v>0</v>
      </c>
      <c r="K43" s="9">
        <v>34780</v>
      </c>
      <c r="L43" s="100">
        <v>7373.36</v>
      </c>
      <c r="M43" s="10">
        <v>0.65040032427211014</v>
      </c>
      <c r="N43" s="100">
        <v>6238.4413315997235</v>
      </c>
      <c r="O43" s="100">
        <v>0</v>
      </c>
      <c r="P43" s="10">
        <v>0.65575821224895914</v>
      </c>
      <c r="Q43" s="6">
        <v>32257</v>
      </c>
      <c r="R43" s="6">
        <v>6980</v>
      </c>
      <c r="S43" s="6">
        <v>25277</v>
      </c>
      <c r="T43" s="6">
        <v>0</v>
      </c>
      <c r="U43" s="6">
        <v>0</v>
      </c>
      <c r="V43" s="6">
        <v>0</v>
      </c>
      <c r="W43" s="6">
        <v>2</v>
      </c>
      <c r="X43" s="9">
        <v>143177.14285714287</v>
      </c>
      <c r="Y43" s="9">
        <v>5.2963062739463602</v>
      </c>
      <c r="Z43" s="9">
        <v>-2830.3899452843252</v>
      </c>
      <c r="AA43" s="132">
        <v>325527.51297740848</v>
      </c>
      <c r="AB43" s="132">
        <v>128164.53000000001</v>
      </c>
      <c r="AC43" s="11">
        <v>1.0440825320457243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2" t="s">
        <v>1</v>
      </c>
      <c r="BJ43" s="31" t="s">
        <v>812</v>
      </c>
    </row>
    <row r="44" spans="1:62" ht="12.5" customHeight="1" x14ac:dyDescent="0.35">
      <c r="A44" s="118"/>
      <c r="B44" s="30" t="s">
        <v>15</v>
      </c>
      <c r="C44" s="6" t="s">
        <v>5</v>
      </c>
      <c r="D44" s="6" t="s">
        <v>308</v>
      </c>
      <c r="E44" s="6" t="s">
        <v>315</v>
      </c>
      <c r="F44" s="6">
        <v>1073436</v>
      </c>
      <c r="G44" s="8" t="s">
        <v>635</v>
      </c>
      <c r="H44" s="129">
        <v>13612.000231722133</v>
      </c>
      <c r="I44" s="129">
        <v>3049.0880519057578</v>
      </c>
      <c r="J44" s="9">
        <v>0</v>
      </c>
      <c r="K44" s="9">
        <v>5712</v>
      </c>
      <c r="L44" s="100">
        <v>1279.4880000000001</v>
      </c>
      <c r="M44" s="10">
        <v>0.43373493237540522</v>
      </c>
      <c r="N44" s="100">
        <v>1769.6000519057577</v>
      </c>
      <c r="O44" s="100">
        <v>9.3670251565804392</v>
      </c>
      <c r="P44" s="10">
        <v>1.1691722718020565</v>
      </c>
      <c r="Q44" s="6">
        <v>4891</v>
      </c>
      <c r="R44" s="6">
        <v>192</v>
      </c>
      <c r="S44" s="6">
        <v>4699</v>
      </c>
      <c r="T44" s="6">
        <v>0</v>
      </c>
      <c r="U44" s="6">
        <v>0</v>
      </c>
      <c r="V44" s="6">
        <v>0</v>
      </c>
      <c r="W44" s="6">
        <v>0</v>
      </c>
      <c r="X44" s="9">
        <v>20242.285714285714</v>
      </c>
      <c r="Y44" s="9">
        <v>6.964134485094851</v>
      </c>
      <c r="Z44" s="9">
        <v>3009.0002317221333</v>
      </c>
      <c r="AA44" s="132">
        <v>60437.281028846279</v>
      </c>
      <c r="AB44" s="132">
        <v>20863.560000000001</v>
      </c>
      <c r="AC44" s="11">
        <v>0.77894503522635872</v>
      </c>
      <c r="AD44" s="71"/>
      <c r="AE44" s="71">
        <v>24.623909411546315</v>
      </c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126" t="s">
        <v>1</v>
      </c>
      <c r="BJ44" s="31" t="s">
        <v>813</v>
      </c>
    </row>
    <row r="45" spans="1:62" ht="12.75" customHeight="1" x14ac:dyDescent="0.35">
      <c r="A45" s="118"/>
      <c r="B45" s="30" t="s">
        <v>1</v>
      </c>
      <c r="C45" s="6" t="s">
        <v>2</v>
      </c>
      <c r="D45" s="6" t="s">
        <v>306</v>
      </c>
      <c r="E45" s="6" t="s">
        <v>401</v>
      </c>
      <c r="F45" s="61">
        <v>1076365</v>
      </c>
      <c r="G45" s="70" t="s">
        <v>724</v>
      </c>
      <c r="H45" s="129">
        <v>14302.728100824259</v>
      </c>
      <c r="I45" s="129">
        <v>12872.455290741833</v>
      </c>
      <c r="J45" s="9">
        <v>0</v>
      </c>
      <c r="K45" s="9">
        <v>1217</v>
      </c>
      <c r="L45" s="100">
        <v>1095.3</v>
      </c>
      <c r="M45" s="10">
        <v>0.12326319759224111</v>
      </c>
      <c r="N45" s="100">
        <v>11777.155290741834</v>
      </c>
      <c r="O45" s="100">
        <v>0</v>
      </c>
      <c r="P45" s="10">
        <v>0</v>
      </c>
      <c r="Q45" s="6">
        <v>4362</v>
      </c>
      <c r="R45" s="6">
        <v>546</v>
      </c>
      <c r="S45" s="6">
        <v>3816</v>
      </c>
      <c r="T45" s="6">
        <v>0</v>
      </c>
      <c r="U45" s="6">
        <v>0</v>
      </c>
      <c r="V45" s="6">
        <v>0</v>
      </c>
      <c r="W45" s="6">
        <v>4422</v>
      </c>
      <c r="X45" s="9">
        <v>14302.728100824259</v>
      </c>
      <c r="Y45" s="9">
        <v>8.0040674193759287</v>
      </c>
      <c r="Z45" s="9">
        <v>8723.7281008242589</v>
      </c>
      <c r="AA45" s="132">
        <v>267604.04276642192</v>
      </c>
      <c r="AB45" s="132">
        <v>154132.98000000001</v>
      </c>
      <c r="AC45" s="11">
        <v>0.39006544490477202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9</v>
      </c>
      <c r="C46" s="6" t="s">
        <v>5</v>
      </c>
      <c r="D46" s="6" t="s">
        <v>308</v>
      </c>
      <c r="E46" s="6" t="s">
        <v>803</v>
      </c>
      <c r="F46" s="6">
        <v>1079786</v>
      </c>
      <c r="G46" s="162" t="s">
        <v>809</v>
      </c>
      <c r="H46" s="129">
        <v>500</v>
      </c>
      <c r="I46" s="129">
        <v>250</v>
      </c>
      <c r="J46" s="9">
        <v>0</v>
      </c>
      <c r="K46" s="9">
        <v>1250</v>
      </c>
      <c r="L46" s="100">
        <v>625</v>
      </c>
      <c r="M46" s="10">
        <v>2.5</v>
      </c>
      <c r="N46" s="100">
        <v>375</v>
      </c>
      <c r="O46" s="100">
        <v>0</v>
      </c>
      <c r="P46" s="10">
        <v>0</v>
      </c>
      <c r="Q46" s="6">
        <v>1154</v>
      </c>
      <c r="R46" s="6">
        <v>0</v>
      </c>
      <c r="S46" s="6">
        <v>1154</v>
      </c>
      <c r="T46" s="6">
        <v>0</v>
      </c>
      <c r="U46" s="6">
        <v>0</v>
      </c>
      <c r="V46" s="6">
        <v>0</v>
      </c>
      <c r="W46" s="6">
        <v>0</v>
      </c>
      <c r="X46" s="9">
        <v>4285.7142857142853</v>
      </c>
      <c r="Y46" s="9">
        <v>8.0780000000000012</v>
      </c>
      <c r="Z46" s="9">
        <v>-1904</v>
      </c>
      <c r="AA46" s="132">
        <v>12555</v>
      </c>
      <c r="AB46" s="132">
        <v>28976.94</v>
      </c>
      <c r="AC46" s="11">
        <v>4.8079999999999998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2"/>
      <c r="BJ46" s="31"/>
    </row>
    <row r="47" spans="1:62" ht="12.5" customHeight="1" x14ac:dyDescent="0.35">
      <c r="A47" s="118"/>
      <c r="B47" s="30" t="s">
        <v>15</v>
      </c>
      <c r="C47" s="6" t="s">
        <v>5</v>
      </c>
      <c r="D47" s="6" t="s">
        <v>308</v>
      </c>
      <c r="E47" s="6" t="s">
        <v>315</v>
      </c>
      <c r="F47" s="6">
        <v>1073438</v>
      </c>
      <c r="G47" s="8" t="s">
        <v>634</v>
      </c>
      <c r="H47" s="129">
        <v>45954.882033875074</v>
      </c>
      <c r="I47" s="129">
        <v>17646.674701008029</v>
      </c>
      <c r="J47" s="9">
        <v>0</v>
      </c>
      <c r="K47" s="9">
        <v>10225</v>
      </c>
      <c r="L47" s="100">
        <v>3926.4</v>
      </c>
      <c r="M47" s="10">
        <v>0.27263697447344992</v>
      </c>
      <c r="N47" s="100">
        <v>13720.274701008029</v>
      </c>
      <c r="O47" s="100">
        <v>0</v>
      </c>
      <c r="P47" s="10">
        <v>0</v>
      </c>
      <c r="Q47" s="6">
        <v>15005</v>
      </c>
      <c r="R47" s="6">
        <v>2304</v>
      </c>
      <c r="S47" s="6">
        <v>12701</v>
      </c>
      <c r="T47" s="6">
        <v>4320</v>
      </c>
      <c r="U47" s="6">
        <v>0</v>
      </c>
      <c r="V47" s="6">
        <v>0</v>
      </c>
      <c r="W47" s="6">
        <v>0</v>
      </c>
      <c r="X47" s="9">
        <v>45954.882033875074</v>
      </c>
      <c r="Y47" s="9">
        <v>8.29139327828387</v>
      </c>
      <c r="Z47" s="9">
        <v>16404.882033875074</v>
      </c>
      <c r="AA47" s="132">
        <v>286758.46389138047</v>
      </c>
      <c r="AB47" s="132">
        <v>106211.04000000001</v>
      </c>
      <c r="AC47" s="11">
        <v>0.64302199662307002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2"/>
      <c r="BJ47" s="31" t="s">
        <v>807</v>
      </c>
    </row>
    <row r="48" spans="1:62" ht="12.5" customHeight="1" x14ac:dyDescent="0.35">
      <c r="A48" s="118"/>
      <c r="B48" s="30" t="s">
        <v>21</v>
      </c>
      <c r="C48" s="6" t="s">
        <v>5</v>
      </c>
      <c r="D48" s="6" t="s">
        <v>396</v>
      </c>
      <c r="E48" s="6" t="s">
        <v>307</v>
      </c>
      <c r="F48" s="6">
        <v>1058296</v>
      </c>
      <c r="G48" s="8" t="s">
        <v>249</v>
      </c>
      <c r="H48" s="129">
        <v>5803.4381918460649</v>
      </c>
      <c r="I48" s="129">
        <v>2901.7190959230325</v>
      </c>
      <c r="J48" s="9">
        <v>0</v>
      </c>
      <c r="K48" s="9">
        <v>434</v>
      </c>
      <c r="L48" s="100">
        <v>217</v>
      </c>
      <c r="M48" s="10">
        <v>0.14370791458962809</v>
      </c>
      <c r="N48" s="100">
        <v>2684.7190959230325</v>
      </c>
      <c r="O48" s="100">
        <v>0</v>
      </c>
      <c r="P48" s="10">
        <v>0.40700647800886469</v>
      </c>
      <c r="Q48" s="6">
        <v>2174</v>
      </c>
      <c r="R48" s="6">
        <v>400</v>
      </c>
      <c r="S48" s="6">
        <v>1774</v>
      </c>
      <c r="T48" s="6">
        <v>0</v>
      </c>
      <c r="U48" s="6">
        <v>0</v>
      </c>
      <c r="V48" s="6">
        <v>2752</v>
      </c>
      <c r="W48" s="6">
        <v>0</v>
      </c>
      <c r="X48" s="9">
        <v>5803.4381918460649</v>
      </c>
      <c r="Y48" s="9">
        <v>9.1704259166187132</v>
      </c>
      <c r="Z48" s="9">
        <v>3195.4381918460649</v>
      </c>
      <c r="AA48" s="132">
        <v>32209.081964745659</v>
      </c>
      <c r="AB48" s="132">
        <v>25119.3</v>
      </c>
      <c r="AC48" s="11">
        <v>0.4493887784769186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/>
      <c r="BJ48" s="31"/>
    </row>
    <row r="49" spans="1:62" ht="12.75" customHeight="1" x14ac:dyDescent="0.35">
      <c r="A49" s="118"/>
      <c r="B49" s="30" t="s">
        <v>31</v>
      </c>
      <c r="C49" s="6" t="s">
        <v>5</v>
      </c>
      <c r="D49" s="6" t="s">
        <v>306</v>
      </c>
      <c r="E49" s="6" t="s">
        <v>404</v>
      </c>
      <c r="F49" s="6">
        <v>1072597</v>
      </c>
      <c r="G49" s="8" t="s">
        <v>611</v>
      </c>
      <c r="H49" s="129">
        <v>1286.8377610651905</v>
      </c>
      <c r="I49" s="129">
        <v>643.41888053259527</v>
      </c>
      <c r="J49" s="9">
        <v>0</v>
      </c>
      <c r="K49" s="9">
        <v>98</v>
      </c>
      <c r="L49" s="100">
        <v>49</v>
      </c>
      <c r="M49" s="10">
        <v>0.21603344913494241</v>
      </c>
      <c r="N49" s="100">
        <v>594.41888053259527</v>
      </c>
      <c r="O49" s="100">
        <v>0</v>
      </c>
      <c r="P49" s="10">
        <v>0.73650063616489203</v>
      </c>
      <c r="Q49" s="6">
        <v>596</v>
      </c>
      <c r="R49" s="6">
        <v>180</v>
      </c>
      <c r="S49" s="6">
        <v>416</v>
      </c>
      <c r="T49" s="6">
        <v>0</v>
      </c>
      <c r="U49" s="6">
        <v>0</v>
      </c>
      <c r="V49" s="6">
        <v>0</v>
      </c>
      <c r="W49" s="6">
        <v>0</v>
      </c>
      <c r="X49" s="9">
        <v>1286.8377610651905</v>
      </c>
      <c r="Y49" s="9">
        <v>9.698192248935543</v>
      </c>
      <c r="Z49" s="9">
        <v>592.83776106519053</v>
      </c>
      <c r="AA49" s="132">
        <v>9934.3875154232701</v>
      </c>
      <c r="AB49" s="132">
        <v>3211.52</v>
      </c>
      <c r="AC49" s="11">
        <v>0.53930652409946056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 t="s">
        <v>822</v>
      </c>
    </row>
    <row r="50" spans="1:62" ht="12.75" customHeight="1" x14ac:dyDescent="0.35">
      <c r="A50" s="118"/>
      <c r="B50" s="30" t="s">
        <v>27</v>
      </c>
      <c r="C50" s="6" t="s">
        <v>5</v>
      </c>
      <c r="D50" s="6" t="s">
        <v>312</v>
      </c>
      <c r="E50" s="6" t="s">
        <v>313</v>
      </c>
      <c r="F50" s="148">
        <v>1072351</v>
      </c>
      <c r="G50" s="149" t="s">
        <v>595</v>
      </c>
      <c r="H50" s="129">
        <v>280325.85517184448</v>
      </c>
      <c r="I50" s="129">
        <v>63914.294979180544</v>
      </c>
      <c r="J50" s="9">
        <v>0</v>
      </c>
      <c r="K50" s="9">
        <v>47531</v>
      </c>
      <c r="L50" s="100">
        <v>10837.068000000001</v>
      </c>
      <c r="M50" s="10">
        <v>0.19468057973655414</v>
      </c>
      <c r="N50" s="100">
        <v>53077.226979180545</v>
      </c>
      <c r="O50" s="100">
        <v>0</v>
      </c>
      <c r="P50" s="10">
        <v>0.73724137931034484</v>
      </c>
      <c r="Q50" s="6">
        <v>103163</v>
      </c>
      <c r="R50" s="6">
        <v>7043</v>
      </c>
      <c r="S50" s="6">
        <v>96120</v>
      </c>
      <c r="T50" s="6">
        <v>0</v>
      </c>
      <c r="U50" s="6">
        <v>0</v>
      </c>
      <c r="V50" s="6">
        <v>0</v>
      </c>
      <c r="W50" s="6">
        <v>0</v>
      </c>
      <c r="X50" s="9">
        <v>280325.85517184448</v>
      </c>
      <c r="Y50" s="9">
        <v>10.286600207577372</v>
      </c>
      <c r="Z50" s="9">
        <v>129631.85517184448</v>
      </c>
      <c r="AA50" s="132">
        <v>538225.64192994137</v>
      </c>
      <c r="AB50" s="132">
        <v>184550.39999999999</v>
      </c>
      <c r="AC50" s="11">
        <v>0.53756725332246658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2"/>
      <c r="BJ50" s="31" t="s">
        <v>817</v>
      </c>
    </row>
    <row r="51" spans="1:62" ht="12.5" customHeight="1" x14ac:dyDescent="0.35">
      <c r="A51" s="118"/>
      <c r="B51" s="30" t="s">
        <v>21</v>
      </c>
      <c r="C51" s="6" t="s">
        <v>5</v>
      </c>
      <c r="D51" s="6" t="s">
        <v>396</v>
      </c>
      <c r="E51" s="6" t="s">
        <v>307</v>
      </c>
      <c r="F51" s="123">
        <v>1082268</v>
      </c>
      <c r="G51" s="124" t="s">
        <v>773</v>
      </c>
      <c r="H51" s="129">
        <v>7988.1708583734708</v>
      </c>
      <c r="I51" s="129">
        <v>1597.6341716746942</v>
      </c>
      <c r="J51" s="9">
        <v>0</v>
      </c>
      <c r="K51" s="9">
        <v>3104</v>
      </c>
      <c r="L51" s="100">
        <v>620.80000000000007</v>
      </c>
      <c r="M51" s="10">
        <v>0.4366456428937997</v>
      </c>
      <c r="N51" s="100">
        <v>976.83417167469418</v>
      </c>
      <c r="O51" s="100">
        <v>9.3501538754522819</v>
      </c>
      <c r="P51" s="10">
        <v>1.3814837542702303</v>
      </c>
      <c r="Q51" s="6">
        <v>4620</v>
      </c>
      <c r="R51" s="6">
        <v>384</v>
      </c>
      <c r="S51" s="6">
        <v>4236</v>
      </c>
      <c r="T51" s="6">
        <v>0</v>
      </c>
      <c r="U51" s="6">
        <v>0</v>
      </c>
      <c r="V51" s="6">
        <v>0</v>
      </c>
      <c r="W51" s="6">
        <v>0</v>
      </c>
      <c r="X51" s="9">
        <v>11958.857142857143</v>
      </c>
      <c r="Y51" s="9">
        <v>10.626433486238533</v>
      </c>
      <c r="Z51" s="9">
        <v>264.17085837347076</v>
      </c>
      <c r="AA51" s="132">
        <v>19251.491768680065</v>
      </c>
      <c r="AB51" s="132">
        <v>10208.76</v>
      </c>
      <c r="AC51" s="11">
        <v>0.96692974361000827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/>
    </row>
    <row r="52" spans="1:62" ht="12.5" customHeight="1" x14ac:dyDescent="0.35">
      <c r="A52" s="118"/>
      <c r="B52" s="30" t="s">
        <v>21</v>
      </c>
      <c r="C52" s="6" t="s">
        <v>2</v>
      </c>
      <c r="D52" s="6" t="s">
        <v>308</v>
      </c>
      <c r="E52" s="6" t="s">
        <v>395</v>
      </c>
      <c r="F52" s="61">
        <v>1070484</v>
      </c>
      <c r="G52" s="70" t="s">
        <v>615</v>
      </c>
      <c r="H52" s="129">
        <v>1800</v>
      </c>
      <c r="I52" s="129">
        <v>170.1</v>
      </c>
      <c r="J52" s="9">
        <v>0</v>
      </c>
      <c r="K52" s="9">
        <v>127</v>
      </c>
      <c r="L52" s="100">
        <v>12.0015</v>
      </c>
      <c r="M52" s="10">
        <v>0.44277777777777777</v>
      </c>
      <c r="N52" s="100">
        <v>158.0985</v>
      </c>
      <c r="O52" s="100">
        <v>0</v>
      </c>
      <c r="P52" s="10">
        <v>0.46443305781390104</v>
      </c>
      <c r="Q52" s="6">
        <v>1639</v>
      </c>
      <c r="R52" s="6">
        <v>670</v>
      </c>
      <c r="S52" s="6">
        <v>969</v>
      </c>
      <c r="T52" s="6">
        <v>0</v>
      </c>
      <c r="U52" s="6">
        <v>0</v>
      </c>
      <c r="V52" s="6">
        <v>0</v>
      </c>
      <c r="W52" s="6">
        <v>0</v>
      </c>
      <c r="X52" s="9">
        <v>2732.5714285714284</v>
      </c>
      <c r="Y52" s="9">
        <v>10.638331242158094</v>
      </c>
      <c r="Z52" s="9">
        <v>34</v>
      </c>
      <c r="AA52" s="132">
        <v>13968</v>
      </c>
      <c r="AB52" s="132">
        <v>7519.44</v>
      </c>
      <c r="AC52" s="11">
        <v>0.98111111111111116</v>
      </c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2" t="s">
        <v>1</v>
      </c>
      <c r="BJ52" s="31"/>
    </row>
    <row r="53" spans="1:62" ht="12.75" customHeight="1" x14ac:dyDescent="0.35">
      <c r="A53" s="118"/>
      <c r="B53" s="30" t="s">
        <v>1</v>
      </c>
      <c r="C53" s="6" t="s">
        <v>50</v>
      </c>
      <c r="D53" s="6" t="s">
        <v>310</v>
      </c>
      <c r="E53" s="6" t="s">
        <v>403</v>
      </c>
      <c r="F53" s="6">
        <v>1076301</v>
      </c>
      <c r="G53" s="8" t="s">
        <v>691</v>
      </c>
      <c r="H53" s="129">
        <v>19270.129703929786</v>
      </c>
      <c r="I53" s="129">
        <v>2505.1168615108722</v>
      </c>
      <c r="J53" s="9">
        <v>0</v>
      </c>
      <c r="K53" s="9">
        <v>4592</v>
      </c>
      <c r="L53" s="100">
        <v>596.96</v>
      </c>
      <c r="M53" s="10">
        <v>0.35526486355739917</v>
      </c>
      <c r="N53" s="100">
        <v>1908.1568615108722</v>
      </c>
      <c r="O53" s="100">
        <v>0</v>
      </c>
      <c r="P53" s="10">
        <v>0.70781394122247632</v>
      </c>
      <c r="Q53" s="6">
        <v>10778</v>
      </c>
      <c r="R53" s="6">
        <v>2254</v>
      </c>
      <c r="S53" s="6">
        <v>8524</v>
      </c>
      <c r="T53" s="6">
        <v>0</v>
      </c>
      <c r="U53" s="6">
        <v>0</v>
      </c>
      <c r="V53" s="6">
        <v>0</v>
      </c>
      <c r="W53" s="6">
        <v>0</v>
      </c>
      <c r="X53" s="9">
        <v>23472.000000000004</v>
      </c>
      <c r="Y53" s="9">
        <v>10.894683026584865</v>
      </c>
      <c r="Z53" s="9">
        <v>3900.129703929786</v>
      </c>
      <c r="AA53" s="132">
        <v>87679.090152880526</v>
      </c>
      <c r="AB53" s="132">
        <v>38784.199999999997</v>
      </c>
      <c r="AC53" s="11">
        <v>0.79760750115063173</v>
      </c>
      <c r="AD53" s="71"/>
      <c r="AE53" s="71">
        <v>0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1</v>
      </c>
      <c r="C54" s="6" t="s">
        <v>2</v>
      </c>
      <c r="D54" s="6" t="s">
        <v>310</v>
      </c>
      <c r="E54" s="6" t="s">
        <v>311</v>
      </c>
      <c r="F54" s="123">
        <v>1080749</v>
      </c>
      <c r="G54" s="124" t="s">
        <v>769</v>
      </c>
      <c r="H54" s="173">
        <v>7737.0674500905316</v>
      </c>
      <c r="I54" s="129">
        <v>1392.6721410162957</v>
      </c>
      <c r="J54" s="9">
        <v>0</v>
      </c>
      <c r="K54" s="9">
        <v>4558</v>
      </c>
      <c r="L54" s="100">
        <v>820.43999999999994</v>
      </c>
      <c r="M54" s="10">
        <v>0.61935611016857928</v>
      </c>
      <c r="N54" s="100">
        <v>572.23214101629571</v>
      </c>
      <c r="O54" s="100">
        <v>0</v>
      </c>
      <c r="P54" s="10">
        <v>0</v>
      </c>
      <c r="Q54" s="6">
        <v>6465</v>
      </c>
      <c r="R54" s="6">
        <v>234</v>
      </c>
      <c r="S54" s="6">
        <v>6231</v>
      </c>
      <c r="T54" s="6">
        <v>0</v>
      </c>
      <c r="U54" s="6">
        <v>0</v>
      </c>
      <c r="V54" s="6">
        <v>0</v>
      </c>
      <c r="W54" s="6">
        <v>3</v>
      </c>
      <c r="X54" s="9">
        <v>16429.714285714286</v>
      </c>
      <c r="Y54" s="9">
        <v>11.377556343906509</v>
      </c>
      <c r="Z54" s="9">
        <v>-3285.9325499094684</v>
      </c>
      <c r="AA54" s="132">
        <v>30716.157776859411</v>
      </c>
      <c r="AB54" s="132">
        <v>24748.98</v>
      </c>
      <c r="AC54" s="11">
        <v>1.4247000004983825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2"/>
      <c r="BJ54" s="31" t="s">
        <v>821</v>
      </c>
    </row>
    <row r="55" spans="1:62" ht="12.75" customHeight="1" x14ac:dyDescent="0.35">
      <c r="A55" s="118"/>
      <c r="B55" s="30" t="s">
        <v>1</v>
      </c>
      <c r="C55" s="6" t="s">
        <v>24</v>
      </c>
      <c r="D55" s="6" t="s">
        <v>316</v>
      </c>
      <c r="E55" s="6" t="s">
        <v>400</v>
      </c>
      <c r="F55" s="6">
        <v>1057538</v>
      </c>
      <c r="G55" s="4" t="s">
        <v>450</v>
      </c>
      <c r="H55" s="129">
        <v>5783.2229539555683</v>
      </c>
      <c r="I55" s="129">
        <v>4915.7395108622331</v>
      </c>
      <c r="J55" s="9">
        <v>0</v>
      </c>
      <c r="K55" s="9">
        <v>2263</v>
      </c>
      <c r="L55" s="100">
        <v>1923.55</v>
      </c>
      <c r="M55" s="10">
        <v>0.58669707652880299</v>
      </c>
      <c r="N55" s="100">
        <v>2992.189510862233</v>
      </c>
      <c r="O55" s="100">
        <v>25.942455056052843</v>
      </c>
      <c r="P55" s="10">
        <v>57.577142314021508</v>
      </c>
      <c r="Q55" s="6">
        <v>5710</v>
      </c>
      <c r="R55" s="6">
        <v>1130</v>
      </c>
      <c r="S55" s="6">
        <v>4580</v>
      </c>
      <c r="T55" s="6">
        <v>0</v>
      </c>
      <c r="U55" s="6">
        <v>0</v>
      </c>
      <c r="V55" s="6">
        <v>0</v>
      </c>
      <c r="W55" s="6">
        <v>0</v>
      </c>
      <c r="X55" s="9">
        <v>11633.142857142857</v>
      </c>
      <c r="Y55" s="9">
        <v>11.811081638667845</v>
      </c>
      <c r="Z55" s="9">
        <v>-2189.7770460444317</v>
      </c>
      <c r="AA55" s="132">
        <v>107047.45687771757</v>
      </c>
      <c r="AB55" s="132">
        <v>84775.8</v>
      </c>
      <c r="AC55" s="11">
        <v>1.3786430271630257</v>
      </c>
      <c r="AD55" s="71"/>
      <c r="AE55" s="71" t="s">
        <v>574</v>
      </c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 t="s">
        <v>1</v>
      </c>
      <c r="BJ55" s="31"/>
    </row>
    <row r="56" spans="1:62" ht="12.5" customHeight="1" x14ac:dyDescent="0.35">
      <c r="A56" s="118"/>
      <c r="B56" s="30" t="s">
        <v>9</v>
      </c>
      <c r="C56" s="6" t="s">
        <v>5</v>
      </c>
      <c r="D56" s="6" t="s">
        <v>308</v>
      </c>
      <c r="E56" s="6" t="s">
        <v>803</v>
      </c>
      <c r="F56" s="6">
        <v>1079785</v>
      </c>
      <c r="G56" s="162" t="s">
        <v>814</v>
      </c>
      <c r="H56" s="129">
        <v>500</v>
      </c>
      <c r="I56" s="129">
        <v>250</v>
      </c>
      <c r="J56" s="9">
        <v>0</v>
      </c>
      <c r="K56" s="9">
        <v>1600</v>
      </c>
      <c r="L56" s="100">
        <v>800</v>
      </c>
      <c r="M56" s="10">
        <v>3.2</v>
      </c>
      <c r="N56" s="100">
        <v>550</v>
      </c>
      <c r="O56" s="100">
        <v>0</v>
      </c>
      <c r="P56" s="10">
        <v>0</v>
      </c>
      <c r="Q56" s="6">
        <v>2312</v>
      </c>
      <c r="R56" s="6">
        <v>0</v>
      </c>
      <c r="S56" s="6">
        <v>2312</v>
      </c>
      <c r="T56" s="6">
        <v>0</v>
      </c>
      <c r="U56" s="6">
        <v>0</v>
      </c>
      <c r="V56" s="6">
        <v>0</v>
      </c>
      <c r="W56" s="6">
        <v>0</v>
      </c>
      <c r="X56" s="9">
        <v>5485.7142857142853</v>
      </c>
      <c r="Y56" s="9">
        <v>12.643750000000001</v>
      </c>
      <c r="Z56" s="9">
        <v>-3412</v>
      </c>
      <c r="AA56" s="132">
        <v>11250</v>
      </c>
      <c r="AB56" s="132">
        <v>52020</v>
      </c>
      <c r="AC56" s="11">
        <v>7.8239999999999998</v>
      </c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/>
      <c r="BJ56" s="31"/>
    </row>
    <row r="57" spans="1:62" ht="14" customHeight="1" x14ac:dyDescent="0.35">
      <c r="A57" s="118"/>
      <c r="B57" s="30" t="s">
        <v>1</v>
      </c>
      <c r="C57" s="6" t="s">
        <v>50</v>
      </c>
      <c r="D57" s="6" t="s">
        <v>310</v>
      </c>
      <c r="E57" s="6" t="s">
        <v>403</v>
      </c>
      <c r="F57" s="6">
        <v>1061420</v>
      </c>
      <c r="G57" s="8" t="s">
        <v>537</v>
      </c>
      <c r="H57" s="129">
        <v>13636.527147160639</v>
      </c>
      <c r="I57" s="129">
        <v>1772.7485291308831</v>
      </c>
      <c r="J57" s="9">
        <v>0</v>
      </c>
      <c r="K57" s="9">
        <v>1121</v>
      </c>
      <c r="L57" s="100">
        <v>145.73000000000002</v>
      </c>
      <c r="M57" s="10">
        <v>0.19411100578868068</v>
      </c>
      <c r="N57" s="100">
        <v>1627.0185291308831</v>
      </c>
      <c r="O57" s="100">
        <v>0</v>
      </c>
      <c r="P57" s="10">
        <v>0.97023350787840634</v>
      </c>
      <c r="Q57" s="6">
        <v>7502</v>
      </c>
      <c r="R57" s="6">
        <v>1526</v>
      </c>
      <c r="S57" s="6">
        <v>5976</v>
      </c>
      <c r="T57" s="6">
        <v>0</v>
      </c>
      <c r="U57" s="6">
        <v>14</v>
      </c>
      <c r="V57" s="6">
        <v>0</v>
      </c>
      <c r="W57" s="6">
        <v>0</v>
      </c>
      <c r="X57" s="9">
        <v>13636.527147160639</v>
      </c>
      <c r="Y57" s="9">
        <v>13.147042356552577</v>
      </c>
      <c r="Z57" s="9">
        <v>5013.5271471606393</v>
      </c>
      <c r="AA57" s="132">
        <v>60955.276347808052</v>
      </c>
      <c r="AB57" s="132">
        <v>26775.3</v>
      </c>
      <c r="AC57" s="11">
        <v>0.63234575100709989</v>
      </c>
      <c r="AD57" s="71"/>
      <c r="AE57" s="71" t="s">
        <v>574</v>
      </c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1</v>
      </c>
      <c r="C58" s="6" t="s">
        <v>24</v>
      </c>
      <c r="D58" s="6" t="s">
        <v>316</v>
      </c>
      <c r="E58" s="6" t="s">
        <v>317</v>
      </c>
      <c r="F58" s="6">
        <v>1070881</v>
      </c>
      <c r="G58" s="4" t="s">
        <v>684</v>
      </c>
      <c r="H58" s="129">
        <v>817.98821238750725</v>
      </c>
      <c r="I58" s="129">
        <v>88.342726937850784</v>
      </c>
      <c r="J58" s="9">
        <v>0</v>
      </c>
      <c r="K58" s="9">
        <v>285</v>
      </c>
      <c r="L58" s="100">
        <v>30.78</v>
      </c>
      <c r="M58" s="10">
        <v>0.49022711321178969</v>
      </c>
      <c r="N58" s="100">
        <v>57.562726937850783</v>
      </c>
      <c r="O58" s="100">
        <v>15.753558310988762</v>
      </c>
      <c r="P58" s="10">
        <v>1.6346414618561793</v>
      </c>
      <c r="Q58" s="6">
        <v>759</v>
      </c>
      <c r="R58" s="6">
        <v>116</v>
      </c>
      <c r="S58" s="6">
        <v>643</v>
      </c>
      <c r="T58" s="6">
        <v>0</v>
      </c>
      <c r="U58" s="6">
        <v>0</v>
      </c>
      <c r="V58" s="6">
        <v>0</v>
      </c>
      <c r="W58" s="6">
        <v>0</v>
      </c>
      <c r="X58" s="9">
        <v>1374.8571428571429</v>
      </c>
      <c r="Y58" s="9">
        <v>14.030548628428928</v>
      </c>
      <c r="Z58" s="9">
        <v>-226.01178761249275</v>
      </c>
      <c r="AA58" s="132">
        <v>4335.3375256537884</v>
      </c>
      <c r="AB58" s="132">
        <v>3407.9</v>
      </c>
      <c r="AC58" s="11">
        <v>1.2763020104566296</v>
      </c>
      <c r="AD58" s="71"/>
      <c r="AE58" s="71" t="s">
        <v>574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1</v>
      </c>
      <c r="C59" s="6" t="s">
        <v>2</v>
      </c>
      <c r="D59" s="6" t="s">
        <v>396</v>
      </c>
      <c r="E59" s="6" t="s">
        <v>397</v>
      </c>
      <c r="F59" s="6">
        <v>1043306</v>
      </c>
      <c r="G59" s="4" t="s">
        <v>10</v>
      </c>
      <c r="H59" s="129">
        <v>641</v>
      </c>
      <c r="I59" s="129">
        <v>641</v>
      </c>
      <c r="J59" s="9">
        <v>0</v>
      </c>
      <c r="K59" s="9">
        <v>543</v>
      </c>
      <c r="L59" s="100">
        <v>543</v>
      </c>
      <c r="M59" s="10">
        <v>0.84711388455538217</v>
      </c>
      <c r="N59" s="100">
        <v>98</v>
      </c>
      <c r="O59" s="100">
        <v>19.811251015551264</v>
      </c>
      <c r="P59" s="10">
        <v>1.7170097083734077</v>
      </c>
      <c r="Q59" s="6">
        <v>934</v>
      </c>
      <c r="R59" s="6">
        <v>0</v>
      </c>
      <c r="S59" s="6">
        <v>934</v>
      </c>
      <c r="T59" s="6">
        <v>0</v>
      </c>
      <c r="U59" s="6">
        <v>0</v>
      </c>
      <c r="V59" s="6">
        <v>0</v>
      </c>
      <c r="W59" s="6">
        <v>9</v>
      </c>
      <c r="X59" s="9">
        <v>1861.7142857142853</v>
      </c>
      <c r="Y59" s="9">
        <v>15.050644567219157</v>
      </c>
      <c r="Z59" s="9">
        <v>-836</v>
      </c>
      <c r="AA59" s="132">
        <v>19364.61</v>
      </c>
      <c r="AB59" s="132">
        <v>28488.030000000002</v>
      </c>
      <c r="AC59" s="11">
        <v>2.3042121684867394</v>
      </c>
      <c r="AD59" s="71"/>
      <c r="AE59" s="71">
        <v>21.67148988350705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1</v>
      </c>
      <c r="C60" s="6" t="s">
        <v>2</v>
      </c>
      <c r="D60" s="6" t="s">
        <v>306</v>
      </c>
      <c r="E60" s="6" t="s">
        <v>401</v>
      </c>
      <c r="F60" s="6">
        <v>1077615</v>
      </c>
      <c r="G60" s="8" t="s">
        <v>725</v>
      </c>
      <c r="H60" s="129">
        <v>3848.7630089802624</v>
      </c>
      <c r="I60" s="129">
        <v>2116.8196549391446</v>
      </c>
      <c r="J60" s="9">
        <v>0</v>
      </c>
      <c r="K60" s="9">
        <v>612</v>
      </c>
      <c r="L60" s="100">
        <v>336.6</v>
      </c>
      <c r="M60" s="10">
        <v>0.29308117890554813</v>
      </c>
      <c r="N60" s="100">
        <v>1780.2196549391447</v>
      </c>
      <c r="O60" s="100">
        <v>4.0771873983883173</v>
      </c>
      <c r="P60" s="10">
        <v>1.1571873474281942</v>
      </c>
      <c r="Q60" s="6">
        <v>2484</v>
      </c>
      <c r="R60" s="6">
        <v>516</v>
      </c>
      <c r="S60" s="6">
        <v>1968</v>
      </c>
      <c r="T60" s="6">
        <v>0</v>
      </c>
      <c r="U60" s="6">
        <v>0</v>
      </c>
      <c r="V60" s="6">
        <v>0</v>
      </c>
      <c r="W60" s="6">
        <v>0</v>
      </c>
      <c r="X60" s="9">
        <v>3867.4285714285716</v>
      </c>
      <c r="Y60" s="9">
        <v>15.26595744680851</v>
      </c>
      <c r="Z60" s="9">
        <v>752.76300898026238</v>
      </c>
      <c r="AA60" s="132">
        <v>24478.132737114469</v>
      </c>
      <c r="AB60" s="132">
        <v>12516.480000000001</v>
      </c>
      <c r="AC60" s="11">
        <v>0.80441429954927035</v>
      </c>
      <c r="AD60" s="71"/>
      <c r="AE60" s="71">
        <v>532.11500000000001</v>
      </c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 t="s">
        <v>1</v>
      </c>
      <c r="BJ60" s="31"/>
    </row>
    <row r="61" spans="1:62" ht="12.75" customHeight="1" x14ac:dyDescent="0.35">
      <c r="A61" s="118"/>
      <c r="B61" s="30" t="s">
        <v>15</v>
      </c>
      <c r="C61" s="6" t="s">
        <v>5</v>
      </c>
      <c r="D61" s="6" t="s">
        <v>312</v>
      </c>
      <c r="E61" s="6" t="s">
        <v>315</v>
      </c>
      <c r="F61" s="6">
        <v>1078686</v>
      </c>
      <c r="G61" s="8" t="s">
        <v>720</v>
      </c>
      <c r="H61" s="129">
        <v>2564.0244102439024</v>
      </c>
      <c r="I61" s="129">
        <v>269.22256307560974</v>
      </c>
      <c r="J61" s="9">
        <v>0</v>
      </c>
      <c r="K61" s="9">
        <v>2617</v>
      </c>
      <c r="L61" s="100">
        <v>274.78499999999997</v>
      </c>
      <c r="M61" s="10">
        <v>1.0323614663825313</v>
      </c>
      <c r="N61" s="100">
        <v>5.5624369243902265</v>
      </c>
      <c r="O61" s="100">
        <v>3.5990868887087295</v>
      </c>
      <c r="P61" s="10">
        <v>3.9437299119071763</v>
      </c>
      <c r="Q61" s="6">
        <v>4768</v>
      </c>
      <c r="R61" s="6">
        <v>30</v>
      </c>
      <c r="S61" s="6">
        <v>4738</v>
      </c>
      <c r="T61" s="6">
        <v>0</v>
      </c>
      <c r="U61" s="6">
        <v>0</v>
      </c>
      <c r="V61" s="6">
        <v>0</v>
      </c>
      <c r="W61" s="6">
        <v>0</v>
      </c>
      <c r="X61" s="9">
        <v>9075.4285714285706</v>
      </c>
      <c r="Y61" s="9">
        <v>15.662070268228183</v>
      </c>
      <c r="Z61" s="9">
        <v>-4820.9755897560972</v>
      </c>
      <c r="AA61" s="132">
        <v>3589.6341743414632</v>
      </c>
      <c r="AB61" s="132">
        <v>6633.2</v>
      </c>
      <c r="AC61" s="11">
        <v>2.8802377896618787</v>
      </c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2"/>
      <c r="BJ61" s="31"/>
    </row>
    <row r="62" spans="1:62" ht="12.75" customHeight="1" x14ac:dyDescent="0.35">
      <c r="A62" s="118"/>
      <c r="B62" s="30" t="s">
        <v>9</v>
      </c>
      <c r="C62" s="6" t="s">
        <v>5</v>
      </c>
      <c r="D62" s="6" t="s">
        <v>308</v>
      </c>
      <c r="E62" s="6" t="s">
        <v>315</v>
      </c>
      <c r="F62" s="133">
        <v>1080403</v>
      </c>
      <c r="G62" s="134" t="s">
        <v>743</v>
      </c>
      <c r="H62" s="129">
        <v>485.01794764309119</v>
      </c>
      <c r="I62" s="129">
        <v>388.014358114473</v>
      </c>
      <c r="J62" s="9">
        <v>0</v>
      </c>
      <c r="K62" s="9">
        <v>286</v>
      </c>
      <c r="L62" s="100">
        <v>228.8</v>
      </c>
      <c r="M62" s="10">
        <v>0.64121338501241343</v>
      </c>
      <c r="N62" s="100">
        <v>159.21435811447299</v>
      </c>
      <c r="O62" s="100">
        <v>0</v>
      </c>
      <c r="P62" s="10">
        <v>0.7802688471951692</v>
      </c>
      <c r="Q62" s="6">
        <v>583</v>
      </c>
      <c r="R62" s="6">
        <v>25</v>
      </c>
      <c r="S62" s="6">
        <v>558</v>
      </c>
      <c r="T62" s="6">
        <v>0</v>
      </c>
      <c r="U62" s="6">
        <v>0</v>
      </c>
      <c r="V62" s="6">
        <v>0</v>
      </c>
      <c r="W62" s="6">
        <v>0</v>
      </c>
      <c r="X62" s="9">
        <v>1066.2857142857142</v>
      </c>
      <c r="Y62" s="9">
        <v>15.699356913183282</v>
      </c>
      <c r="Z62" s="9">
        <v>-383.98205235690881</v>
      </c>
      <c r="AA62" s="132">
        <v>9700.3589528618231</v>
      </c>
      <c r="AB62" s="132">
        <v>11160</v>
      </c>
      <c r="AC62" s="11">
        <v>1.7916862751633031</v>
      </c>
      <c r="AD62" s="71"/>
      <c r="AE62" s="71">
        <v>46.744578313253015</v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1</v>
      </c>
      <c r="C63" s="6" t="s">
        <v>2</v>
      </c>
      <c r="D63" s="6" t="s">
        <v>310</v>
      </c>
      <c r="E63" s="6" t="s">
        <v>311</v>
      </c>
      <c r="F63" s="123">
        <v>1080401</v>
      </c>
      <c r="G63" s="124" t="s">
        <v>754</v>
      </c>
      <c r="H63" s="129">
        <v>14117.600009999998</v>
      </c>
      <c r="I63" s="129">
        <v>0</v>
      </c>
      <c r="J63" s="9">
        <v>0</v>
      </c>
      <c r="K63" s="9">
        <v>15316</v>
      </c>
      <c r="L63" s="100">
        <v>0</v>
      </c>
      <c r="M63" s="10">
        <v>1.1290870961572173</v>
      </c>
      <c r="N63" s="100">
        <v>0</v>
      </c>
      <c r="O63" s="100">
        <v>0</v>
      </c>
      <c r="P63" s="10">
        <v>0.37150545470378832</v>
      </c>
      <c r="Q63" s="6">
        <v>29778</v>
      </c>
      <c r="R63" s="6">
        <v>624</v>
      </c>
      <c r="S63" s="6">
        <v>29154</v>
      </c>
      <c r="T63" s="6">
        <v>0</v>
      </c>
      <c r="U63" s="6">
        <v>0</v>
      </c>
      <c r="V63" s="6">
        <v>0</v>
      </c>
      <c r="W63" s="6">
        <v>24</v>
      </c>
      <c r="X63" s="9">
        <v>54651.428571428558</v>
      </c>
      <c r="Y63" s="9">
        <v>16.003607277289841</v>
      </c>
      <c r="Z63" s="9">
        <v>-30976.399990000002</v>
      </c>
      <c r="AA63" s="132">
        <v>19341.1120137</v>
      </c>
      <c r="AB63" s="132">
        <v>39973.86</v>
      </c>
      <c r="AC63" s="11">
        <v>3.1941689783007252</v>
      </c>
      <c r="AD63" s="71"/>
      <c r="AE63" s="71">
        <v>18.119303797468355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1</v>
      </c>
      <c r="C64" s="6" t="s">
        <v>50</v>
      </c>
      <c r="D64" s="6" t="s">
        <v>310</v>
      </c>
      <c r="E64" s="6" t="s">
        <v>403</v>
      </c>
      <c r="F64" s="6">
        <v>1076302</v>
      </c>
      <c r="G64" s="8" t="s">
        <v>692</v>
      </c>
      <c r="H64" s="129">
        <v>28449.365747945638</v>
      </c>
      <c r="I64" s="129">
        <v>1052.6265326739885</v>
      </c>
      <c r="J64" s="9">
        <v>0</v>
      </c>
      <c r="K64" s="9">
        <v>10329</v>
      </c>
      <c r="L64" s="100">
        <v>382.173</v>
      </c>
      <c r="M64" s="10">
        <v>0.44573928685618275</v>
      </c>
      <c r="N64" s="100">
        <v>670.45353267398855</v>
      </c>
      <c r="O64" s="100">
        <v>13.577850853918592</v>
      </c>
      <c r="P64" s="10">
        <v>1.6294230415811817</v>
      </c>
      <c r="Q64" s="6">
        <v>25693</v>
      </c>
      <c r="R64" s="6">
        <v>2352</v>
      </c>
      <c r="S64" s="6">
        <v>23341</v>
      </c>
      <c r="T64" s="6">
        <v>0</v>
      </c>
      <c r="U64" s="6">
        <v>0</v>
      </c>
      <c r="V64" s="6">
        <v>0</v>
      </c>
      <c r="W64" s="6">
        <v>0</v>
      </c>
      <c r="X64" s="9">
        <v>43477.71428571429</v>
      </c>
      <c r="Y64" s="9">
        <v>16.10549246904818</v>
      </c>
      <c r="Z64" s="9">
        <v>-7572.6342520543622</v>
      </c>
      <c r="AA64" s="132">
        <v>64295.566590357135</v>
      </c>
      <c r="AB64" s="132">
        <v>52750.659999999996</v>
      </c>
      <c r="AC64" s="11">
        <v>1.2661793700128865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2" t="s">
        <v>1</v>
      </c>
      <c r="BJ64" s="31"/>
    </row>
    <row r="65" spans="1:62" ht="12.75" customHeight="1" x14ac:dyDescent="0.35">
      <c r="A65" s="118"/>
      <c r="B65" s="30" t="s">
        <v>1</v>
      </c>
      <c r="C65" s="6" t="s">
        <v>2</v>
      </c>
      <c r="D65" s="6" t="s">
        <v>306</v>
      </c>
      <c r="E65" s="6" t="s">
        <v>401</v>
      </c>
      <c r="F65" s="6">
        <v>1076131</v>
      </c>
      <c r="G65" s="8" t="s">
        <v>682</v>
      </c>
      <c r="H65" s="129">
        <v>68857.146591514174</v>
      </c>
      <c r="I65" s="129">
        <v>19280.001045623972</v>
      </c>
      <c r="J65" s="9">
        <v>0</v>
      </c>
      <c r="K65" s="9">
        <v>5739</v>
      </c>
      <c r="L65" s="100">
        <v>1606.92</v>
      </c>
      <c r="M65" s="10">
        <v>0.18564521814755758</v>
      </c>
      <c r="N65" s="100">
        <v>17673.081045623971</v>
      </c>
      <c r="O65" s="100">
        <v>69.911384810126577</v>
      </c>
      <c r="P65" s="10">
        <v>2.9338229130624134</v>
      </c>
      <c r="Q65" s="6">
        <v>44168</v>
      </c>
      <c r="R65" s="6">
        <v>7044</v>
      </c>
      <c r="S65" s="6">
        <v>37124</v>
      </c>
      <c r="T65" s="6">
        <v>0</v>
      </c>
      <c r="U65" s="6">
        <v>0</v>
      </c>
      <c r="V65" s="6">
        <v>0</v>
      </c>
      <c r="W65" s="6">
        <v>0</v>
      </c>
      <c r="X65" s="9">
        <v>68857.146591514174</v>
      </c>
      <c r="Y65" s="9">
        <v>16.174355969279343</v>
      </c>
      <c r="Z65" s="9">
        <v>18950.146591514174</v>
      </c>
      <c r="AA65" s="132">
        <v>282314.30102520809</v>
      </c>
      <c r="AB65" s="132">
        <v>152208.4</v>
      </c>
      <c r="AC65" s="11">
        <v>0.72479041712353565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/>
      <c r="BJ65" s="31"/>
    </row>
    <row r="66" spans="1:62" ht="12.75" customHeight="1" x14ac:dyDescent="0.35">
      <c r="A66" s="118"/>
      <c r="B66" s="30" t="s">
        <v>4</v>
      </c>
      <c r="C66" s="6" t="s">
        <v>5</v>
      </c>
      <c r="D66" s="6" t="s">
        <v>308</v>
      </c>
      <c r="E66" s="6" t="s">
        <v>315</v>
      </c>
      <c r="F66" s="6">
        <v>1071156</v>
      </c>
      <c r="G66" s="8" t="s">
        <v>616</v>
      </c>
      <c r="H66" s="129">
        <v>21101.65675199527</v>
      </c>
      <c r="I66" s="129">
        <v>3798.2982153591483</v>
      </c>
      <c r="J66" s="9">
        <v>0</v>
      </c>
      <c r="K66" s="9">
        <v>697</v>
      </c>
      <c r="L66" s="100">
        <v>125.46</v>
      </c>
      <c r="M66" s="10">
        <v>5.6914962370736094E-2</v>
      </c>
      <c r="N66" s="100">
        <v>3672.8382153591483</v>
      </c>
      <c r="O66" s="100">
        <v>4.5945006961849586</v>
      </c>
      <c r="P66" s="10">
        <v>1.1359157231667711</v>
      </c>
      <c r="Q66" s="6">
        <v>12003</v>
      </c>
      <c r="R66" s="6">
        <v>504</v>
      </c>
      <c r="S66" s="6">
        <v>11499</v>
      </c>
      <c r="T66" s="6">
        <v>0</v>
      </c>
      <c r="U66" s="6">
        <v>0</v>
      </c>
      <c r="V66" s="6">
        <v>0</v>
      </c>
      <c r="W66" s="6">
        <v>0</v>
      </c>
      <c r="X66" s="9">
        <v>21101.65675199527</v>
      </c>
      <c r="Y66" s="9">
        <v>16.348005469635996</v>
      </c>
      <c r="Z66" s="9">
        <v>8401.6567519952696</v>
      </c>
      <c r="AA66" s="132">
        <v>81241.378495181794</v>
      </c>
      <c r="AB66" s="132">
        <v>44271.15</v>
      </c>
      <c r="AC66" s="11">
        <v>0.60184847802526931</v>
      </c>
      <c r="AD66" s="71"/>
      <c r="AE66" s="71">
        <v>25.413523318326849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21</v>
      </c>
      <c r="C67" s="6" t="s">
        <v>5</v>
      </c>
      <c r="D67" s="6" t="s">
        <v>308</v>
      </c>
      <c r="E67" s="6" t="s">
        <v>395</v>
      </c>
      <c r="F67" s="6">
        <v>1069126</v>
      </c>
      <c r="G67" s="8" t="s">
        <v>556</v>
      </c>
      <c r="H67" s="129">
        <v>1389.5796226850573</v>
      </c>
      <c r="I67" s="129">
        <v>694.78981134252865</v>
      </c>
      <c r="J67" s="9">
        <v>0</v>
      </c>
      <c r="K67" s="9">
        <v>1170</v>
      </c>
      <c r="L67" s="100">
        <v>585</v>
      </c>
      <c r="M67" s="10">
        <v>0.88515978495949388</v>
      </c>
      <c r="N67" s="100">
        <v>109.78981134252865</v>
      </c>
      <c r="O67" s="100">
        <v>0</v>
      </c>
      <c r="P67" s="10">
        <v>0.45828844968684135</v>
      </c>
      <c r="Q67" s="6">
        <v>2469</v>
      </c>
      <c r="R67" s="6">
        <v>60</v>
      </c>
      <c r="S67" s="6">
        <v>2409</v>
      </c>
      <c r="T67" s="6">
        <v>0</v>
      </c>
      <c r="U67" s="6">
        <v>0</v>
      </c>
      <c r="V67" s="6">
        <v>0</v>
      </c>
      <c r="W67" s="6">
        <v>0</v>
      </c>
      <c r="X67" s="9">
        <v>4217.1428571428569</v>
      </c>
      <c r="Y67" s="9">
        <v>17.137195121951223</v>
      </c>
      <c r="Z67" s="9">
        <v>-2249.4203773149429</v>
      </c>
      <c r="AA67" s="132">
        <v>21635.754725206341</v>
      </c>
      <c r="AB67" s="132">
        <v>37508.129999999997</v>
      </c>
      <c r="AC67" s="11">
        <v>2.6187776076972344</v>
      </c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4</v>
      </c>
      <c r="C68" s="6" t="s">
        <v>5</v>
      </c>
      <c r="D68" s="6" t="s">
        <v>308</v>
      </c>
      <c r="E68" s="6" t="s">
        <v>314</v>
      </c>
      <c r="F68" s="6">
        <v>1075243</v>
      </c>
      <c r="G68" s="8" t="s">
        <v>662</v>
      </c>
      <c r="H68" s="129">
        <v>13504.698155984026</v>
      </c>
      <c r="I68" s="129">
        <v>3241.1275574361662</v>
      </c>
      <c r="J68" s="9">
        <v>0</v>
      </c>
      <c r="K68" s="9">
        <v>4056</v>
      </c>
      <c r="L68" s="100">
        <v>973.43999999999994</v>
      </c>
      <c r="M68" s="10">
        <v>0.31633435643336072</v>
      </c>
      <c r="N68" s="100">
        <v>2267.6875574361661</v>
      </c>
      <c r="O68" s="100">
        <v>0</v>
      </c>
      <c r="P68" s="10">
        <v>0.6204549469467584</v>
      </c>
      <c r="Q68" s="6">
        <v>8674</v>
      </c>
      <c r="R68" s="6">
        <v>216</v>
      </c>
      <c r="S68" s="6">
        <v>8458</v>
      </c>
      <c r="T68" s="6">
        <v>0</v>
      </c>
      <c r="U68" s="6">
        <v>0</v>
      </c>
      <c r="V68" s="6">
        <v>0</v>
      </c>
      <c r="W68" s="6">
        <v>0</v>
      </c>
      <c r="X68" s="9">
        <v>14646.857142857143</v>
      </c>
      <c r="Y68" s="9">
        <v>17.323852996254679</v>
      </c>
      <c r="Z68" s="9">
        <v>774.69815598402602</v>
      </c>
      <c r="AA68" s="132">
        <v>46861.302601264571</v>
      </c>
      <c r="AB68" s="132">
        <v>29349.260000000002</v>
      </c>
      <c r="AC68" s="11">
        <v>0.9426349151209461</v>
      </c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/>
      <c r="BJ68" s="31" t="s">
        <v>819</v>
      </c>
    </row>
    <row r="69" spans="1:62" ht="12.75" customHeight="1" x14ac:dyDescent="0.35">
      <c r="A69" s="118"/>
      <c r="B69" s="30" t="s">
        <v>38</v>
      </c>
      <c r="C69" s="6" t="s">
        <v>5</v>
      </c>
      <c r="D69" s="6" t="s">
        <v>308</v>
      </c>
      <c r="E69" s="6" t="s">
        <v>405</v>
      </c>
      <c r="F69" s="6">
        <v>1059307</v>
      </c>
      <c r="G69" s="8" t="s">
        <v>269</v>
      </c>
      <c r="H69" s="129">
        <v>7177.6696668502018</v>
      </c>
      <c r="I69" s="129">
        <v>3588.8348334251009</v>
      </c>
      <c r="J69" s="9">
        <v>0</v>
      </c>
      <c r="K69" s="9">
        <v>1352</v>
      </c>
      <c r="L69" s="100">
        <v>676</v>
      </c>
      <c r="M69" s="10">
        <v>0.22319221618665136</v>
      </c>
      <c r="N69" s="100">
        <v>2912.8348334251009</v>
      </c>
      <c r="O69" s="100">
        <v>6.1651690913074582</v>
      </c>
      <c r="P69" s="10">
        <v>1.2243021095393767</v>
      </c>
      <c r="Q69" s="6">
        <v>4596</v>
      </c>
      <c r="R69" s="6">
        <v>250</v>
      </c>
      <c r="S69" s="6">
        <v>4346</v>
      </c>
      <c r="T69" s="6">
        <v>0</v>
      </c>
      <c r="U69" s="6">
        <v>0</v>
      </c>
      <c r="V69" s="6">
        <v>0</v>
      </c>
      <c r="W69" s="6">
        <v>0</v>
      </c>
      <c r="X69" s="9">
        <v>7177.6696668502018</v>
      </c>
      <c r="Y69" s="9">
        <v>18.164669879160801</v>
      </c>
      <c r="Z69" s="9">
        <v>1229.6696668502018</v>
      </c>
      <c r="AA69" s="132">
        <v>42061.144247742188</v>
      </c>
      <c r="AB69" s="132">
        <v>25467.56</v>
      </c>
      <c r="AC69" s="11">
        <v>0.82868121215867807</v>
      </c>
      <c r="AD69" s="71"/>
      <c r="AE69" s="71">
        <v>20.158570908248073</v>
      </c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126" t="s">
        <v>1</v>
      </c>
      <c r="BJ69" s="31"/>
    </row>
    <row r="70" spans="1:62" ht="12.75" customHeight="1" x14ac:dyDescent="0.35">
      <c r="A70" s="118"/>
      <c r="B70" s="30" t="s">
        <v>9</v>
      </c>
      <c r="C70" s="6" t="s">
        <v>5</v>
      </c>
      <c r="D70" s="6" t="s">
        <v>308</v>
      </c>
      <c r="E70" s="6" t="s">
        <v>803</v>
      </c>
      <c r="F70" s="6">
        <v>1079784</v>
      </c>
      <c r="G70" s="162" t="s">
        <v>818</v>
      </c>
      <c r="H70" s="129">
        <v>1000</v>
      </c>
      <c r="I70" s="129">
        <v>500</v>
      </c>
      <c r="J70" s="9">
        <v>0</v>
      </c>
      <c r="K70" s="9">
        <v>1050</v>
      </c>
      <c r="L70" s="100">
        <v>525</v>
      </c>
      <c r="M70" s="10">
        <v>1.05</v>
      </c>
      <c r="N70" s="100">
        <v>25</v>
      </c>
      <c r="O70" s="100">
        <v>0</v>
      </c>
      <c r="P70" s="10">
        <v>0</v>
      </c>
      <c r="Q70" s="6">
        <v>2194</v>
      </c>
      <c r="R70" s="6">
        <v>0</v>
      </c>
      <c r="S70" s="6">
        <v>2194</v>
      </c>
      <c r="T70" s="6">
        <v>0</v>
      </c>
      <c r="U70" s="6">
        <v>0</v>
      </c>
      <c r="V70" s="6">
        <v>0</v>
      </c>
      <c r="W70" s="6">
        <v>0</v>
      </c>
      <c r="X70" s="9">
        <v>3600</v>
      </c>
      <c r="Y70" s="9">
        <v>18.283333333333335</v>
      </c>
      <c r="Z70" s="9">
        <v>-2244</v>
      </c>
      <c r="AA70" s="132">
        <v>23670</v>
      </c>
      <c r="AB70" s="132">
        <v>51931.98</v>
      </c>
      <c r="AC70" s="11">
        <v>3.2440000000000002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2"/>
      <c r="BJ70" s="31"/>
    </row>
    <row r="71" spans="1:62" ht="12.75" customHeight="1" x14ac:dyDescent="0.35">
      <c r="A71" s="118"/>
      <c r="B71" s="30" t="s">
        <v>4</v>
      </c>
      <c r="C71" s="6" t="s">
        <v>5</v>
      </c>
      <c r="D71" s="6" t="s">
        <v>308</v>
      </c>
      <c r="E71" s="6" t="s">
        <v>314</v>
      </c>
      <c r="F71" s="6">
        <v>1075503</v>
      </c>
      <c r="G71" s="8" t="s">
        <v>643</v>
      </c>
      <c r="H71" s="129">
        <v>199260</v>
      </c>
      <c r="I71" s="129">
        <v>39852</v>
      </c>
      <c r="J71" s="9">
        <v>0</v>
      </c>
      <c r="K71" s="9">
        <v>28032</v>
      </c>
      <c r="L71" s="100">
        <v>5606.4000000000005</v>
      </c>
      <c r="M71" s="10">
        <v>0.20963565191207467</v>
      </c>
      <c r="N71" s="100">
        <v>34245.599999999999</v>
      </c>
      <c r="O71" s="100">
        <v>88.769985438621376</v>
      </c>
      <c r="P71" s="10">
        <v>4.3817138451500206</v>
      </c>
      <c r="Q71" s="6">
        <v>135950</v>
      </c>
      <c r="R71" s="6">
        <v>13740</v>
      </c>
      <c r="S71" s="6">
        <v>122210</v>
      </c>
      <c r="T71" s="6">
        <v>0</v>
      </c>
      <c r="U71" s="6">
        <v>0</v>
      </c>
      <c r="V71" s="6">
        <v>0</v>
      </c>
      <c r="W71" s="6">
        <v>0</v>
      </c>
      <c r="X71" s="9">
        <v>199260</v>
      </c>
      <c r="Y71" s="9">
        <v>18.399578440228847</v>
      </c>
      <c r="Z71" s="9">
        <v>35278</v>
      </c>
      <c r="AA71" s="132">
        <v>462283.19999999995</v>
      </c>
      <c r="AB71" s="132">
        <v>283527.19999999995</v>
      </c>
      <c r="AC71" s="11">
        <v>0.82295493325303626</v>
      </c>
      <c r="AD71" s="71"/>
      <c r="AE71" s="71">
        <v>70.03012048192771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 t="s">
        <v>1</v>
      </c>
      <c r="BJ71" s="31"/>
    </row>
    <row r="72" spans="1:62" ht="12.75" customHeight="1" x14ac:dyDescent="0.35">
      <c r="A72" s="118"/>
      <c r="B72" s="30" t="s">
        <v>8</v>
      </c>
      <c r="C72" s="6" t="s">
        <v>5</v>
      </c>
      <c r="D72" s="6" t="s">
        <v>308</v>
      </c>
      <c r="E72" s="6" t="s">
        <v>309</v>
      </c>
      <c r="F72" s="123">
        <v>1079778</v>
      </c>
      <c r="G72" s="124" t="s">
        <v>749</v>
      </c>
      <c r="H72" s="129">
        <v>4459.2680447107432</v>
      </c>
      <c r="I72" s="129">
        <v>1284.269196876694</v>
      </c>
      <c r="J72" s="9">
        <v>0</v>
      </c>
      <c r="K72" s="9">
        <v>180</v>
      </c>
      <c r="L72" s="100">
        <v>51.839999999999996</v>
      </c>
      <c r="M72" s="10">
        <v>4.0365368978772825E-2</v>
      </c>
      <c r="N72" s="100">
        <v>1232.429196876694</v>
      </c>
      <c r="O72" s="100">
        <v>0</v>
      </c>
      <c r="P72" s="10">
        <v>0.88169808477114808</v>
      </c>
      <c r="Q72" s="6">
        <v>2799</v>
      </c>
      <c r="R72" s="6">
        <v>0</v>
      </c>
      <c r="S72" s="6">
        <v>2799</v>
      </c>
      <c r="T72" s="6">
        <v>0</v>
      </c>
      <c r="U72" s="6">
        <v>0</v>
      </c>
      <c r="V72" s="6">
        <v>0</v>
      </c>
      <c r="W72" s="6">
        <v>0</v>
      </c>
      <c r="X72" s="9">
        <v>4459.2680447107432</v>
      </c>
      <c r="Y72" s="9">
        <v>18.830444628597526</v>
      </c>
      <c r="Z72" s="9">
        <v>1480.2680447107432</v>
      </c>
      <c r="AA72" s="132">
        <v>48115.502202428914</v>
      </c>
      <c r="AB72" s="132">
        <v>30201.21</v>
      </c>
      <c r="AC72" s="11">
        <v>0.66804685659869034</v>
      </c>
      <c r="AD72" s="71"/>
      <c r="AE72" s="71">
        <v>10.101209577882004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1</v>
      </c>
      <c r="C73" s="6" t="s">
        <v>50</v>
      </c>
      <c r="D73" s="6" t="s">
        <v>320</v>
      </c>
      <c r="E73" s="6" t="s">
        <v>402</v>
      </c>
      <c r="F73" s="6">
        <v>1060800</v>
      </c>
      <c r="G73" s="8" t="s">
        <v>437</v>
      </c>
      <c r="H73" s="129">
        <v>50537.266334955777</v>
      </c>
      <c r="I73" s="129">
        <v>9096.707940292039</v>
      </c>
      <c r="J73" s="9">
        <v>0</v>
      </c>
      <c r="K73" s="9">
        <v>4833</v>
      </c>
      <c r="L73" s="100">
        <v>869.93999999999994</v>
      </c>
      <c r="M73" s="10">
        <v>0.17826448981805385</v>
      </c>
      <c r="N73" s="100">
        <v>8226.7679402920385</v>
      </c>
      <c r="O73" s="100">
        <v>0.15490511017978395</v>
      </c>
      <c r="P73" s="10">
        <v>1.0194998908937889</v>
      </c>
      <c r="Q73" s="6">
        <v>36009</v>
      </c>
      <c r="R73" s="6">
        <v>4176</v>
      </c>
      <c r="S73" s="6">
        <v>31833</v>
      </c>
      <c r="T73" s="6">
        <v>0</v>
      </c>
      <c r="U73" s="6">
        <v>0</v>
      </c>
      <c r="V73" s="6">
        <v>0</v>
      </c>
      <c r="W73" s="6">
        <v>0</v>
      </c>
      <c r="X73" s="9">
        <v>50537.266334955784</v>
      </c>
      <c r="Y73" s="9">
        <v>18.896748266327364</v>
      </c>
      <c r="Z73" s="9">
        <v>9695.266334955777</v>
      </c>
      <c r="AA73" s="132">
        <v>343653.41107769927</v>
      </c>
      <c r="AB73" s="132">
        <v>216464.4</v>
      </c>
      <c r="AC73" s="11">
        <v>0.80815609869563276</v>
      </c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 t="s">
        <v>820</v>
      </c>
    </row>
    <row r="74" spans="1:62" ht="12.75" customHeight="1" x14ac:dyDescent="0.35">
      <c r="A74" s="118"/>
      <c r="B74" s="30" t="s">
        <v>31</v>
      </c>
      <c r="C74" s="6" t="s">
        <v>5</v>
      </c>
      <c r="D74" s="6" t="s">
        <v>306</v>
      </c>
      <c r="E74" s="6" t="s">
        <v>307</v>
      </c>
      <c r="F74" s="133">
        <v>1076008</v>
      </c>
      <c r="G74" s="134" t="s">
        <v>654</v>
      </c>
      <c r="H74" s="129">
        <v>51805.001835882693</v>
      </c>
      <c r="I74" s="129">
        <v>25902.500917941346</v>
      </c>
      <c r="J74" s="9">
        <v>0</v>
      </c>
      <c r="K74" s="9">
        <v>4140</v>
      </c>
      <c r="L74" s="100">
        <v>2070</v>
      </c>
      <c r="M74" s="10">
        <v>0.10423703906250409</v>
      </c>
      <c r="N74" s="100">
        <v>23832.500917941346</v>
      </c>
      <c r="O74" s="100">
        <v>0</v>
      </c>
      <c r="P74" s="10">
        <v>0</v>
      </c>
      <c r="Q74" s="6">
        <v>34140</v>
      </c>
      <c r="R74" s="6">
        <v>1260</v>
      </c>
      <c r="S74" s="6">
        <v>32880</v>
      </c>
      <c r="T74" s="6">
        <v>960</v>
      </c>
      <c r="U74" s="6">
        <v>0</v>
      </c>
      <c r="V74" s="6">
        <v>0</v>
      </c>
      <c r="W74" s="6">
        <v>0</v>
      </c>
      <c r="X74" s="9">
        <v>51805.001835882693</v>
      </c>
      <c r="Y74" s="9">
        <v>19.040632468750747</v>
      </c>
      <c r="Z74" s="9">
        <v>12565.001835882693</v>
      </c>
      <c r="AA74" s="132">
        <v>607672.67153490405</v>
      </c>
      <c r="AB74" s="132">
        <v>396943.2</v>
      </c>
      <c r="AC74" s="11">
        <v>0.75745581718752963</v>
      </c>
      <c r="AD74" s="71"/>
      <c r="AE74" s="71">
        <v>20.181318524705016</v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 t="s">
        <v>824</v>
      </c>
    </row>
    <row r="75" spans="1:62" ht="12.75" customHeight="1" x14ac:dyDescent="0.35">
      <c r="B75" s="30" t="s">
        <v>1</v>
      </c>
      <c r="C75" s="6" t="s">
        <v>50</v>
      </c>
      <c r="D75" s="6" t="s">
        <v>320</v>
      </c>
      <c r="E75" s="6" t="s">
        <v>402</v>
      </c>
      <c r="F75" s="6">
        <v>1060792</v>
      </c>
      <c r="G75" s="8" t="s">
        <v>429</v>
      </c>
      <c r="H75" s="129">
        <v>16066.162522451083</v>
      </c>
      <c r="I75" s="129">
        <v>2891.9092540411948</v>
      </c>
      <c r="J75" s="9">
        <v>0</v>
      </c>
      <c r="K75" s="9">
        <v>1208</v>
      </c>
      <c r="L75" s="100">
        <v>217.44</v>
      </c>
      <c r="M75" s="10">
        <v>0.23602400353544323</v>
      </c>
      <c r="N75" s="100">
        <v>2674.4692540411947</v>
      </c>
      <c r="O75" s="100">
        <v>35.18355883595666</v>
      </c>
      <c r="P75" s="10">
        <v>2.2256312307942676</v>
      </c>
      <c r="Q75" s="6">
        <v>13016</v>
      </c>
      <c r="R75" s="6">
        <v>2584</v>
      </c>
      <c r="S75" s="6">
        <v>10432</v>
      </c>
      <c r="T75" s="6">
        <v>0</v>
      </c>
      <c r="U75" s="6">
        <v>0</v>
      </c>
      <c r="V75" s="6">
        <v>0</v>
      </c>
      <c r="W75" s="6">
        <v>0</v>
      </c>
      <c r="X75" s="9">
        <v>16066.162522451083</v>
      </c>
      <c r="Y75" s="9">
        <v>19.47944940571</v>
      </c>
      <c r="Z75" s="9">
        <v>1842.1625224510826</v>
      </c>
      <c r="AA75" s="132">
        <v>112141.81440670857</v>
      </c>
      <c r="AB75" s="132">
        <v>72815.360000000001</v>
      </c>
      <c r="AC75" s="11">
        <v>0.88533898372577657</v>
      </c>
      <c r="AD75" s="71"/>
      <c r="AE75" s="71">
        <v>4.7401500938086309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31</v>
      </c>
      <c r="C76" s="6" t="s">
        <v>5</v>
      </c>
      <c r="D76" s="6" t="s">
        <v>306</v>
      </c>
      <c r="E76" s="6" t="s">
        <v>307</v>
      </c>
      <c r="F76" s="6">
        <v>1077101</v>
      </c>
      <c r="G76" s="8" t="s">
        <v>677</v>
      </c>
      <c r="H76" s="129">
        <v>79232.958321532205</v>
      </c>
      <c r="I76" s="129">
        <v>3169.3183328612881</v>
      </c>
      <c r="J76" s="9">
        <v>0</v>
      </c>
      <c r="K76" s="9">
        <v>25830</v>
      </c>
      <c r="L76" s="100">
        <v>1033.2</v>
      </c>
      <c r="M76" s="10">
        <v>0.32600070156638955</v>
      </c>
      <c r="N76" s="100">
        <v>2136.1183328612879</v>
      </c>
      <c r="O76" s="100">
        <v>0</v>
      </c>
      <c r="P76" s="10">
        <v>0.43426984382630046</v>
      </c>
      <c r="Q76" s="6">
        <v>58440</v>
      </c>
      <c r="R76" s="6">
        <v>0</v>
      </c>
      <c r="S76" s="6">
        <v>58440</v>
      </c>
      <c r="T76" s="6">
        <v>0</v>
      </c>
      <c r="U76" s="6">
        <v>0</v>
      </c>
      <c r="V76" s="6">
        <v>0</v>
      </c>
      <c r="W76" s="6">
        <v>0</v>
      </c>
      <c r="X76" s="9">
        <v>88560.000000000015</v>
      </c>
      <c r="Y76" s="9">
        <v>19.796747967479671</v>
      </c>
      <c r="Z76" s="9">
        <v>-5037.0416784677946</v>
      </c>
      <c r="AA76" s="132">
        <v>70517.332906163661</v>
      </c>
      <c r="AB76" s="132">
        <v>52011.6</v>
      </c>
      <c r="AC76" s="11">
        <v>1.0635725559814033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2" t="s">
        <v>1</v>
      </c>
      <c r="BJ76" s="31"/>
    </row>
    <row r="77" spans="1:62" ht="12.75" customHeight="1" x14ac:dyDescent="0.35">
      <c r="A77" s="118"/>
      <c r="B77" s="30" t="s">
        <v>22</v>
      </c>
      <c r="C77" s="6" t="s">
        <v>5</v>
      </c>
      <c r="D77" s="116" t="s">
        <v>396</v>
      </c>
      <c r="E77" s="6" t="s">
        <v>397</v>
      </c>
      <c r="F77" s="6">
        <v>1051099</v>
      </c>
      <c r="G77" s="8" t="s">
        <v>168</v>
      </c>
      <c r="H77" s="129">
        <v>265.17822030915204</v>
      </c>
      <c r="I77" s="129">
        <v>6629.4555077288005</v>
      </c>
      <c r="J77" s="9">
        <v>0</v>
      </c>
      <c r="K77" s="9">
        <v>193</v>
      </c>
      <c r="L77" s="100">
        <v>4825</v>
      </c>
      <c r="M77" s="10">
        <v>0.72781241149818154</v>
      </c>
      <c r="N77" s="100">
        <v>1804.4555077288005</v>
      </c>
      <c r="O77" s="100">
        <v>6.8368810010480079</v>
      </c>
      <c r="P77" s="10">
        <v>1.3346650934126416</v>
      </c>
      <c r="Q77" s="6">
        <v>437</v>
      </c>
      <c r="R77" s="6">
        <v>0</v>
      </c>
      <c r="S77" s="6">
        <v>437</v>
      </c>
      <c r="T77" s="6">
        <v>0</v>
      </c>
      <c r="U77" s="6">
        <v>0</v>
      </c>
      <c r="V77" s="6">
        <v>0</v>
      </c>
      <c r="W77" s="6">
        <v>0</v>
      </c>
      <c r="X77" s="9">
        <v>661.71428571428567</v>
      </c>
      <c r="Y77" s="9">
        <v>19.812176165803113</v>
      </c>
      <c r="Z77" s="9">
        <v>-364.82177969084796</v>
      </c>
      <c r="AA77" s="132">
        <v>116198.44435726733</v>
      </c>
      <c r="AB77" s="132">
        <v>191489.03</v>
      </c>
      <c r="AC77" s="11">
        <v>2.3757607214707477</v>
      </c>
      <c r="AD77" s="72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2" t="s">
        <v>1</v>
      </c>
      <c r="BJ77" s="31"/>
    </row>
    <row r="78" spans="1:62" ht="12.5" customHeight="1" x14ac:dyDescent="0.35">
      <c r="A78" s="118"/>
      <c r="B78" s="30">
        <v>0</v>
      </c>
      <c r="C78" s="6" t="s">
        <v>2</v>
      </c>
      <c r="D78" s="6" t="s">
        <v>310</v>
      </c>
      <c r="E78" s="6" t="s">
        <v>311</v>
      </c>
      <c r="F78" s="154">
        <v>1080747</v>
      </c>
      <c r="G78" s="162" t="s">
        <v>782</v>
      </c>
      <c r="H78" s="129">
        <v>21908.305658518337</v>
      </c>
      <c r="I78" s="129">
        <v>3505.3289053629342</v>
      </c>
      <c r="J78" s="9">
        <v>0</v>
      </c>
      <c r="K78" s="9">
        <v>14227</v>
      </c>
      <c r="L78" s="100">
        <v>2276.3200000000002</v>
      </c>
      <c r="M78" s="10">
        <v>0.6732150002784596</v>
      </c>
      <c r="N78" s="100">
        <v>1229.008905362934</v>
      </c>
      <c r="O78" s="100">
        <v>0</v>
      </c>
      <c r="P78" s="10">
        <v>0</v>
      </c>
      <c r="Q78" s="6">
        <v>34008</v>
      </c>
      <c r="R78" s="6">
        <v>522</v>
      </c>
      <c r="S78" s="6">
        <v>33486</v>
      </c>
      <c r="T78" s="6">
        <v>0</v>
      </c>
      <c r="U78" s="6">
        <v>0</v>
      </c>
      <c r="V78" s="6">
        <v>0</v>
      </c>
      <c r="W78" s="6">
        <v>0</v>
      </c>
      <c r="X78" s="9">
        <v>50568</v>
      </c>
      <c r="Y78" s="9">
        <v>19.865923113431418</v>
      </c>
      <c r="Z78" s="9">
        <v>-26326.694341481663</v>
      </c>
      <c r="AA78" s="132">
        <v>140870.40538427289</v>
      </c>
      <c r="AB78" s="132">
        <v>215314.97999999998</v>
      </c>
      <c r="AC78" s="11">
        <v>2.2016764213459554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2" t="s">
        <v>1</v>
      </c>
      <c r="BJ78" s="31" t="s">
        <v>816</v>
      </c>
    </row>
    <row r="79" spans="1:62" ht="12.75" customHeight="1" x14ac:dyDescent="0.35">
      <c r="A79" s="118"/>
      <c r="B79" s="30" t="s">
        <v>1</v>
      </c>
      <c r="C79" s="6" t="s">
        <v>2</v>
      </c>
      <c r="D79" s="6" t="s">
        <v>310</v>
      </c>
      <c r="E79" s="6" t="s">
        <v>311</v>
      </c>
      <c r="F79" s="127">
        <v>1068296</v>
      </c>
      <c r="G79" s="128" t="s">
        <v>571</v>
      </c>
      <c r="H79" s="129">
        <v>7486.3134353123769</v>
      </c>
      <c r="I79" s="129">
        <v>1347.5364183562278</v>
      </c>
      <c r="J79" s="9">
        <v>0</v>
      </c>
      <c r="K79" s="9">
        <v>4266</v>
      </c>
      <c r="L79" s="100">
        <v>767.88</v>
      </c>
      <c r="M79" s="10">
        <v>0.62033202859161651</v>
      </c>
      <c r="N79" s="100">
        <v>579.65641835622785</v>
      </c>
      <c r="O79" s="100">
        <v>0</v>
      </c>
      <c r="P79" s="10">
        <v>0.8054098993713843</v>
      </c>
      <c r="Q79" s="6">
        <v>10998</v>
      </c>
      <c r="R79" s="6">
        <v>378</v>
      </c>
      <c r="S79" s="6">
        <v>10620</v>
      </c>
      <c r="T79" s="6">
        <v>0</v>
      </c>
      <c r="U79" s="6">
        <v>0</v>
      </c>
      <c r="V79" s="6">
        <v>0</v>
      </c>
      <c r="W79" s="6">
        <v>0</v>
      </c>
      <c r="X79" s="9">
        <v>15922.285714285714</v>
      </c>
      <c r="Y79" s="9">
        <v>20.009689922480622</v>
      </c>
      <c r="Z79" s="9">
        <v>-7777.6865646876231</v>
      </c>
      <c r="AA79" s="132">
        <v>16245.300154627857</v>
      </c>
      <c r="AB79" s="132">
        <v>23045.399999999998</v>
      </c>
      <c r="AC79" s="11">
        <v>2.0389207761460884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21</v>
      </c>
      <c r="C80" s="6" t="s">
        <v>5</v>
      </c>
      <c r="D80" s="6" t="s">
        <v>308</v>
      </c>
      <c r="E80" s="6" t="s">
        <v>372</v>
      </c>
      <c r="F80" s="127">
        <v>1059111</v>
      </c>
      <c r="G80" s="128" t="s">
        <v>525</v>
      </c>
      <c r="H80" s="129">
        <v>3280</v>
      </c>
      <c r="I80" s="129">
        <v>1416.96</v>
      </c>
      <c r="J80" s="9">
        <v>0</v>
      </c>
      <c r="K80" s="9">
        <v>841</v>
      </c>
      <c r="L80" s="100">
        <v>363.31200000000001</v>
      </c>
      <c r="M80" s="10">
        <v>0.25640243902439025</v>
      </c>
      <c r="N80" s="100">
        <v>1053.6480000000001</v>
      </c>
      <c r="O80" s="100">
        <v>0</v>
      </c>
      <c r="P80" s="10">
        <v>0.96143833344564256</v>
      </c>
      <c r="Q80" s="6">
        <v>2297</v>
      </c>
      <c r="R80" s="6">
        <v>0</v>
      </c>
      <c r="S80" s="6">
        <v>2297</v>
      </c>
      <c r="T80" s="6">
        <v>0</v>
      </c>
      <c r="U80" s="6">
        <v>0</v>
      </c>
      <c r="V80" s="6">
        <v>0</v>
      </c>
      <c r="W80" s="6">
        <v>0</v>
      </c>
      <c r="X80" s="9">
        <v>3280</v>
      </c>
      <c r="Y80" s="9">
        <v>21.009146341463413</v>
      </c>
      <c r="Z80" s="9">
        <v>142</v>
      </c>
      <c r="AA80" s="132">
        <v>23386.400000000001</v>
      </c>
      <c r="AB80" s="132">
        <v>16377.61</v>
      </c>
      <c r="AC80" s="11">
        <v>0.95670731707317069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 t="s">
        <v>1</v>
      </c>
      <c r="BJ80" s="31"/>
    </row>
    <row r="81" spans="1:62" ht="12.75" customHeight="1" x14ac:dyDescent="0.35">
      <c r="A81" s="118"/>
      <c r="B81" s="30" t="s">
        <v>21</v>
      </c>
      <c r="C81" s="6" t="s">
        <v>5</v>
      </c>
      <c r="D81" s="6" t="s">
        <v>308</v>
      </c>
      <c r="E81" s="6" t="s">
        <v>395</v>
      </c>
      <c r="F81" s="6">
        <v>1069938</v>
      </c>
      <c r="G81" s="8" t="s">
        <v>567</v>
      </c>
      <c r="H81" s="129">
        <v>942.45575895315187</v>
      </c>
      <c r="I81" s="129">
        <v>179.06659420109887</v>
      </c>
      <c r="J81" s="9">
        <v>0</v>
      </c>
      <c r="K81" s="9">
        <v>331</v>
      </c>
      <c r="L81" s="100">
        <v>62.89</v>
      </c>
      <c r="M81" s="10">
        <v>0.44670531852617956</v>
      </c>
      <c r="N81" s="100">
        <v>116.17659420109887</v>
      </c>
      <c r="O81" s="100">
        <v>6.0898502495840283</v>
      </c>
      <c r="P81" s="10">
        <v>1.2029950083194676</v>
      </c>
      <c r="Q81" s="6">
        <v>1102</v>
      </c>
      <c r="R81" s="6">
        <v>90</v>
      </c>
      <c r="S81" s="6">
        <v>1012</v>
      </c>
      <c r="T81" s="6">
        <v>0</v>
      </c>
      <c r="U81" s="6">
        <v>0</v>
      </c>
      <c r="V81" s="6">
        <v>0</v>
      </c>
      <c r="W81" s="6">
        <v>0</v>
      </c>
      <c r="X81" s="9">
        <v>1443.4285714285713</v>
      </c>
      <c r="Y81" s="9">
        <v>21.033254156769598</v>
      </c>
      <c r="Z81" s="9">
        <v>-490.54424104684813</v>
      </c>
      <c r="AA81" s="132">
        <v>7417.1268229613052</v>
      </c>
      <c r="AB81" s="132">
        <v>7964.4400000000005</v>
      </c>
      <c r="AC81" s="11">
        <v>1.5204957754109627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/>
      <c r="BJ81" s="31"/>
    </row>
    <row r="82" spans="1:62" ht="12.75" customHeight="1" x14ac:dyDescent="0.35">
      <c r="A82" s="118"/>
      <c r="B82" s="30" t="s">
        <v>1</v>
      </c>
      <c r="C82" s="6" t="s">
        <v>5</v>
      </c>
      <c r="D82" s="6" t="s">
        <v>396</v>
      </c>
      <c r="E82" s="6" t="s">
        <v>397</v>
      </c>
      <c r="F82" s="6">
        <v>1071792</v>
      </c>
      <c r="G82" s="8" t="s">
        <v>665</v>
      </c>
      <c r="H82" s="129">
        <v>3241.3448641759687</v>
      </c>
      <c r="I82" s="129">
        <v>3241.3448641759687</v>
      </c>
      <c r="J82" s="9">
        <v>0</v>
      </c>
      <c r="K82" s="9">
        <v>381</v>
      </c>
      <c r="L82" s="100">
        <v>381</v>
      </c>
      <c r="M82" s="10">
        <v>0.11754380233059827</v>
      </c>
      <c r="N82" s="100">
        <v>2860.3448641759687</v>
      </c>
      <c r="O82" s="100">
        <v>1.0570249439673236</v>
      </c>
      <c r="P82" s="10">
        <v>1.0383470007297793</v>
      </c>
      <c r="Q82" s="6">
        <v>2295</v>
      </c>
      <c r="R82" s="6">
        <v>0</v>
      </c>
      <c r="S82" s="6">
        <v>2295</v>
      </c>
      <c r="T82" s="6">
        <v>1350</v>
      </c>
      <c r="U82" s="6">
        <v>0</v>
      </c>
      <c r="V82" s="6">
        <v>740</v>
      </c>
      <c r="W82" s="6">
        <v>0</v>
      </c>
      <c r="X82" s="9">
        <v>3241.3448641759692</v>
      </c>
      <c r="Y82" s="9">
        <v>21.241183177064805</v>
      </c>
      <c r="Z82" s="9">
        <v>-784.65513582403128</v>
      </c>
      <c r="AA82" s="132">
        <v>49073.961243624166</v>
      </c>
      <c r="AB82" s="132">
        <v>66388.900000000009</v>
      </c>
      <c r="AC82" s="11">
        <v>1.2420770293516763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 t="s">
        <v>1</v>
      </c>
      <c r="BJ82" s="31"/>
    </row>
    <row r="83" spans="1:62" ht="12.75" customHeight="1" x14ac:dyDescent="0.35">
      <c r="A83" s="118"/>
      <c r="B83" s="30" t="s">
        <v>1</v>
      </c>
      <c r="C83" s="6" t="s">
        <v>50</v>
      </c>
      <c r="D83" s="6" t="s">
        <v>320</v>
      </c>
      <c r="E83" s="6" t="s">
        <v>402</v>
      </c>
      <c r="F83" s="6">
        <v>1060799</v>
      </c>
      <c r="G83" s="8" t="s">
        <v>436</v>
      </c>
      <c r="H83" s="129">
        <v>18241.192352608981</v>
      </c>
      <c r="I83" s="129">
        <v>3283.4146234696163</v>
      </c>
      <c r="J83" s="9">
        <v>0</v>
      </c>
      <c r="K83" s="9">
        <v>1504</v>
      </c>
      <c r="L83" s="100">
        <v>270.71999999999997</v>
      </c>
      <c r="M83" s="10">
        <v>0.1162204728188606</v>
      </c>
      <c r="N83" s="100">
        <v>3012.6946234696165</v>
      </c>
      <c r="O83" s="100">
        <v>21.789990745354881</v>
      </c>
      <c r="P83" s="10">
        <v>1.7277318116975748</v>
      </c>
      <c r="Q83" s="6">
        <v>13707</v>
      </c>
      <c r="R83" s="6">
        <v>616</v>
      </c>
      <c r="S83" s="6">
        <v>13091</v>
      </c>
      <c r="T83" s="6">
        <v>0</v>
      </c>
      <c r="U83" s="6">
        <v>0</v>
      </c>
      <c r="V83" s="6">
        <v>0</v>
      </c>
      <c r="W83" s="6">
        <v>0</v>
      </c>
      <c r="X83" s="9">
        <v>18241.192352608981</v>
      </c>
      <c r="Y83" s="9">
        <v>21.529842589693928</v>
      </c>
      <c r="Z83" s="9">
        <v>3030.1923526089813</v>
      </c>
      <c r="AA83" s="132">
        <v>124404.93184479326</v>
      </c>
      <c r="AB83" s="132">
        <v>89280.62000000001</v>
      </c>
      <c r="AC83" s="11">
        <v>0.83388189247532485</v>
      </c>
      <c r="AD83" s="71"/>
      <c r="AE83" s="71" t="s">
        <v>574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/>
    </row>
    <row r="84" spans="1:62" ht="12.75" customHeight="1" x14ac:dyDescent="0.35">
      <c r="A84" s="118"/>
      <c r="B84" s="30" t="s">
        <v>21</v>
      </c>
      <c r="C84" s="6" t="s">
        <v>5</v>
      </c>
      <c r="D84" s="6" t="s">
        <v>396</v>
      </c>
      <c r="E84" s="6" t="s">
        <v>307</v>
      </c>
      <c r="F84" s="6">
        <v>1063072</v>
      </c>
      <c r="G84" s="8" t="s">
        <v>448</v>
      </c>
      <c r="H84" s="129">
        <v>24766.125608654085</v>
      </c>
      <c r="I84" s="129">
        <v>12383.062804327043</v>
      </c>
      <c r="J84" s="9">
        <v>0</v>
      </c>
      <c r="K84" s="9">
        <v>607</v>
      </c>
      <c r="L84" s="100">
        <v>303.5</v>
      </c>
      <c r="M84" s="10">
        <v>4.0014333112067903E-2</v>
      </c>
      <c r="N84" s="100">
        <v>12079.562804327043</v>
      </c>
      <c r="O84" s="100">
        <v>0</v>
      </c>
      <c r="P84" s="10">
        <v>0.71662556124707533</v>
      </c>
      <c r="Q84" s="6">
        <v>18164</v>
      </c>
      <c r="R84" s="6">
        <v>384</v>
      </c>
      <c r="S84" s="6">
        <v>17778</v>
      </c>
      <c r="T84" s="6">
        <v>0</v>
      </c>
      <c r="U84" s="6">
        <v>0</v>
      </c>
      <c r="V84" s="6">
        <v>0</v>
      </c>
      <c r="W84" s="6">
        <v>0</v>
      </c>
      <c r="X84" s="9">
        <v>24766.125608654085</v>
      </c>
      <c r="Y84" s="9">
        <v>21.535059961645103</v>
      </c>
      <c r="Z84" s="9">
        <v>5995.1256086540852</v>
      </c>
      <c r="AA84" s="132">
        <v>141662.23848150135</v>
      </c>
      <c r="AB84" s="132">
        <v>101690.15999999999</v>
      </c>
      <c r="AC84" s="11">
        <v>0.75793042063231741</v>
      </c>
      <c r="AD84" s="71"/>
      <c r="AE84" s="71">
        <v>0</v>
      </c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 t="s">
        <v>827</v>
      </c>
    </row>
    <row r="85" spans="1:62" ht="12.75" customHeight="1" x14ac:dyDescent="0.35">
      <c r="A85" s="118"/>
      <c r="B85" s="30" t="s">
        <v>27</v>
      </c>
      <c r="C85" s="6" t="s">
        <v>5</v>
      </c>
      <c r="D85" s="6" t="s">
        <v>312</v>
      </c>
      <c r="E85" s="6" t="s">
        <v>313</v>
      </c>
      <c r="F85" s="6">
        <v>1052769</v>
      </c>
      <c r="G85" s="8" t="s">
        <v>192</v>
      </c>
      <c r="H85" s="129">
        <v>32764.503123225102</v>
      </c>
      <c r="I85" s="129">
        <v>9043.0028620101293</v>
      </c>
      <c r="J85" s="9">
        <v>0</v>
      </c>
      <c r="K85" s="9">
        <v>869</v>
      </c>
      <c r="L85" s="100">
        <v>239.84400000000002</v>
      </c>
      <c r="M85" s="10">
        <v>3.2931981173099228E-2</v>
      </c>
      <c r="N85" s="100">
        <v>8803.1588620101302</v>
      </c>
      <c r="O85" s="100">
        <v>0</v>
      </c>
      <c r="P85" s="10">
        <v>0.87777777777777777</v>
      </c>
      <c r="Q85" s="6">
        <v>23747</v>
      </c>
      <c r="R85" s="6">
        <v>210</v>
      </c>
      <c r="S85" s="6">
        <v>23537</v>
      </c>
      <c r="T85" s="6">
        <v>0</v>
      </c>
      <c r="U85" s="6">
        <v>0</v>
      </c>
      <c r="V85" s="6">
        <v>0</v>
      </c>
      <c r="W85" s="6">
        <v>0</v>
      </c>
      <c r="X85" s="9">
        <v>32764.503123225106</v>
      </c>
      <c r="Y85" s="9">
        <v>21.551066938032523</v>
      </c>
      <c r="Z85" s="9">
        <v>8148.5031232251022</v>
      </c>
      <c r="AA85" s="132">
        <v>133023.8826802939</v>
      </c>
      <c r="AB85" s="132">
        <v>95560.219999999987</v>
      </c>
      <c r="AC85" s="11">
        <v>0.75130087910751686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2"/>
      <c r="BJ85" s="31"/>
    </row>
    <row r="86" spans="1:62" ht="12.5" customHeight="1" x14ac:dyDescent="0.35">
      <c r="A86" s="118"/>
      <c r="B86" s="30" t="s">
        <v>31</v>
      </c>
      <c r="C86" s="6" t="s">
        <v>5</v>
      </c>
      <c r="D86" s="6" t="s">
        <v>306</v>
      </c>
      <c r="E86" s="6" t="s">
        <v>307</v>
      </c>
      <c r="F86" s="133">
        <v>1076009</v>
      </c>
      <c r="G86" s="134" t="s">
        <v>655</v>
      </c>
      <c r="H86" s="129">
        <v>56504.606590848758</v>
      </c>
      <c r="I86" s="129">
        <v>22601.842636339505</v>
      </c>
      <c r="J86" s="9">
        <v>0</v>
      </c>
      <c r="K86" s="9">
        <v>4200</v>
      </c>
      <c r="L86" s="100">
        <v>1680</v>
      </c>
      <c r="M86" s="10">
        <v>9.5284266626005837E-2</v>
      </c>
      <c r="N86" s="100">
        <v>20921.842636339505</v>
      </c>
      <c r="O86" s="100">
        <v>0</v>
      </c>
      <c r="P86" s="10">
        <v>0</v>
      </c>
      <c r="Q86" s="6">
        <v>41936</v>
      </c>
      <c r="R86" s="6">
        <v>1184</v>
      </c>
      <c r="S86" s="6">
        <v>40752</v>
      </c>
      <c r="T86" s="6">
        <v>2160</v>
      </c>
      <c r="U86" s="6">
        <v>0</v>
      </c>
      <c r="V86" s="6">
        <v>0</v>
      </c>
      <c r="W86" s="6">
        <v>0</v>
      </c>
      <c r="X86" s="9">
        <v>56504.606590848758</v>
      </c>
      <c r="Y86" s="9">
        <v>21.636466011569407</v>
      </c>
      <c r="Z86" s="9">
        <v>8208.6065908487581</v>
      </c>
      <c r="AA86" s="132">
        <v>505716.22898809635</v>
      </c>
      <c r="AB86" s="132">
        <v>384062.39999999997</v>
      </c>
      <c r="AC86" s="11">
        <v>0.85472677209687564</v>
      </c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/>
      <c r="BJ86" s="31"/>
    </row>
    <row r="87" spans="1:62" ht="12.75" customHeight="1" x14ac:dyDescent="0.35">
      <c r="A87" s="118"/>
      <c r="B87" s="30" t="s">
        <v>15</v>
      </c>
      <c r="C87" s="6" t="s">
        <v>5</v>
      </c>
      <c r="D87" s="6" t="s">
        <v>308</v>
      </c>
      <c r="E87" s="6" t="s">
        <v>315</v>
      </c>
      <c r="F87" s="6">
        <v>1074340</v>
      </c>
      <c r="G87" s="8" t="s">
        <v>650</v>
      </c>
      <c r="H87" s="129">
        <v>21120.858515702217</v>
      </c>
      <c r="I87" s="129">
        <v>5069.0060437685315</v>
      </c>
      <c r="J87" s="9">
        <v>0</v>
      </c>
      <c r="K87" s="9">
        <v>2064</v>
      </c>
      <c r="L87" s="100">
        <v>495.35999999999996</v>
      </c>
      <c r="M87" s="10">
        <v>0.14544863305230391</v>
      </c>
      <c r="N87" s="100">
        <v>4573.6460437685319</v>
      </c>
      <c r="O87" s="100">
        <v>0</v>
      </c>
      <c r="P87" s="10">
        <v>0.35556446731059588</v>
      </c>
      <c r="Q87" s="6">
        <v>16311</v>
      </c>
      <c r="R87" s="6">
        <v>1008</v>
      </c>
      <c r="S87" s="6">
        <v>15303</v>
      </c>
      <c r="T87" s="6">
        <v>3240</v>
      </c>
      <c r="U87" s="6">
        <v>0</v>
      </c>
      <c r="V87" s="6">
        <v>0</v>
      </c>
      <c r="W87" s="6">
        <v>0</v>
      </c>
      <c r="X87" s="9">
        <v>21120.858515702217</v>
      </c>
      <c r="Y87" s="9">
        <v>21.736332339837958</v>
      </c>
      <c r="Z87" s="9">
        <v>-494.14148429778288</v>
      </c>
      <c r="AA87" s="132">
        <v>102858.5809714698</v>
      </c>
      <c r="AB87" s="132">
        <v>90304.41</v>
      </c>
      <c r="AC87" s="11">
        <v>1.0233958995525876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/>
      <c r="BJ87" s="31"/>
    </row>
    <row r="88" spans="1:62" ht="12.75" customHeight="1" x14ac:dyDescent="0.35">
      <c r="A88" s="118"/>
      <c r="B88" s="30" t="s">
        <v>31</v>
      </c>
      <c r="C88" s="6" t="s">
        <v>5</v>
      </c>
      <c r="D88" s="6" t="s">
        <v>306</v>
      </c>
      <c r="E88" s="6" t="s">
        <v>404</v>
      </c>
      <c r="F88" s="6">
        <v>1072598</v>
      </c>
      <c r="G88" s="8" t="s">
        <v>608</v>
      </c>
      <c r="H88" s="129">
        <v>17556.575242424195</v>
      </c>
      <c r="I88" s="129">
        <v>2633.486286363629</v>
      </c>
      <c r="J88" s="9">
        <v>0</v>
      </c>
      <c r="K88" s="9">
        <v>1893</v>
      </c>
      <c r="L88" s="100">
        <v>283.95</v>
      </c>
      <c r="M88" s="10">
        <v>0.15395941193977261</v>
      </c>
      <c r="N88" s="100">
        <v>2349.5362863636292</v>
      </c>
      <c r="O88" s="100">
        <v>0</v>
      </c>
      <c r="P88" s="10">
        <v>1.0953376829341508</v>
      </c>
      <c r="Q88" s="6">
        <v>13635</v>
      </c>
      <c r="R88" s="6">
        <v>810</v>
      </c>
      <c r="S88" s="6">
        <v>12825</v>
      </c>
      <c r="T88" s="6">
        <v>0</v>
      </c>
      <c r="U88" s="6">
        <v>0</v>
      </c>
      <c r="V88" s="6">
        <v>0</v>
      </c>
      <c r="W88" s="6">
        <v>0</v>
      </c>
      <c r="X88" s="9">
        <v>17556.575242424195</v>
      </c>
      <c r="Y88" s="9">
        <v>21.914866349917691</v>
      </c>
      <c r="Z88" s="9">
        <v>2028.5752424241946</v>
      </c>
      <c r="AA88" s="132">
        <v>25281.468349090839</v>
      </c>
      <c r="AB88" s="132">
        <v>18468</v>
      </c>
      <c r="AC88" s="11">
        <v>0.88445495693702902</v>
      </c>
      <c r="AD88" s="71"/>
      <c r="AE88" s="71"/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2" t="s">
        <v>1</v>
      </c>
      <c r="BJ88" s="31"/>
    </row>
    <row r="89" spans="1:62" ht="12.75" customHeight="1" x14ac:dyDescent="0.35">
      <c r="A89" s="118"/>
      <c r="B89" s="30" t="s">
        <v>4</v>
      </c>
      <c r="C89" s="6" t="s">
        <v>5</v>
      </c>
      <c r="D89" s="6" t="s">
        <v>308</v>
      </c>
      <c r="E89" s="6" t="s">
        <v>314</v>
      </c>
      <c r="F89" s="6">
        <v>1075137</v>
      </c>
      <c r="G89" s="8" t="s">
        <v>652</v>
      </c>
      <c r="H89" s="129">
        <v>9622.7374813590013</v>
      </c>
      <c r="I89" s="129">
        <v>1385.6741973156961</v>
      </c>
      <c r="J89" s="9">
        <v>0</v>
      </c>
      <c r="K89" s="9">
        <v>1900</v>
      </c>
      <c r="L89" s="100">
        <v>273.59999999999997</v>
      </c>
      <c r="M89" s="10">
        <v>0.23340551525497935</v>
      </c>
      <c r="N89" s="100">
        <v>1112.0741973156962</v>
      </c>
      <c r="O89" s="100">
        <v>0</v>
      </c>
      <c r="P89" s="10">
        <v>-1.9500759063849713E-2</v>
      </c>
      <c r="Q89" s="6">
        <v>7426</v>
      </c>
      <c r="R89" s="6">
        <v>346</v>
      </c>
      <c r="S89" s="6">
        <v>7080</v>
      </c>
      <c r="T89" s="6">
        <v>0</v>
      </c>
      <c r="U89" s="6">
        <v>0</v>
      </c>
      <c r="V89" s="6">
        <v>0</v>
      </c>
      <c r="W89" s="6">
        <v>0</v>
      </c>
      <c r="X89" s="9">
        <v>9622.7374813590013</v>
      </c>
      <c r="Y89" s="9">
        <v>22.07272103301764</v>
      </c>
      <c r="Z89" s="9">
        <v>296.73748135900132</v>
      </c>
      <c r="AA89" s="132">
        <v>24826.662701906225</v>
      </c>
      <c r="AB89" s="132">
        <v>18266.400000000001</v>
      </c>
      <c r="AC89" s="11">
        <v>0.96916288302223397</v>
      </c>
      <c r="AD89" s="71"/>
      <c r="AE89" s="71">
        <v>14.604715532689871</v>
      </c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31</v>
      </c>
      <c r="C90" s="6" t="s">
        <v>5</v>
      </c>
      <c r="D90" s="6" t="s">
        <v>306</v>
      </c>
      <c r="E90" s="6" t="s">
        <v>307</v>
      </c>
      <c r="F90" s="6">
        <v>1071169</v>
      </c>
      <c r="G90" s="8" t="s">
        <v>601</v>
      </c>
      <c r="H90" s="129">
        <v>20963.360076706809</v>
      </c>
      <c r="I90" s="129">
        <v>3773.4048138072253</v>
      </c>
      <c r="J90" s="9">
        <v>0</v>
      </c>
      <c r="K90" s="9">
        <v>1518</v>
      </c>
      <c r="L90" s="100">
        <v>273.24</v>
      </c>
      <c r="M90" s="10">
        <v>0.13537906087647705</v>
      </c>
      <c r="N90" s="100">
        <v>3500.1648138072251</v>
      </c>
      <c r="O90" s="100">
        <v>2.3007324341404778</v>
      </c>
      <c r="P90" s="10">
        <v>1.0766910811380159</v>
      </c>
      <c r="Q90" s="6">
        <v>16829</v>
      </c>
      <c r="R90" s="6">
        <v>1320</v>
      </c>
      <c r="S90" s="6">
        <v>15509</v>
      </c>
      <c r="T90" s="6">
        <v>0</v>
      </c>
      <c r="U90" s="6">
        <v>0</v>
      </c>
      <c r="V90" s="6">
        <v>0</v>
      </c>
      <c r="W90" s="6">
        <v>0</v>
      </c>
      <c r="X90" s="9">
        <v>20963.360076706809</v>
      </c>
      <c r="Y90" s="9">
        <v>22.194438214939566</v>
      </c>
      <c r="Z90" s="9">
        <v>2616.3600767068092</v>
      </c>
      <c r="AA90" s="132">
        <v>92867.685139811161</v>
      </c>
      <c r="AB90" s="132">
        <v>68704.87</v>
      </c>
      <c r="AC90" s="11">
        <v>0.87519366804112919</v>
      </c>
      <c r="AD90" s="71"/>
      <c r="AE90" s="71">
        <v>45.406639004149376</v>
      </c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1</v>
      </c>
      <c r="C91" s="6" t="s">
        <v>50</v>
      </c>
      <c r="D91" s="6" t="s">
        <v>310</v>
      </c>
      <c r="E91" s="6" t="s">
        <v>403</v>
      </c>
      <c r="F91" s="61">
        <v>1076300</v>
      </c>
      <c r="G91" s="70" t="s">
        <v>690</v>
      </c>
      <c r="H91" s="129">
        <v>26252.455431555933</v>
      </c>
      <c r="I91" s="129">
        <v>3412.8192061022714</v>
      </c>
      <c r="J91" s="9">
        <v>0</v>
      </c>
      <c r="K91" s="9">
        <v>1640</v>
      </c>
      <c r="L91" s="100">
        <v>213.20000000000002</v>
      </c>
      <c r="M91" s="10">
        <v>0.20325717774902038</v>
      </c>
      <c r="N91" s="100">
        <v>3199.6192061022716</v>
      </c>
      <c r="O91" s="100">
        <v>35.876594371977852</v>
      </c>
      <c r="P91" s="10">
        <v>2.750655897494688</v>
      </c>
      <c r="Q91" s="6">
        <v>23140</v>
      </c>
      <c r="R91" s="6">
        <v>3696</v>
      </c>
      <c r="S91" s="6">
        <v>19444</v>
      </c>
      <c r="T91" s="6">
        <v>0</v>
      </c>
      <c r="U91" s="6">
        <v>0</v>
      </c>
      <c r="V91" s="6">
        <v>0</v>
      </c>
      <c r="W91" s="6">
        <v>1</v>
      </c>
      <c r="X91" s="9">
        <v>26252.455431555933</v>
      </c>
      <c r="Y91" s="9">
        <v>22.219635855427018</v>
      </c>
      <c r="Z91" s="9">
        <v>1472.4554315559326</v>
      </c>
      <c r="AA91" s="132">
        <v>118661.0985506328</v>
      </c>
      <c r="AB91" s="132">
        <v>87891.4</v>
      </c>
      <c r="AC91" s="11">
        <v>0.94391170626325438</v>
      </c>
      <c r="AD91" s="71"/>
      <c r="AE91" s="71">
        <v>37.655840694486706</v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 t="s">
        <v>800</v>
      </c>
    </row>
    <row r="92" spans="1:62" ht="12.75" customHeight="1" x14ac:dyDescent="0.35">
      <c r="A92" s="118"/>
      <c r="B92" s="30" t="s">
        <v>4</v>
      </c>
      <c r="C92" s="6" t="s">
        <v>5</v>
      </c>
      <c r="D92" s="6" t="s">
        <v>308</v>
      </c>
      <c r="E92" s="6" t="s">
        <v>314</v>
      </c>
      <c r="F92" s="61">
        <v>1069728</v>
      </c>
      <c r="G92" s="70" t="s">
        <v>568</v>
      </c>
      <c r="H92" s="129">
        <v>23435.242212776284</v>
      </c>
      <c r="I92" s="129">
        <v>4745.6365480871982</v>
      </c>
      <c r="J92" s="9">
        <v>0</v>
      </c>
      <c r="K92" s="9">
        <v>2382</v>
      </c>
      <c r="L92" s="100">
        <v>482.35500000000002</v>
      </c>
      <c r="M92" s="10">
        <v>0.21301251997636669</v>
      </c>
      <c r="N92" s="100">
        <v>4263.2815480871977</v>
      </c>
      <c r="O92" s="100">
        <v>0</v>
      </c>
      <c r="P92" s="10">
        <v>0.23167728153557771</v>
      </c>
      <c r="Q92" s="6">
        <v>20233</v>
      </c>
      <c r="R92" s="6">
        <v>2610</v>
      </c>
      <c r="S92" s="6">
        <v>17623</v>
      </c>
      <c r="T92" s="6">
        <v>0</v>
      </c>
      <c r="U92" s="6">
        <v>0</v>
      </c>
      <c r="V92" s="6">
        <v>0</v>
      </c>
      <c r="W92" s="6">
        <v>0</v>
      </c>
      <c r="X92" s="9">
        <v>23435.242212776284</v>
      </c>
      <c r="Y92" s="9">
        <v>22.559613218410519</v>
      </c>
      <c r="Z92" s="9">
        <v>820.24221277628385</v>
      </c>
      <c r="AA92" s="132">
        <v>55072.819200024271</v>
      </c>
      <c r="AB92" s="132">
        <v>41414.050000000003</v>
      </c>
      <c r="AC92" s="11">
        <v>0.96499962725671729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/>
      <c r="BJ92" s="31" t="s">
        <v>811</v>
      </c>
    </row>
    <row r="93" spans="1:62" ht="12.75" customHeight="1" x14ac:dyDescent="0.35">
      <c r="A93" s="118"/>
      <c r="B93" s="30" t="s">
        <v>1</v>
      </c>
      <c r="C93" s="6" t="s">
        <v>24</v>
      </c>
      <c r="D93" s="6" t="s">
        <v>316</v>
      </c>
      <c r="E93" s="6" t="s">
        <v>400</v>
      </c>
      <c r="F93" s="61">
        <v>1024998</v>
      </c>
      <c r="G93" s="70" t="s">
        <v>321</v>
      </c>
      <c r="H93" s="129">
        <v>13231.855316578101</v>
      </c>
      <c r="I93" s="129">
        <v>5623.5385095456932</v>
      </c>
      <c r="J93" s="9">
        <v>0</v>
      </c>
      <c r="K93" s="9">
        <v>3302</v>
      </c>
      <c r="L93" s="100">
        <v>1403.35</v>
      </c>
      <c r="M93" s="10">
        <v>0.4248837268463958</v>
      </c>
      <c r="N93" s="100">
        <v>4220.1885095456928</v>
      </c>
      <c r="O93" s="100">
        <v>0</v>
      </c>
      <c r="P93" s="10">
        <v>0.75624162912879067</v>
      </c>
      <c r="Q93" s="6">
        <v>17281</v>
      </c>
      <c r="R93" s="6">
        <v>2320</v>
      </c>
      <c r="S93" s="6">
        <v>14961</v>
      </c>
      <c r="T93" s="6">
        <v>0</v>
      </c>
      <c r="U93" s="6">
        <v>0</v>
      </c>
      <c r="V93" s="6">
        <v>0</v>
      </c>
      <c r="W93" s="6">
        <v>0</v>
      </c>
      <c r="X93" s="9">
        <v>19275.428571428569</v>
      </c>
      <c r="Y93" s="9">
        <v>23.285085378868732</v>
      </c>
      <c r="Z93" s="9">
        <v>-7351.1446834218987</v>
      </c>
      <c r="AA93" s="132">
        <v>122130.02457201589</v>
      </c>
      <c r="AB93" s="132">
        <v>138090.03</v>
      </c>
      <c r="AC93" s="11">
        <v>1.5555641674989977</v>
      </c>
      <c r="AD93" s="71"/>
      <c r="AE93" s="71">
        <v>9.9603550295857985</v>
      </c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 t="s">
        <v>1</v>
      </c>
      <c r="BJ93" s="31" t="s">
        <v>828</v>
      </c>
    </row>
    <row r="94" spans="1:62" ht="12.75" customHeight="1" x14ac:dyDescent="0.35">
      <c r="A94" s="118"/>
      <c r="B94" s="30" t="s">
        <v>1</v>
      </c>
      <c r="C94" s="6" t="s">
        <v>2</v>
      </c>
      <c r="D94" s="6" t="s">
        <v>306</v>
      </c>
      <c r="E94" s="6" t="s">
        <v>401</v>
      </c>
      <c r="F94" s="6">
        <v>1075853</v>
      </c>
      <c r="G94" s="8" t="s">
        <v>688</v>
      </c>
      <c r="H94" s="129">
        <v>19420.347524859841</v>
      </c>
      <c r="I94" s="129">
        <v>3612.1846396239303</v>
      </c>
      <c r="J94" s="9">
        <v>0</v>
      </c>
      <c r="K94" s="9">
        <v>795</v>
      </c>
      <c r="L94" s="100">
        <v>147.87</v>
      </c>
      <c r="M94" s="10">
        <v>0.12435410833449694</v>
      </c>
      <c r="N94" s="100">
        <v>3464.3146396239304</v>
      </c>
      <c r="O94" s="100">
        <v>0</v>
      </c>
      <c r="P94" s="10">
        <v>0.72923390284288836</v>
      </c>
      <c r="Q94" s="6">
        <v>16770</v>
      </c>
      <c r="R94" s="6">
        <v>1620</v>
      </c>
      <c r="S94" s="6">
        <v>15150</v>
      </c>
      <c r="T94" s="6">
        <v>0</v>
      </c>
      <c r="U94" s="6">
        <v>0</v>
      </c>
      <c r="V94" s="6">
        <v>0</v>
      </c>
      <c r="W94" s="6">
        <v>0</v>
      </c>
      <c r="X94" s="9">
        <v>19420.347524859841</v>
      </c>
      <c r="Y94" s="9">
        <v>23.40328871139911</v>
      </c>
      <c r="Z94" s="9">
        <v>1855.3475248598406</v>
      </c>
      <c r="AA94" s="132">
        <v>35345.032495244908</v>
      </c>
      <c r="AB94" s="132">
        <v>27573</v>
      </c>
      <c r="AC94" s="11">
        <v>0.90446373204780062</v>
      </c>
      <c r="AD94" s="71"/>
      <c r="AE94" s="71">
        <v>35.199203187251001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 t="s">
        <v>799</v>
      </c>
    </row>
    <row r="95" spans="1:62" ht="12.75" customHeight="1" x14ac:dyDescent="0.35">
      <c r="A95" s="118"/>
      <c r="B95" s="30" t="s">
        <v>1</v>
      </c>
      <c r="C95" s="6" t="s">
        <v>2</v>
      </c>
      <c r="D95" s="6" t="s">
        <v>310</v>
      </c>
      <c r="E95" s="6" t="s">
        <v>311</v>
      </c>
      <c r="F95" s="123">
        <v>1080750</v>
      </c>
      <c r="G95" s="124" t="s">
        <v>770</v>
      </c>
      <c r="H95" s="129">
        <v>4503.8562111569854</v>
      </c>
      <c r="I95" s="129">
        <v>2702.3137266941917</v>
      </c>
      <c r="J95" s="9">
        <v>0</v>
      </c>
      <c r="K95" s="9">
        <v>778</v>
      </c>
      <c r="L95" s="100">
        <v>466.80000000000007</v>
      </c>
      <c r="M95" s="10">
        <v>0.20693378214234345</v>
      </c>
      <c r="N95" s="100">
        <v>2235.5137266941915</v>
      </c>
      <c r="O95" s="100">
        <v>3.3999999888666643</v>
      </c>
      <c r="P95" s="10">
        <v>1.1133333329622221</v>
      </c>
      <c r="Q95" s="6">
        <v>3715</v>
      </c>
      <c r="R95" s="6">
        <v>154</v>
      </c>
      <c r="S95" s="6">
        <v>3561</v>
      </c>
      <c r="T95" s="6">
        <v>0</v>
      </c>
      <c r="U95" s="6">
        <v>0</v>
      </c>
      <c r="V95" s="6">
        <v>1808</v>
      </c>
      <c r="W95" s="6">
        <v>0</v>
      </c>
      <c r="X95" s="9">
        <v>4503.8562111569854</v>
      </c>
      <c r="Y95" s="9">
        <v>23.719673762088572</v>
      </c>
      <c r="Z95" s="9">
        <v>10.85621115698541</v>
      </c>
      <c r="AA95" s="132">
        <v>47785.914400375616</v>
      </c>
      <c r="AB95" s="132">
        <v>56965.09</v>
      </c>
      <c r="AC95" s="11">
        <v>0.99758957421196259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/>
    </row>
    <row r="96" spans="1:62" ht="12.75" customHeight="1" x14ac:dyDescent="0.35">
      <c r="A96" s="118"/>
      <c r="B96" s="30" t="s">
        <v>31</v>
      </c>
      <c r="C96" s="6" t="s">
        <v>5</v>
      </c>
      <c r="D96" s="6" t="s">
        <v>306</v>
      </c>
      <c r="E96" s="6" t="s">
        <v>307</v>
      </c>
      <c r="F96" s="6">
        <v>1076592</v>
      </c>
      <c r="G96" s="8" t="s">
        <v>676</v>
      </c>
      <c r="H96" s="129">
        <v>9427.9092263038056</v>
      </c>
      <c r="I96" s="129">
        <v>2828.3727678911414</v>
      </c>
      <c r="J96" s="9">
        <v>0</v>
      </c>
      <c r="K96" s="9">
        <v>893.3</v>
      </c>
      <c r="L96" s="100">
        <v>267.98999999999995</v>
      </c>
      <c r="M96" s="10">
        <v>0.2065463246683629</v>
      </c>
      <c r="N96" s="100">
        <v>2560.3827678911416</v>
      </c>
      <c r="O96" s="100">
        <v>11.622706646068313</v>
      </c>
      <c r="P96" s="10">
        <v>1.4139606882220574</v>
      </c>
      <c r="Q96" s="6">
        <v>8758</v>
      </c>
      <c r="R96" s="6">
        <v>1054</v>
      </c>
      <c r="S96" s="6">
        <v>7604</v>
      </c>
      <c r="T96" s="6">
        <v>0</v>
      </c>
      <c r="U96" s="6">
        <v>0</v>
      </c>
      <c r="V96" s="6">
        <v>0</v>
      </c>
      <c r="W96" s="6">
        <v>2</v>
      </c>
      <c r="X96" s="9">
        <v>9427.9092263038056</v>
      </c>
      <c r="Y96" s="9">
        <v>24.196244843294281</v>
      </c>
      <c r="Z96" s="9">
        <v>-223.39077369619372</v>
      </c>
      <c r="AA96" s="132">
        <v>55624.664435192455</v>
      </c>
      <c r="AB96" s="132">
        <v>44875.4</v>
      </c>
      <c r="AC96" s="11">
        <v>1.0236946250047609</v>
      </c>
      <c r="AD96" s="71"/>
      <c r="AE96" s="71">
        <v>10.813953488372093</v>
      </c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>
        <v>0</v>
      </c>
      <c r="C97" s="6" t="s">
        <v>2</v>
      </c>
      <c r="D97" s="6" t="s">
        <v>308</v>
      </c>
      <c r="E97" s="6" t="s">
        <v>395</v>
      </c>
      <c r="F97" s="154">
        <v>1080731</v>
      </c>
      <c r="G97" s="162" t="s">
        <v>786</v>
      </c>
      <c r="H97" s="129">
        <v>5112.0003000000006</v>
      </c>
      <c r="I97" s="129">
        <v>417.65042451000005</v>
      </c>
      <c r="J97" s="9">
        <v>0</v>
      </c>
      <c r="K97" s="9">
        <v>80</v>
      </c>
      <c r="L97" s="100">
        <v>6.5359999999999996</v>
      </c>
      <c r="M97" s="10">
        <v>0.35328636424375792</v>
      </c>
      <c r="N97" s="100">
        <v>411.11442451000005</v>
      </c>
      <c r="O97" s="100">
        <v>0</v>
      </c>
      <c r="P97" s="10">
        <v>0</v>
      </c>
      <c r="Q97" s="6">
        <v>6848</v>
      </c>
      <c r="R97" s="6">
        <v>1726</v>
      </c>
      <c r="S97" s="6">
        <v>5122</v>
      </c>
      <c r="T97" s="6">
        <v>0</v>
      </c>
      <c r="U97" s="6">
        <v>0</v>
      </c>
      <c r="V97" s="6">
        <v>0</v>
      </c>
      <c r="W97" s="6">
        <v>0</v>
      </c>
      <c r="X97" s="9">
        <v>6192</v>
      </c>
      <c r="Y97" s="9">
        <v>24.815891472868216</v>
      </c>
      <c r="Z97" s="9">
        <v>-1815.9996999999994</v>
      </c>
      <c r="AA97" s="132">
        <v>63439.923723000007</v>
      </c>
      <c r="AB97" s="132">
        <v>63564.020000000004</v>
      </c>
      <c r="AC97" s="11">
        <v>1.3552424869771622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2" t="s">
        <v>1</v>
      </c>
      <c r="BJ97" s="31"/>
    </row>
    <row r="98" spans="1:62" ht="12.75" customHeight="1" x14ac:dyDescent="0.35">
      <c r="A98" s="118"/>
      <c r="B98" s="30" t="s">
        <v>4</v>
      </c>
      <c r="C98" s="6" t="s">
        <v>5</v>
      </c>
      <c r="D98" s="6" t="s">
        <v>308</v>
      </c>
      <c r="E98" s="6" t="s">
        <v>315</v>
      </c>
      <c r="F98" s="6">
        <v>1072750</v>
      </c>
      <c r="G98" s="8" t="s">
        <v>602</v>
      </c>
      <c r="H98" s="129">
        <v>2027.4896879705855</v>
      </c>
      <c r="I98" s="129">
        <v>405.4979375941171</v>
      </c>
      <c r="J98" s="9">
        <v>0</v>
      </c>
      <c r="K98" s="9">
        <v>833</v>
      </c>
      <c r="L98" s="100">
        <v>166.60000000000002</v>
      </c>
      <c r="M98" s="10">
        <v>0.63576155659278533</v>
      </c>
      <c r="N98" s="100">
        <v>238.89793759411708</v>
      </c>
      <c r="O98" s="100">
        <v>5.1600000000000046</v>
      </c>
      <c r="P98" s="10">
        <v>1.0860000000000001</v>
      </c>
      <c r="Q98" s="6">
        <v>4212</v>
      </c>
      <c r="R98" s="6">
        <v>456</v>
      </c>
      <c r="S98" s="6">
        <v>3756</v>
      </c>
      <c r="T98" s="6">
        <v>0</v>
      </c>
      <c r="U98" s="6">
        <v>0</v>
      </c>
      <c r="V98" s="6">
        <v>0</v>
      </c>
      <c r="W98" s="6">
        <v>1816</v>
      </c>
      <c r="X98" s="9">
        <v>4419.4285714285716</v>
      </c>
      <c r="Y98" s="9">
        <v>25.496508921644686</v>
      </c>
      <c r="Z98" s="9">
        <v>-3017.5103120294143</v>
      </c>
      <c r="AA98" s="132">
        <v>3568.3818508282307</v>
      </c>
      <c r="AB98" s="132">
        <v>9806.7199999999993</v>
      </c>
      <c r="AC98" s="11">
        <v>2.4882987222735466</v>
      </c>
      <c r="AD98" s="71"/>
      <c r="AE98" s="71">
        <v>7.1636228102869923</v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/>
    </row>
    <row r="99" spans="1:62" ht="12.75" customHeight="1" x14ac:dyDescent="0.35">
      <c r="A99" s="118"/>
      <c r="B99" s="30" t="s">
        <v>4</v>
      </c>
      <c r="C99" s="6" t="s">
        <v>5</v>
      </c>
      <c r="D99" s="6" t="s">
        <v>308</v>
      </c>
      <c r="E99" s="6" t="s">
        <v>314</v>
      </c>
      <c r="F99" s="6">
        <v>1075185</v>
      </c>
      <c r="G99" s="8" t="s">
        <v>703</v>
      </c>
      <c r="H99" s="129">
        <v>4400</v>
      </c>
      <c r="I99" s="129">
        <v>4224</v>
      </c>
      <c r="J99" s="9">
        <v>0</v>
      </c>
      <c r="K99" s="9">
        <v>15971</v>
      </c>
      <c r="L99" s="100">
        <v>15332.16</v>
      </c>
      <c r="M99" s="10">
        <v>3.6679545454545455</v>
      </c>
      <c r="N99" s="100">
        <v>11108.16</v>
      </c>
      <c r="O99" s="100">
        <v>0</v>
      </c>
      <c r="P99" s="10">
        <v>0.6852247154734652</v>
      </c>
      <c r="Q99" s="6">
        <v>47447</v>
      </c>
      <c r="R99" s="6">
        <v>168</v>
      </c>
      <c r="S99" s="6">
        <v>47279</v>
      </c>
      <c r="T99" s="6">
        <v>0</v>
      </c>
      <c r="U99" s="6">
        <v>0</v>
      </c>
      <c r="V99" s="6">
        <v>0</v>
      </c>
      <c r="W99" s="6">
        <v>0</v>
      </c>
      <c r="X99" s="9">
        <v>55333.714285714283</v>
      </c>
      <c r="Y99" s="9">
        <v>25.633016295929117</v>
      </c>
      <c r="Z99" s="9">
        <v>-59018</v>
      </c>
      <c r="AA99" s="132">
        <v>5544</v>
      </c>
      <c r="AB99" s="132">
        <v>59571.54</v>
      </c>
      <c r="AC99" s="11">
        <v>14.413181818181819</v>
      </c>
      <c r="AD99" s="71"/>
      <c r="AE99" s="71"/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/>
    </row>
    <row r="100" spans="1:62" ht="12.75" customHeight="1" x14ac:dyDescent="0.35">
      <c r="A100" s="118"/>
      <c r="B100" s="30" t="s">
        <v>31</v>
      </c>
      <c r="C100" s="6" t="s">
        <v>5</v>
      </c>
      <c r="D100" s="6" t="s">
        <v>306</v>
      </c>
      <c r="E100" s="6" t="s">
        <v>307</v>
      </c>
      <c r="F100" s="6">
        <v>1071764</v>
      </c>
      <c r="G100" s="8" t="s">
        <v>604</v>
      </c>
      <c r="H100" s="129">
        <v>8278.7980228847173</v>
      </c>
      <c r="I100" s="129">
        <v>2980.3672882384981</v>
      </c>
      <c r="J100" s="9">
        <v>0</v>
      </c>
      <c r="K100" s="9">
        <v>139</v>
      </c>
      <c r="L100" s="100">
        <v>50.04</v>
      </c>
      <c r="M100" s="10">
        <v>5.7375478745462616E-2</v>
      </c>
      <c r="N100" s="100">
        <v>2930.3272882384981</v>
      </c>
      <c r="O100" s="100">
        <v>0</v>
      </c>
      <c r="P100" s="10">
        <v>0.5490687734603994</v>
      </c>
      <c r="Q100" s="6">
        <v>7426</v>
      </c>
      <c r="R100" s="6">
        <v>336</v>
      </c>
      <c r="S100" s="6">
        <v>7090</v>
      </c>
      <c r="T100" s="6">
        <v>0</v>
      </c>
      <c r="U100" s="6">
        <v>0</v>
      </c>
      <c r="V100" s="6">
        <v>0</v>
      </c>
      <c r="W100" s="6">
        <v>0</v>
      </c>
      <c r="X100" s="9">
        <v>8278.7980228847173</v>
      </c>
      <c r="Y100" s="9">
        <v>25.69213542981031</v>
      </c>
      <c r="Z100" s="9">
        <v>713.79802288471728</v>
      </c>
      <c r="AA100" s="132">
        <v>57951.586160193023</v>
      </c>
      <c r="AB100" s="132">
        <v>49630</v>
      </c>
      <c r="AC100" s="11">
        <v>0.91377999307247304</v>
      </c>
      <c r="AD100" s="71"/>
      <c r="AE100" s="71"/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/>
      <c r="BJ100" s="31"/>
    </row>
    <row r="101" spans="1:62" ht="12.75" customHeight="1" x14ac:dyDescent="0.35">
      <c r="A101" s="118"/>
      <c r="B101" s="30" t="s">
        <v>31</v>
      </c>
      <c r="C101" s="6" t="s">
        <v>5</v>
      </c>
      <c r="D101" s="6" t="s">
        <v>306</v>
      </c>
      <c r="E101" s="6" t="s">
        <v>307</v>
      </c>
      <c r="F101" s="6">
        <v>1071168</v>
      </c>
      <c r="G101" s="131" t="s">
        <v>594</v>
      </c>
      <c r="H101" s="129">
        <v>263285.5084002263</v>
      </c>
      <c r="I101" s="129">
        <v>10531.420336009052</v>
      </c>
      <c r="J101" s="9">
        <v>0</v>
      </c>
      <c r="K101" s="9">
        <v>42907</v>
      </c>
      <c r="L101" s="100">
        <v>1716.28</v>
      </c>
      <c r="M101" s="10">
        <v>0.17572938321264717</v>
      </c>
      <c r="N101" s="100">
        <v>8815.1403360090517</v>
      </c>
      <c r="O101" s="100">
        <v>5.9769598311449137</v>
      </c>
      <c r="P101" s="10">
        <v>1.2166221053794986</v>
      </c>
      <c r="Q101" s="6">
        <v>232188</v>
      </c>
      <c r="R101" s="6">
        <v>3360</v>
      </c>
      <c r="S101" s="6">
        <v>228828</v>
      </c>
      <c r="T101" s="6">
        <v>20160</v>
      </c>
      <c r="U101" s="6">
        <v>0</v>
      </c>
      <c r="V101" s="6">
        <v>0</v>
      </c>
      <c r="W101" s="6">
        <v>0</v>
      </c>
      <c r="X101" s="9">
        <v>263285.5084002263</v>
      </c>
      <c r="Y101" s="9">
        <v>26.073748007294803</v>
      </c>
      <c r="Z101" s="9">
        <v>-31969.491599773697</v>
      </c>
      <c r="AA101" s="132">
        <v>226425.53722419462</v>
      </c>
      <c r="AB101" s="132">
        <v>214129.68</v>
      </c>
      <c r="AC101" s="11">
        <v>1.1214251851308739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2"/>
      <c r="BJ101" s="31" t="s">
        <v>825</v>
      </c>
    </row>
    <row r="102" spans="1:62" ht="12.75" customHeight="1" x14ac:dyDescent="0.35">
      <c r="A102" s="118"/>
      <c r="B102" s="30" t="s">
        <v>27</v>
      </c>
      <c r="C102" s="6" t="s">
        <v>5</v>
      </c>
      <c r="D102" s="6" t="s">
        <v>312</v>
      </c>
      <c r="E102" s="6" t="s">
        <v>313</v>
      </c>
      <c r="F102" s="179">
        <v>1072813</v>
      </c>
      <c r="G102" s="180" t="s">
        <v>612</v>
      </c>
      <c r="H102" s="129">
        <v>54619.677088108532</v>
      </c>
      <c r="I102" s="129">
        <v>12453.286376088747</v>
      </c>
      <c r="J102" s="9">
        <v>0</v>
      </c>
      <c r="K102" s="9">
        <v>4312</v>
      </c>
      <c r="L102" s="100">
        <v>983.13600000000008</v>
      </c>
      <c r="M102" s="10">
        <v>0.11629508518978263</v>
      </c>
      <c r="N102" s="100">
        <v>11470.150376088746</v>
      </c>
      <c r="O102" s="100">
        <v>6.9999759194056255</v>
      </c>
      <c r="P102" s="10">
        <v>1.2865869434857045</v>
      </c>
      <c r="Q102" s="6">
        <v>50742</v>
      </c>
      <c r="R102" s="6">
        <v>2040</v>
      </c>
      <c r="S102" s="6">
        <v>48700</v>
      </c>
      <c r="T102" s="6">
        <v>0</v>
      </c>
      <c r="U102" s="6">
        <v>0</v>
      </c>
      <c r="V102" s="6">
        <v>0</v>
      </c>
      <c r="W102" s="6">
        <v>0</v>
      </c>
      <c r="X102" s="9">
        <v>54619.677088108532</v>
      </c>
      <c r="Y102" s="9">
        <v>26.748601930458506</v>
      </c>
      <c r="Z102" s="9">
        <v>-434.32291189146781</v>
      </c>
      <c r="AA102" s="132">
        <v>116886.10896855226</v>
      </c>
      <c r="AB102" s="132">
        <v>104218</v>
      </c>
      <c r="AC102" s="11">
        <v>1.0079517663788244</v>
      </c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/>
    </row>
    <row r="103" spans="1:62" ht="12.75" customHeight="1" x14ac:dyDescent="0.35">
      <c r="A103" s="118"/>
      <c r="B103" s="30" t="s">
        <v>15</v>
      </c>
      <c r="C103" s="6" t="s">
        <v>5</v>
      </c>
      <c r="D103" s="6" t="s">
        <v>308</v>
      </c>
      <c r="E103" s="6" t="s">
        <v>315</v>
      </c>
      <c r="F103" s="6">
        <v>1074225</v>
      </c>
      <c r="G103" s="8" t="s">
        <v>632</v>
      </c>
      <c r="H103" s="129">
        <v>529.48526298438401</v>
      </c>
      <c r="I103" s="129">
        <v>397.11394723828801</v>
      </c>
      <c r="J103" s="9">
        <v>0</v>
      </c>
      <c r="K103" s="9">
        <v>71</v>
      </c>
      <c r="L103" s="100">
        <v>53.25</v>
      </c>
      <c r="M103" s="10">
        <v>0.17186502885290661</v>
      </c>
      <c r="N103" s="100">
        <v>343.86394723828801</v>
      </c>
      <c r="O103" s="100">
        <v>7.5812398913545458</v>
      </c>
      <c r="P103" s="10">
        <v>1.2680857303346023</v>
      </c>
      <c r="Q103" s="6">
        <v>498</v>
      </c>
      <c r="R103" s="6">
        <v>20</v>
      </c>
      <c r="S103" s="6">
        <v>478</v>
      </c>
      <c r="T103" s="6">
        <v>0</v>
      </c>
      <c r="U103" s="6">
        <v>0</v>
      </c>
      <c r="V103" s="6">
        <v>0</v>
      </c>
      <c r="W103" s="6">
        <v>2</v>
      </c>
      <c r="X103" s="9">
        <v>529.48526298438401</v>
      </c>
      <c r="Y103" s="9">
        <v>27.082906744512975</v>
      </c>
      <c r="Z103" s="9">
        <v>-39.514737015615992</v>
      </c>
      <c r="AA103" s="132">
        <v>4569.457819555234</v>
      </c>
      <c r="AB103" s="132">
        <v>4142.4000000000005</v>
      </c>
      <c r="AC103" s="11">
        <v>1.0746285870033392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15</v>
      </c>
      <c r="C104" s="6" t="s">
        <v>5</v>
      </c>
      <c r="D104" s="6" t="s">
        <v>308</v>
      </c>
      <c r="E104" s="6" t="s">
        <v>315</v>
      </c>
      <c r="F104" s="123">
        <v>1082605</v>
      </c>
      <c r="G104" s="124" t="s">
        <v>771</v>
      </c>
      <c r="H104" s="129">
        <v>30019.106821539342</v>
      </c>
      <c r="I104" s="129">
        <v>10926.95488304032</v>
      </c>
      <c r="J104" s="9">
        <v>0</v>
      </c>
      <c r="K104" s="9">
        <v>4086</v>
      </c>
      <c r="L104" s="100">
        <v>1487.3039999999999</v>
      </c>
      <c r="M104" s="10">
        <v>0.17149077854329101</v>
      </c>
      <c r="N104" s="100">
        <v>9439.65088304032</v>
      </c>
      <c r="O104" s="100">
        <v>9.8396847983278461E-3</v>
      </c>
      <c r="P104" s="10">
        <v>1.0003377669574542</v>
      </c>
      <c r="Q104" s="6">
        <v>28516</v>
      </c>
      <c r="R104" s="6">
        <v>1062</v>
      </c>
      <c r="S104" s="6">
        <v>27454</v>
      </c>
      <c r="T104" s="6">
        <v>2430</v>
      </c>
      <c r="U104" s="6">
        <v>0</v>
      </c>
      <c r="V104" s="6">
        <v>0</v>
      </c>
      <c r="W104" s="6">
        <v>0</v>
      </c>
      <c r="X104" s="9">
        <v>30019.106821539342</v>
      </c>
      <c r="Y104" s="9">
        <v>27.436525839903911</v>
      </c>
      <c r="Z104" s="9">
        <v>-5012.8931784606575</v>
      </c>
      <c r="AA104" s="132">
        <v>175911.96597422057</v>
      </c>
      <c r="AB104" s="132">
        <v>175120.24000000002</v>
      </c>
      <c r="AC104" s="11">
        <v>1.1669900842907093</v>
      </c>
      <c r="AD104" s="71"/>
      <c r="AE104" s="71">
        <v>38.569490221929236</v>
      </c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9</v>
      </c>
      <c r="C105" s="6" t="s">
        <v>5</v>
      </c>
      <c r="D105" s="6" t="s">
        <v>308</v>
      </c>
      <c r="E105" s="6" t="s">
        <v>397</v>
      </c>
      <c r="F105" s="61">
        <v>1074164</v>
      </c>
      <c r="G105" s="70" t="s">
        <v>700</v>
      </c>
      <c r="H105" s="129">
        <v>7217.7013349484678</v>
      </c>
      <c r="I105" s="129">
        <v>7217.7013349484678</v>
      </c>
      <c r="J105" s="9">
        <v>0</v>
      </c>
      <c r="K105" s="9">
        <v>2125</v>
      </c>
      <c r="L105" s="100">
        <v>2125</v>
      </c>
      <c r="M105" s="10">
        <v>0.2944150639360269</v>
      </c>
      <c r="N105" s="100">
        <v>5092.7013349484678</v>
      </c>
      <c r="O105" s="100">
        <v>0</v>
      </c>
      <c r="P105" s="10">
        <v>0.73310849268449496</v>
      </c>
      <c r="Q105" s="6">
        <v>6770</v>
      </c>
      <c r="R105" s="6">
        <v>0</v>
      </c>
      <c r="S105" s="6">
        <v>6719</v>
      </c>
      <c r="T105" s="6">
        <v>0</v>
      </c>
      <c r="U105" s="6">
        <v>0</v>
      </c>
      <c r="V105" s="6">
        <v>0</v>
      </c>
      <c r="W105" s="6">
        <v>303</v>
      </c>
      <c r="X105" s="9">
        <v>7285.7142857142853</v>
      </c>
      <c r="Y105" s="9">
        <v>27.666470588235295</v>
      </c>
      <c r="Z105" s="9">
        <v>-1677.2986650515322</v>
      </c>
      <c r="AA105" s="132">
        <v>78095.52844414243</v>
      </c>
      <c r="AB105" s="132">
        <v>75978.040000000008</v>
      </c>
      <c r="AC105" s="11">
        <v>1.2323868205698634</v>
      </c>
      <c r="AD105" s="71"/>
      <c r="AE105" s="71">
        <v>3.8736178813458575</v>
      </c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 t="s">
        <v>1</v>
      </c>
      <c r="BJ105" s="31"/>
    </row>
    <row r="106" spans="1:62" ht="12.75" customHeight="1" x14ac:dyDescent="0.35">
      <c r="A106" s="118"/>
      <c r="B106" s="30" t="s">
        <v>21</v>
      </c>
      <c r="C106" s="6" t="s">
        <v>5</v>
      </c>
      <c r="D106" s="6" t="s">
        <v>396</v>
      </c>
      <c r="E106" s="6" t="s">
        <v>397</v>
      </c>
      <c r="F106" s="6">
        <v>1040796</v>
      </c>
      <c r="G106" s="8" t="s">
        <v>85</v>
      </c>
      <c r="H106" s="129">
        <v>7560.282408901393</v>
      </c>
      <c r="I106" s="129">
        <v>75602.824089013928</v>
      </c>
      <c r="J106" s="9">
        <v>0</v>
      </c>
      <c r="K106" s="9">
        <v>976</v>
      </c>
      <c r="L106" s="100">
        <v>9760</v>
      </c>
      <c r="M106" s="10">
        <v>0.16877676401316064</v>
      </c>
      <c r="N106" s="100">
        <v>65842.824089013928</v>
      </c>
      <c r="O106" s="100">
        <v>0</v>
      </c>
      <c r="P106" s="10">
        <v>0.11730568641187113</v>
      </c>
      <c r="Q106" s="6">
        <v>7274</v>
      </c>
      <c r="R106" s="6">
        <v>300</v>
      </c>
      <c r="S106" s="6">
        <v>6974</v>
      </c>
      <c r="T106" s="6">
        <v>0</v>
      </c>
      <c r="U106" s="6">
        <v>0</v>
      </c>
      <c r="V106" s="6">
        <v>0</v>
      </c>
      <c r="W106" s="6">
        <v>0</v>
      </c>
      <c r="X106" s="9">
        <v>7560.282408901393</v>
      </c>
      <c r="Y106" s="9">
        <v>27.673569409744097</v>
      </c>
      <c r="Z106" s="9">
        <v>-689.71759109860704</v>
      </c>
      <c r="AA106" s="132">
        <v>83919.134738805456</v>
      </c>
      <c r="AB106" s="132">
        <v>77411.399999999994</v>
      </c>
      <c r="AC106" s="11">
        <v>1.0912290776712972</v>
      </c>
      <c r="AD106" s="71"/>
      <c r="AE106" s="71">
        <v>35.095263157894735</v>
      </c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126" t="s">
        <v>1</v>
      </c>
      <c r="BJ106" s="31"/>
    </row>
    <row r="107" spans="1:62" ht="12.75" customHeight="1" x14ac:dyDescent="0.35">
      <c r="A107" s="118"/>
      <c r="B107" s="30" t="s">
        <v>15</v>
      </c>
      <c r="C107" s="6" t="s">
        <v>5</v>
      </c>
      <c r="D107" s="6" t="s">
        <v>308</v>
      </c>
      <c r="E107" s="6" t="s">
        <v>315</v>
      </c>
      <c r="F107" s="6">
        <v>1074230</v>
      </c>
      <c r="G107" s="8" t="s">
        <v>702</v>
      </c>
      <c r="H107" s="129">
        <v>1989.2140126071224</v>
      </c>
      <c r="I107" s="129">
        <v>895.14630567320512</v>
      </c>
      <c r="J107" s="9">
        <v>0</v>
      </c>
      <c r="K107" s="9">
        <v>168</v>
      </c>
      <c r="L107" s="100">
        <v>75.600000000000009</v>
      </c>
      <c r="M107" s="10">
        <v>0.13271573512293625</v>
      </c>
      <c r="N107" s="100">
        <v>819.5463056732051</v>
      </c>
      <c r="O107" s="100">
        <v>5.4555091082659795</v>
      </c>
      <c r="P107" s="10">
        <v>1.2022295575080455</v>
      </c>
      <c r="Q107" s="6">
        <v>1932</v>
      </c>
      <c r="R107" s="6">
        <v>96</v>
      </c>
      <c r="S107" s="6">
        <v>1836</v>
      </c>
      <c r="T107" s="6">
        <v>0</v>
      </c>
      <c r="U107" s="6">
        <v>0</v>
      </c>
      <c r="V107" s="6">
        <v>0</v>
      </c>
      <c r="W107" s="6">
        <v>0</v>
      </c>
      <c r="X107" s="9">
        <v>1989.2140126071224</v>
      </c>
      <c r="Y107" s="9">
        <v>27.689328373376242</v>
      </c>
      <c r="Z107" s="9">
        <v>-110.78598739287759</v>
      </c>
      <c r="AA107" s="132">
        <v>14899.212954427347</v>
      </c>
      <c r="AB107" s="132">
        <v>13751.640000000001</v>
      </c>
      <c r="AC107" s="11">
        <v>1.0556933475688111</v>
      </c>
      <c r="AD107" s="71"/>
      <c r="AE107" s="71"/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/>
      <c r="BJ107" s="31"/>
    </row>
    <row r="108" spans="1:62" ht="12.75" customHeight="1" x14ac:dyDescent="0.35">
      <c r="A108" s="118"/>
      <c r="B108" s="30" t="s">
        <v>27</v>
      </c>
      <c r="C108" s="6" t="s">
        <v>5</v>
      </c>
      <c r="D108" s="6" t="s">
        <v>312</v>
      </c>
      <c r="E108" s="6" t="s">
        <v>313</v>
      </c>
      <c r="F108" s="6">
        <v>1072353</v>
      </c>
      <c r="G108" s="8" t="s">
        <v>598</v>
      </c>
      <c r="H108" s="129">
        <v>207614.61466163353</v>
      </c>
      <c r="I108" s="129">
        <v>63114.842857136595</v>
      </c>
      <c r="J108" s="9">
        <v>0</v>
      </c>
      <c r="K108" s="9">
        <v>13880</v>
      </c>
      <c r="L108" s="100">
        <v>4219.5199999999995</v>
      </c>
      <c r="M108" s="10">
        <v>8.862574549478601E-2</v>
      </c>
      <c r="N108" s="100">
        <v>58895.322857136598</v>
      </c>
      <c r="O108" s="100">
        <v>54.904663512535848</v>
      </c>
      <c r="P108" s="10">
        <v>2.5119279453191461</v>
      </c>
      <c r="Q108" s="6">
        <v>199715</v>
      </c>
      <c r="R108" s="6">
        <v>4520</v>
      </c>
      <c r="S108" s="6">
        <v>195195</v>
      </c>
      <c r="T108" s="6">
        <v>15300</v>
      </c>
      <c r="U108" s="6">
        <v>0</v>
      </c>
      <c r="V108" s="6">
        <v>0</v>
      </c>
      <c r="W108" s="6">
        <v>0</v>
      </c>
      <c r="X108" s="9">
        <v>207614.61466163353</v>
      </c>
      <c r="Y108" s="9">
        <v>28.205384334545794</v>
      </c>
      <c r="Z108" s="9">
        <v>-21280.385338366468</v>
      </c>
      <c r="AA108" s="132">
        <v>537721.85197363084</v>
      </c>
      <c r="AB108" s="132">
        <v>545182.04999999993</v>
      </c>
      <c r="AC108" s="11">
        <v>1.1024994573385349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 t="s">
        <v>823</v>
      </c>
    </row>
    <row r="109" spans="1:62" ht="12.75" customHeight="1" x14ac:dyDescent="0.35">
      <c r="A109" s="118"/>
      <c r="B109" s="30" t="s">
        <v>27</v>
      </c>
      <c r="C109" s="6" t="s">
        <v>5</v>
      </c>
      <c r="D109" s="6" t="s">
        <v>312</v>
      </c>
      <c r="E109" s="6" t="s">
        <v>313</v>
      </c>
      <c r="F109" s="6">
        <v>1052770</v>
      </c>
      <c r="G109" s="8" t="s">
        <v>183</v>
      </c>
      <c r="H109" s="129">
        <v>8019.161228119342</v>
      </c>
      <c r="I109" s="129">
        <v>2213.2884989609388</v>
      </c>
      <c r="J109" s="9">
        <v>0</v>
      </c>
      <c r="K109" s="9">
        <v>987</v>
      </c>
      <c r="L109" s="100">
        <v>272.41200000000003</v>
      </c>
      <c r="M109" s="10">
        <v>0.13131049121541982</v>
      </c>
      <c r="N109" s="100">
        <v>1940.8764989609388</v>
      </c>
      <c r="O109" s="100">
        <v>8.4607857598814444</v>
      </c>
      <c r="P109" s="10">
        <v>1.7837522021075756</v>
      </c>
      <c r="Q109" s="6">
        <v>7671</v>
      </c>
      <c r="R109" s="6">
        <v>66</v>
      </c>
      <c r="S109" s="6">
        <v>7605</v>
      </c>
      <c r="T109" s="6">
        <v>0</v>
      </c>
      <c r="U109" s="6">
        <v>0</v>
      </c>
      <c r="V109" s="6">
        <v>0</v>
      </c>
      <c r="W109" s="6">
        <v>0</v>
      </c>
      <c r="X109" s="9">
        <v>8019.161228119342</v>
      </c>
      <c r="Y109" s="9">
        <v>28.450606430007625</v>
      </c>
      <c r="Z109" s="9">
        <v>-638.83877188065799</v>
      </c>
      <c r="AA109" s="132">
        <v>29590.704931760371</v>
      </c>
      <c r="AB109" s="132">
        <v>28062.45</v>
      </c>
      <c r="AC109" s="11">
        <v>1.0796640388823406</v>
      </c>
      <c r="AD109" s="71"/>
      <c r="AE109" s="71">
        <v>29.433634992458529</v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126" t="s">
        <v>1</v>
      </c>
      <c r="BJ109" s="31"/>
    </row>
    <row r="110" spans="1:62" ht="12.75" customHeight="1" x14ac:dyDescent="0.35">
      <c r="A110" s="118"/>
      <c r="B110" s="30" t="s">
        <v>8</v>
      </c>
      <c r="C110" s="6" t="s">
        <v>5</v>
      </c>
      <c r="D110" s="6" t="s">
        <v>308</v>
      </c>
      <c r="E110" s="6" t="s">
        <v>309</v>
      </c>
      <c r="F110" s="6">
        <v>1028943</v>
      </c>
      <c r="G110" s="8" t="s">
        <v>102</v>
      </c>
      <c r="H110" s="129">
        <v>4120.0000099999997</v>
      </c>
      <c r="I110" s="129">
        <v>288.40000070000002</v>
      </c>
      <c r="J110" s="9">
        <v>0</v>
      </c>
      <c r="K110" s="9">
        <v>1235</v>
      </c>
      <c r="L110" s="100">
        <v>86.45</v>
      </c>
      <c r="M110" s="10">
        <v>0.37839805733398529</v>
      </c>
      <c r="N110" s="100">
        <v>201.95000070000003</v>
      </c>
      <c r="O110" s="100">
        <v>11.395128085011107</v>
      </c>
      <c r="P110" s="10">
        <v>1.3900684926395324</v>
      </c>
      <c r="Q110" s="6">
        <v>5462</v>
      </c>
      <c r="R110" s="6">
        <v>324</v>
      </c>
      <c r="S110" s="6">
        <v>5138</v>
      </c>
      <c r="T110" s="6">
        <v>0</v>
      </c>
      <c r="U110" s="6">
        <v>0</v>
      </c>
      <c r="V110" s="6">
        <v>0</v>
      </c>
      <c r="W110" s="6">
        <v>0</v>
      </c>
      <c r="X110" s="9">
        <v>5345.142857142856</v>
      </c>
      <c r="Y110" s="9">
        <v>28.837395766517002</v>
      </c>
      <c r="Z110" s="9">
        <v>-2576.9999900000003</v>
      </c>
      <c r="AA110" s="132">
        <v>9640.8000233999992</v>
      </c>
      <c r="AB110" s="132">
        <v>12022.92</v>
      </c>
      <c r="AC110" s="11">
        <v>1.625485432947851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 t="s">
        <v>1</v>
      </c>
      <c r="BJ110" s="31"/>
    </row>
    <row r="111" spans="1:62" ht="12.75" customHeight="1" x14ac:dyDescent="0.35">
      <c r="A111" s="118"/>
      <c r="B111" s="30" t="s">
        <v>4</v>
      </c>
      <c r="C111" s="6" t="s">
        <v>5</v>
      </c>
      <c r="D111" s="6" t="s">
        <v>308</v>
      </c>
      <c r="E111" s="6" t="s">
        <v>314</v>
      </c>
      <c r="F111" s="150">
        <v>1083252</v>
      </c>
      <c r="G111" s="151" t="s">
        <v>776</v>
      </c>
      <c r="H111" s="129">
        <v>72800</v>
      </c>
      <c r="I111" s="129">
        <v>6988.8</v>
      </c>
      <c r="J111" s="9">
        <v>0</v>
      </c>
      <c r="K111" s="9">
        <v>0</v>
      </c>
      <c r="L111" s="100">
        <v>0</v>
      </c>
      <c r="M111" s="10">
        <v>0</v>
      </c>
      <c r="N111" s="100">
        <v>6988.8</v>
      </c>
      <c r="O111" s="100">
        <v>24.102270064114261</v>
      </c>
      <c r="P111" s="10">
        <v>1.6576743415035191</v>
      </c>
      <c r="Q111" s="6">
        <v>69984</v>
      </c>
      <c r="R111" s="6">
        <v>0</v>
      </c>
      <c r="S111" s="6">
        <v>69984</v>
      </c>
      <c r="T111" s="6">
        <v>0</v>
      </c>
      <c r="U111" s="6">
        <v>0</v>
      </c>
      <c r="V111" s="6">
        <v>0</v>
      </c>
      <c r="W111" s="6">
        <v>0</v>
      </c>
      <c r="X111" s="9">
        <v>72800</v>
      </c>
      <c r="Y111" s="9">
        <v>28.83956043956044</v>
      </c>
      <c r="Z111" s="9">
        <v>2816</v>
      </c>
      <c r="AA111" s="132">
        <v>160160</v>
      </c>
      <c r="AB111" s="132">
        <v>153964.80000000002</v>
      </c>
      <c r="AC111" s="11">
        <v>0.96131868131868137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 t="s">
        <v>1</v>
      </c>
      <c r="BJ111" s="31"/>
    </row>
    <row r="112" spans="1:62" ht="12.75" customHeight="1" x14ac:dyDescent="0.35">
      <c r="A112" s="118"/>
      <c r="B112" s="30" t="s">
        <v>21</v>
      </c>
      <c r="C112" s="6" t="s">
        <v>5</v>
      </c>
      <c r="D112" s="6" t="s">
        <v>308</v>
      </c>
      <c r="E112" s="6" t="s">
        <v>395</v>
      </c>
      <c r="F112" s="6">
        <v>1069142</v>
      </c>
      <c r="G112" s="8" t="s">
        <v>559</v>
      </c>
      <c r="H112" s="129">
        <v>1131.2160866202294</v>
      </c>
      <c r="I112" s="129">
        <v>565.60804331011468</v>
      </c>
      <c r="J112" s="9">
        <v>0</v>
      </c>
      <c r="K112" s="9">
        <v>538</v>
      </c>
      <c r="L112" s="100">
        <v>269</v>
      </c>
      <c r="M112" s="10">
        <v>0.54012668952180865</v>
      </c>
      <c r="N112" s="100">
        <v>296.60804331011468</v>
      </c>
      <c r="O112" s="100">
        <v>11.713483622306237</v>
      </c>
      <c r="P112" s="10">
        <v>1.4215466656499098</v>
      </c>
      <c r="Q112" s="6">
        <v>2109</v>
      </c>
      <c r="R112" s="6">
        <v>73</v>
      </c>
      <c r="S112" s="6">
        <v>2036</v>
      </c>
      <c r="T112" s="6">
        <v>0</v>
      </c>
      <c r="U112" s="6">
        <v>0</v>
      </c>
      <c r="V112" s="6">
        <v>0</v>
      </c>
      <c r="W112" s="6">
        <v>6</v>
      </c>
      <c r="X112" s="9">
        <v>2094.8571428571431</v>
      </c>
      <c r="Y112" s="9">
        <v>29.157119476268409</v>
      </c>
      <c r="Z112" s="9">
        <v>-1515.7839133797706</v>
      </c>
      <c r="AA112" s="132">
        <v>19592.662620262374</v>
      </c>
      <c r="AB112" s="132">
        <v>35367.440000000002</v>
      </c>
      <c r="AC112" s="11">
        <v>2.3399596516599468</v>
      </c>
      <c r="AD112" s="71"/>
      <c r="AE112" s="71">
        <v>23.572447992259317</v>
      </c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 t="s">
        <v>1</v>
      </c>
      <c r="BJ112" s="31"/>
    </row>
    <row r="113" spans="1:62" ht="12.75" customHeight="1" x14ac:dyDescent="0.35">
      <c r="A113" s="118"/>
      <c r="B113" s="30" t="s">
        <v>15</v>
      </c>
      <c r="C113" s="6" t="s">
        <v>5</v>
      </c>
      <c r="D113" s="6" t="s">
        <v>308</v>
      </c>
      <c r="E113" s="6" t="s">
        <v>315</v>
      </c>
      <c r="F113" s="61">
        <v>1074227</v>
      </c>
      <c r="G113" s="70" t="s">
        <v>701</v>
      </c>
      <c r="H113" s="129">
        <v>1600</v>
      </c>
      <c r="I113" s="129">
        <v>512</v>
      </c>
      <c r="J113" s="9">
        <v>0</v>
      </c>
      <c r="K113" s="9">
        <v>144</v>
      </c>
      <c r="L113" s="100">
        <v>46.08</v>
      </c>
      <c r="M113" s="10">
        <v>0.13500000000000001</v>
      </c>
      <c r="N113" s="100">
        <v>465.92</v>
      </c>
      <c r="O113" s="100">
        <v>0.94548300503498151</v>
      </c>
      <c r="P113" s="10">
        <v>1.0237935472408433</v>
      </c>
      <c r="Q113" s="6">
        <v>1634</v>
      </c>
      <c r="R113" s="6">
        <v>72</v>
      </c>
      <c r="S113" s="6">
        <v>1562</v>
      </c>
      <c r="T113" s="6">
        <v>0</v>
      </c>
      <c r="U113" s="6">
        <v>0</v>
      </c>
      <c r="V113" s="6">
        <v>0</v>
      </c>
      <c r="W113" s="6">
        <v>0</v>
      </c>
      <c r="X113" s="9">
        <v>1600</v>
      </c>
      <c r="Y113" s="9">
        <v>29.287499999999998</v>
      </c>
      <c r="Z113" s="9">
        <v>-178</v>
      </c>
      <c r="AA113" s="132">
        <v>8928</v>
      </c>
      <c r="AB113" s="132">
        <v>8715.9600000000009</v>
      </c>
      <c r="AC113" s="11">
        <v>1.1112500000000001</v>
      </c>
      <c r="AD113" s="71"/>
      <c r="AE113" s="71">
        <v>159.2206572769953</v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 t="s">
        <v>1</v>
      </c>
      <c r="BJ113" s="31"/>
    </row>
    <row r="114" spans="1:62" x14ac:dyDescent="0.35">
      <c r="A114" s="118"/>
      <c r="B114" s="30" t="s">
        <v>27</v>
      </c>
      <c r="C114" s="6" t="s">
        <v>5</v>
      </c>
      <c r="D114" s="6" t="s">
        <v>308</v>
      </c>
      <c r="E114" s="6" t="s">
        <v>315</v>
      </c>
      <c r="F114" s="6">
        <v>1078707</v>
      </c>
      <c r="G114" s="8" t="s">
        <v>695</v>
      </c>
      <c r="H114" s="129">
        <v>4305.0894869911044</v>
      </c>
      <c r="I114" s="129">
        <v>2815.5285244921824</v>
      </c>
      <c r="J114" s="9">
        <v>0</v>
      </c>
      <c r="K114" s="9">
        <v>192</v>
      </c>
      <c r="L114" s="100">
        <v>125.56800000000001</v>
      </c>
      <c r="M114" s="10">
        <v>5.5747970100324166E-2</v>
      </c>
      <c r="N114" s="100">
        <v>2689.9605244921822</v>
      </c>
      <c r="O114" s="100">
        <v>10.72258064516129</v>
      </c>
      <c r="P114" s="10">
        <v>1.3574193548387097</v>
      </c>
      <c r="Q114" s="6">
        <v>4307</v>
      </c>
      <c r="R114" s="6">
        <v>48</v>
      </c>
      <c r="S114" s="6">
        <v>4258</v>
      </c>
      <c r="T114" s="6">
        <v>0</v>
      </c>
      <c r="U114" s="6">
        <v>0</v>
      </c>
      <c r="V114" s="6">
        <v>0</v>
      </c>
      <c r="W114" s="6">
        <v>56</v>
      </c>
      <c r="X114" s="9">
        <v>4305.0894869911044</v>
      </c>
      <c r="Y114" s="9">
        <v>29.671857085897535</v>
      </c>
      <c r="Z114" s="9">
        <v>-193.91051300889558</v>
      </c>
      <c r="AA114" s="132">
        <v>51445.819369543693</v>
      </c>
      <c r="AB114" s="132">
        <v>51552.299999999996</v>
      </c>
      <c r="AC114" s="11">
        <v>1.0450421561723269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 t="s">
        <v>826</v>
      </c>
    </row>
    <row r="115" spans="1:62" ht="12.75" customHeight="1" x14ac:dyDescent="0.35">
      <c r="A115" s="118"/>
      <c r="B115" s="30" t="s">
        <v>22</v>
      </c>
      <c r="C115" s="6" t="s">
        <v>5</v>
      </c>
      <c r="D115" s="6" t="s">
        <v>396</v>
      </c>
      <c r="E115" s="6" t="s">
        <v>397</v>
      </c>
      <c r="F115" s="6">
        <v>1077857</v>
      </c>
      <c r="G115" s="8" t="s">
        <v>732</v>
      </c>
      <c r="H115" s="129">
        <v>400</v>
      </c>
      <c r="I115" s="129">
        <v>2000</v>
      </c>
      <c r="J115" s="9">
        <v>0</v>
      </c>
      <c r="K115" s="9">
        <v>17</v>
      </c>
      <c r="L115" s="100">
        <v>85</v>
      </c>
      <c r="M115" s="10">
        <v>4.2500000000000003E-2</v>
      </c>
      <c r="N115" s="100">
        <v>1915</v>
      </c>
      <c r="O115" s="100">
        <v>0</v>
      </c>
      <c r="P115" s="10">
        <v>0.96048047423622696</v>
      </c>
      <c r="Q115" s="6">
        <v>397</v>
      </c>
      <c r="R115" s="6">
        <v>0</v>
      </c>
      <c r="S115" s="6">
        <v>397</v>
      </c>
      <c r="T115" s="6">
        <v>0</v>
      </c>
      <c r="U115" s="6">
        <v>0</v>
      </c>
      <c r="V115" s="6">
        <v>0</v>
      </c>
      <c r="W115" s="6">
        <v>0</v>
      </c>
      <c r="X115" s="9">
        <v>400</v>
      </c>
      <c r="Y115" s="9">
        <v>29.775000000000002</v>
      </c>
      <c r="Z115" s="9">
        <v>-14</v>
      </c>
      <c r="AA115" s="132">
        <v>43320</v>
      </c>
      <c r="AB115" s="132">
        <v>42995.1</v>
      </c>
      <c r="AC115" s="11">
        <v>1.0349999999999999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2"/>
      <c r="BJ115" s="31"/>
    </row>
    <row r="116" spans="1:62" ht="12.75" customHeight="1" x14ac:dyDescent="0.35">
      <c r="A116" s="118"/>
      <c r="B116" s="30" t="s">
        <v>31</v>
      </c>
      <c r="C116" s="6" t="s">
        <v>5</v>
      </c>
      <c r="D116" s="6" t="s">
        <v>306</v>
      </c>
      <c r="E116" s="6" t="s">
        <v>307</v>
      </c>
      <c r="F116" s="6">
        <v>1058893</v>
      </c>
      <c r="G116" s="8" t="s">
        <v>261</v>
      </c>
      <c r="H116" s="129">
        <v>4763.5551071863629</v>
      </c>
      <c r="I116" s="129">
        <v>1429.0665321559088</v>
      </c>
      <c r="J116" s="9">
        <v>0</v>
      </c>
      <c r="K116" s="9">
        <v>420</v>
      </c>
      <c r="L116" s="100">
        <v>126</v>
      </c>
      <c r="M116" s="10">
        <v>8.8169442894946756E-2</v>
      </c>
      <c r="N116" s="100">
        <v>1303.0665321559088</v>
      </c>
      <c r="O116" s="100">
        <v>0</v>
      </c>
      <c r="P116" s="10">
        <v>1.773293213540186</v>
      </c>
      <c r="Q116" s="6">
        <v>4804</v>
      </c>
      <c r="R116" s="6">
        <v>0</v>
      </c>
      <c r="S116" s="6">
        <v>4804</v>
      </c>
      <c r="T116" s="6">
        <v>0</v>
      </c>
      <c r="U116" s="6">
        <v>0</v>
      </c>
      <c r="V116" s="6">
        <v>0</v>
      </c>
      <c r="W116" s="6">
        <v>0</v>
      </c>
      <c r="X116" s="9">
        <v>4763.5551071863629</v>
      </c>
      <c r="Y116" s="9">
        <v>30.254714547666016</v>
      </c>
      <c r="Z116" s="9">
        <v>-460.44489281363713</v>
      </c>
      <c r="AA116" s="132">
        <v>34869.223384604178</v>
      </c>
      <c r="AB116" s="132">
        <v>35165.279999999999</v>
      </c>
      <c r="AC116" s="11">
        <v>1.0966599278171474</v>
      </c>
      <c r="AD116" s="71"/>
      <c r="AE116" s="71">
        <v>26.635199999999998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15</v>
      </c>
      <c r="C117" s="6" t="s">
        <v>5</v>
      </c>
      <c r="D117" s="6" t="s">
        <v>308</v>
      </c>
      <c r="E117" s="6" t="s">
        <v>315</v>
      </c>
      <c r="F117" s="61">
        <v>1078183</v>
      </c>
      <c r="G117" s="70" t="s">
        <v>694</v>
      </c>
      <c r="H117" s="129">
        <v>1390</v>
      </c>
      <c r="I117" s="129">
        <v>390.59000000000003</v>
      </c>
      <c r="J117" s="9">
        <v>0</v>
      </c>
      <c r="K117" s="9">
        <v>140</v>
      </c>
      <c r="L117" s="100">
        <v>39.340000000000003</v>
      </c>
      <c r="M117" s="10">
        <v>0.10071942446043165</v>
      </c>
      <c r="N117" s="100">
        <v>351.25</v>
      </c>
      <c r="O117" s="100">
        <v>0</v>
      </c>
      <c r="P117" s="10">
        <v>0.66052819473893742</v>
      </c>
      <c r="Q117" s="6">
        <v>1414</v>
      </c>
      <c r="R117" s="6">
        <v>0</v>
      </c>
      <c r="S117" s="6">
        <v>1414</v>
      </c>
      <c r="T117" s="6">
        <v>0</v>
      </c>
      <c r="U117" s="6">
        <v>0</v>
      </c>
      <c r="V117" s="6">
        <v>0</v>
      </c>
      <c r="W117" s="6">
        <v>0</v>
      </c>
      <c r="X117" s="9">
        <v>1390</v>
      </c>
      <c r="Y117" s="9">
        <v>30.517985611510788</v>
      </c>
      <c r="Z117" s="9">
        <v>-164</v>
      </c>
      <c r="AA117" s="132">
        <v>6574.7000000000007</v>
      </c>
      <c r="AB117" s="132">
        <v>6688.22</v>
      </c>
      <c r="AC117" s="11">
        <v>1.1179856115107913</v>
      </c>
      <c r="AD117" s="71"/>
      <c r="AE117" s="71">
        <v>1010.848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1</v>
      </c>
      <c r="C118" s="6" t="s">
        <v>5</v>
      </c>
      <c r="D118" s="6" t="s">
        <v>396</v>
      </c>
      <c r="E118" s="6" t="s">
        <v>397</v>
      </c>
      <c r="F118" s="6">
        <v>1071302</v>
      </c>
      <c r="G118" s="8" t="s">
        <v>685</v>
      </c>
      <c r="H118" s="129">
        <v>350.00000010000002</v>
      </c>
      <c r="I118" s="129">
        <v>1575.00000045</v>
      </c>
      <c r="J118" s="9">
        <v>0</v>
      </c>
      <c r="K118" s="9">
        <v>19</v>
      </c>
      <c r="L118" s="100">
        <v>85.5</v>
      </c>
      <c r="M118" s="10">
        <v>5.428571427020408E-2</v>
      </c>
      <c r="N118" s="100">
        <v>1489.50000045</v>
      </c>
      <c r="O118" s="100">
        <v>0</v>
      </c>
      <c r="P118" s="10">
        <v>0.99955882352941172</v>
      </c>
      <c r="Q118" s="6">
        <v>360</v>
      </c>
      <c r="R118" s="6">
        <v>0</v>
      </c>
      <c r="S118" s="6">
        <v>360</v>
      </c>
      <c r="T118" s="6">
        <v>0</v>
      </c>
      <c r="U118" s="6">
        <v>0</v>
      </c>
      <c r="V118" s="6">
        <v>0</v>
      </c>
      <c r="W118" s="6">
        <v>0</v>
      </c>
      <c r="X118" s="9">
        <v>350.00000010000002</v>
      </c>
      <c r="Y118" s="9">
        <v>30.857142848326525</v>
      </c>
      <c r="Z118" s="9">
        <v>-28.999999899999978</v>
      </c>
      <c r="AA118" s="132">
        <v>24402.000006972001</v>
      </c>
      <c r="AB118" s="132">
        <v>25099.200000000001</v>
      </c>
      <c r="AC118" s="11">
        <v>1.0828571425477551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2"/>
      <c r="BJ118" s="31"/>
    </row>
    <row r="119" spans="1:62" ht="12.75" customHeight="1" x14ac:dyDescent="0.35">
      <c r="A119" s="118"/>
      <c r="B119" s="30">
        <v>0</v>
      </c>
      <c r="C119" s="6" t="s">
        <v>2</v>
      </c>
      <c r="D119" s="6" t="s">
        <v>310</v>
      </c>
      <c r="E119" s="6" t="s">
        <v>311</v>
      </c>
      <c r="F119" s="154">
        <v>1080745</v>
      </c>
      <c r="G119" s="162" t="s">
        <v>788</v>
      </c>
      <c r="H119" s="129">
        <v>1946.7256937465086</v>
      </c>
      <c r="I119" s="129">
        <v>934.42833299832409</v>
      </c>
      <c r="J119" s="9">
        <v>0</v>
      </c>
      <c r="K119" s="9">
        <v>0</v>
      </c>
      <c r="L119" s="100">
        <v>0</v>
      </c>
      <c r="M119" s="10">
        <v>0</v>
      </c>
      <c r="N119" s="100">
        <v>934.42833299832409</v>
      </c>
      <c r="O119" s="100">
        <v>0</v>
      </c>
      <c r="P119" s="10">
        <v>0</v>
      </c>
      <c r="Q119" s="6">
        <v>2080</v>
      </c>
      <c r="R119" s="6">
        <v>0</v>
      </c>
      <c r="S119" s="6">
        <v>2080</v>
      </c>
      <c r="T119" s="6">
        <v>0</v>
      </c>
      <c r="U119" s="6">
        <v>0</v>
      </c>
      <c r="V119" s="6">
        <v>0</v>
      </c>
      <c r="W119" s="6">
        <v>0</v>
      </c>
      <c r="X119" s="9">
        <v>1946.7256937465086</v>
      </c>
      <c r="Y119" s="9">
        <v>32.053822580370877</v>
      </c>
      <c r="Z119" s="9">
        <v>-133.27430625349143</v>
      </c>
      <c r="AA119" s="132">
        <v>44560.55112985758</v>
      </c>
      <c r="AB119" s="132">
        <v>47611.200000000004</v>
      </c>
      <c r="AC119" s="11">
        <v>1.0684607526790293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2" t="s">
        <v>1</v>
      </c>
      <c r="BJ119" s="31" t="s">
        <v>829</v>
      </c>
    </row>
    <row r="120" spans="1:62" ht="12.75" customHeight="1" x14ac:dyDescent="0.35">
      <c r="A120" s="118"/>
      <c r="B120" s="30" t="s">
        <v>4</v>
      </c>
      <c r="C120" s="6" t="s">
        <v>5</v>
      </c>
      <c r="D120" s="6" t="s">
        <v>308</v>
      </c>
      <c r="E120" s="6" t="s">
        <v>315</v>
      </c>
      <c r="F120" s="6">
        <v>1072749</v>
      </c>
      <c r="G120" s="8" t="s">
        <v>661</v>
      </c>
      <c r="H120" s="129">
        <v>13195.982182935113</v>
      </c>
      <c r="I120" s="129">
        <v>791.75893097610674</v>
      </c>
      <c r="J120" s="9">
        <v>0</v>
      </c>
      <c r="K120" s="9">
        <v>3616</v>
      </c>
      <c r="L120" s="100">
        <v>216.95999999999998</v>
      </c>
      <c r="M120" s="10">
        <v>0.3329043597589102</v>
      </c>
      <c r="N120" s="100">
        <v>574.7989309761067</v>
      </c>
      <c r="O120" s="100">
        <v>0</v>
      </c>
      <c r="P120" s="10">
        <v>0.61331451864418995</v>
      </c>
      <c r="Q120" s="6">
        <v>17010</v>
      </c>
      <c r="R120" s="6">
        <v>777</v>
      </c>
      <c r="S120" s="6">
        <v>16233</v>
      </c>
      <c r="T120" s="6">
        <v>0</v>
      </c>
      <c r="U120" s="6">
        <v>0</v>
      </c>
      <c r="V120" s="6">
        <v>0</v>
      </c>
      <c r="W120" s="6">
        <v>0</v>
      </c>
      <c r="X120" s="9">
        <v>15061.714285714284</v>
      </c>
      <c r="Y120" s="9">
        <v>32.332972911450042</v>
      </c>
      <c r="Z120" s="9">
        <v>-7430.0178170648869</v>
      </c>
      <c r="AA120" s="132">
        <v>8181.5089534197705</v>
      </c>
      <c r="AB120" s="132">
        <v>10064.459999999999</v>
      </c>
      <c r="AC120" s="11">
        <v>1.5630515193233057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2"/>
      <c r="BJ120" s="31" t="s">
        <v>806</v>
      </c>
    </row>
    <row r="121" spans="1:62" ht="12.75" customHeight="1" x14ac:dyDescent="0.35">
      <c r="A121" s="118"/>
      <c r="B121" s="30" t="s">
        <v>1</v>
      </c>
      <c r="C121" s="6" t="s">
        <v>50</v>
      </c>
      <c r="D121" s="6" t="s">
        <v>320</v>
      </c>
      <c r="E121" s="6" t="s">
        <v>402</v>
      </c>
      <c r="F121" s="6">
        <v>1060793</v>
      </c>
      <c r="G121" s="8" t="s">
        <v>430</v>
      </c>
      <c r="H121" s="129">
        <v>28312.209795258874</v>
      </c>
      <c r="I121" s="129">
        <v>5096.197763146597</v>
      </c>
      <c r="J121" s="9">
        <v>0</v>
      </c>
      <c r="K121" s="9">
        <v>2325</v>
      </c>
      <c r="L121" s="100">
        <v>418.5</v>
      </c>
      <c r="M121" s="10">
        <v>0.13580713154519922</v>
      </c>
      <c r="N121" s="100">
        <v>4677.697763146597</v>
      </c>
      <c r="O121" s="100">
        <v>0</v>
      </c>
      <c r="P121" s="10">
        <v>0.79863636363636359</v>
      </c>
      <c r="Q121" s="6">
        <v>32469</v>
      </c>
      <c r="R121" s="6">
        <v>1520</v>
      </c>
      <c r="S121" s="6">
        <v>30949</v>
      </c>
      <c r="T121" s="6">
        <v>0</v>
      </c>
      <c r="U121" s="6">
        <v>0</v>
      </c>
      <c r="V121" s="6">
        <v>0</v>
      </c>
      <c r="W121" s="6">
        <v>900</v>
      </c>
      <c r="X121" s="9">
        <v>28312.209795258874</v>
      </c>
      <c r="Y121" s="9">
        <v>32.793978524257767</v>
      </c>
      <c r="Z121" s="9">
        <v>-6481.7902047411262</v>
      </c>
      <c r="AA121" s="132">
        <v>194221.7591954759</v>
      </c>
      <c r="AB121" s="132">
        <v>218484.14</v>
      </c>
      <c r="AC121" s="11">
        <v>1.2289397490204583</v>
      </c>
      <c r="AD121" s="71"/>
      <c r="AE121" s="71" t="s">
        <v>574</v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/>
    </row>
    <row r="122" spans="1:62" ht="12.75" customHeight="1" x14ac:dyDescent="0.35">
      <c r="A122" s="118"/>
      <c r="B122" s="30" t="s">
        <v>22</v>
      </c>
      <c r="C122" s="6" t="s">
        <v>5</v>
      </c>
      <c r="D122" s="6" t="s">
        <v>306</v>
      </c>
      <c r="E122" s="6" t="s">
        <v>307</v>
      </c>
      <c r="F122" s="6">
        <v>1062351</v>
      </c>
      <c r="G122" s="8" t="s">
        <v>412</v>
      </c>
      <c r="H122" s="129">
        <v>50138.632421417882</v>
      </c>
      <c r="I122" s="129">
        <v>7520.7948632126818</v>
      </c>
      <c r="J122" s="9">
        <v>0</v>
      </c>
      <c r="K122" s="9">
        <v>4057</v>
      </c>
      <c r="L122" s="100">
        <v>608.54999999999995</v>
      </c>
      <c r="M122" s="10">
        <v>0.14840851536312355</v>
      </c>
      <c r="N122" s="100">
        <v>6912.2448632126816</v>
      </c>
      <c r="O122" s="100">
        <v>17.522057420187107</v>
      </c>
      <c r="P122" s="10">
        <v>3.065686345847022</v>
      </c>
      <c r="Q122" s="6">
        <v>58410</v>
      </c>
      <c r="R122" s="6">
        <v>3384</v>
      </c>
      <c r="S122" s="6">
        <v>55026</v>
      </c>
      <c r="T122" s="6">
        <v>0</v>
      </c>
      <c r="U122" s="6">
        <v>0</v>
      </c>
      <c r="V122" s="6">
        <v>0</v>
      </c>
      <c r="W122" s="6">
        <v>0</v>
      </c>
      <c r="X122" s="9">
        <v>50138.632421417882</v>
      </c>
      <c r="Y122" s="9">
        <v>32.924312456811862</v>
      </c>
      <c r="Z122" s="9">
        <v>-12328.367578582118</v>
      </c>
      <c r="AA122" s="132">
        <v>168465.80493596409</v>
      </c>
      <c r="AB122" s="132">
        <v>184887.36</v>
      </c>
      <c r="AC122" s="11">
        <v>1.2458855972568523</v>
      </c>
      <c r="AD122" s="71"/>
      <c r="AE122" s="71">
        <v>112.11666666666667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1</v>
      </c>
      <c r="C123" s="6" t="s">
        <v>2</v>
      </c>
      <c r="D123" s="6" t="s">
        <v>306</v>
      </c>
      <c r="E123" s="6" t="s">
        <v>401</v>
      </c>
      <c r="F123" s="6">
        <v>1075854</v>
      </c>
      <c r="G123" s="8" t="s">
        <v>689</v>
      </c>
      <c r="H123" s="129">
        <v>21138.559311243745</v>
      </c>
      <c r="I123" s="129">
        <v>7609.8813520477479</v>
      </c>
      <c r="J123" s="9">
        <v>0</v>
      </c>
      <c r="K123" s="9">
        <v>902</v>
      </c>
      <c r="L123" s="100">
        <v>324.71999999999997</v>
      </c>
      <c r="M123" s="10">
        <v>0.25782267938672182</v>
      </c>
      <c r="N123" s="100">
        <v>7285.1613520477476</v>
      </c>
      <c r="O123" s="100">
        <v>10.746662146702368</v>
      </c>
      <c r="P123" s="10">
        <v>1.3287606091905375</v>
      </c>
      <c r="Q123" s="6">
        <v>27985</v>
      </c>
      <c r="R123" s="6">
        <v>4548</v>
      </c>
      <c r="S123" s="6">
        <v>23437</v>
      </c>
      <c r="T123" s="6">
        <v>0</v>
      </c>
      <c r="U123" s="6">
        <v>0</v>
      </c>
      <c r="V123" s="6">
        <v>0</v>
      </c>
      <c r="W123" s="6">
        <v>0</v>
      </c>
      <c r="X123" s="9">
        <v>21138.559311243745</v>
      </c>
      <c r="Y123" s="9">
        <v>33.261964055706052</v>
      </c>
      <c r="Z123" s="9">
        <v>-7748.4406887562545</v>
      </c>
      <c r="AA123" s="132">
        <v>95546.288086821718</v>
      </c>
      <c r="AB123" s="132">
        <v>105935.23999999999</v>
      </c>
      <c r="AC123" s="11">
        <v>1.3665548145769237</v>
      </c>
      <c r="AD123" s="71"/>
      <c r="AE123" s="71">
        <v>31.309116809116805</v>
      </c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 t="s">
        <v>1</v>
      </c>
      <c r="BJ123" s="31"/>
    </row>
    <row r="124" spans="1:62" ht="12.75" customHeight="1" x14ac:dyDescent="0.35">
      <c r="A124" s="118"/>
      <c r="B124" s="30" t="s">
        <v>31</v>
      </c>
      <c r="C124" s="6" t="s">
        <v>5</v>
      </c>
      <c r="D124" s="6" t="s">
        <v>306</v>
      </c>
      <c r="E124" s="6" t="s">
        <v>307</v>
      </c>
      <c r="F124" s="6">
        <v>1071183</v>
      </c>
      <c r="G124" s="8" t="s">
        <v>591</v>
      </c>
      <c r="H124" s="129">
        <v>191689.2869303597</v>
      </c>
      <c r="I124" s="129">
        <v>26836.500170250361</v>
      </c>
      <c r="J124" s="9">
        <v>0</v>
      </c>
      <c r="K124" s="9">
        <v>23516</v>
      </c>
      <c r="L124" s="100">
        <v>3292.2400000000002</v>
      </c>
      <c r="M124" s="10">
        <v>0.1508482840280225</v>
      </c>
      <c r="N124" s="100">
        <v>23544.26017025036</v>
      </c>
      <c r="O124" s="100">
        <v>0</v>
      </c>
      <c r="P124" s="10">
        <v>0.86212133260304691</v>
      </c>
      <c r="Q124" s="6">
        <v>218602</v>
      </c>
      <c r="R124" s="6">
        <v>5400</v>
      </c>
      <c r="S124" s="6">
        <v>213202</v>
      </c>
      <c r="T124" s="6">
        <v>0</v>
      </c>
      <c r="U124" s="6">
        <v>24</v>
      </c>
      <c r="V124" s="6">
        <v>0</v>
      </c>
      <c r="W124" s="6">
        <v>30</v>
      </c>
      <c r="X124" s="9">
        <v>191689.28693035973</v>
      </c>
      <c r="Y124" s="9">
        <v>33.366809916318765</v>
      </c>
      <c r="Z124" s="9">
        <v>-50428.713069640304</v>
      </c>
      <c r="AA124" s="132">
        <v>515644.18184266757</v>
      </c>
      <c r="AB124" s="132">
        <v>573658.64</v>
      </c>
      <c r="AC124" s="11">
        <v>1.2630752812386481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/>
      <c r="BJ124" s="31"/>
    </row>
    <row r="125" spans="1:62" ht="12.75" customHeight="1" x14ac:dyDescent="0.35">
      <c r="A125" s="118"/>
      <c r="B125" s="30">
        <v>0</v>
      </c>
      <c r="C125" s="6" t="s">
        <v>2</v>
      </c>
      <c r="D125" s="6" t="s">
        <v>308</v>
      </c>
      <c r="E125" s="6" t="s">
        <v>395</v>
      </c>
      <c r="F125" s="154">
        <v>1080732</v>
      </c>
      <c r="G125" s="162" t="s">
        <v>787</v>
      </c>
      <c r="H125" s="129">
        <v>4462.0001199999997</v>
      </c>
      <c r="I125" s="129">
        <v>417.19701121999998</v>
      </c>
      <c r="J125" s="9">
        <v>0</v>
      </c>
      <c r="K125" s="9">
        <v>0</v>
      </c>
      <c r="L125" s="100">
        <v>0</v>
      </c>
      <c r="M125" s="10">
        <v>0.10309278073260116</v>
      </c>
      <c r="N125" s="100">
        <v>417.19701121999998</v>
      </c>
      <c r="O125" s="100">
        <v>0</v>
      </c>
      <c r="P125" s="10">
        <v>0</v>
      </c>
      <c r="Q125" s="6">
        <v>5482</v>
      </c>
      <c r="R125" s="6">
        <v>460</v>
      </c>
      <c r="S125" s="6">
        <v>5022</v>
      </c>
      <c r="T125" s="6">
        <v>0</v>
      </c>
      <c r="U125" s="6">
        <v>0</v>
      </c>
      <c r="V125" s="6">
        <v>0</v>
      </c>
      <c r="W125" s="6">
        <v>0</v>
      </c>
      <c r="X125" s="9">
        <v>4462.0001199999997</v>
      </c>
      <c r="Y125" s="9">
        <v>33.765126837334108</v>
      </c>
      <c r="Z125" s="9">
        <v>-1019.9998800000003</v>
      </c>
      <c r="AA125" s="132">
        <v>48992.761317600001</v>
      </c>
      <c r="AB125" s="132">
        <v>55141.560000000005</v>
      </c>
      <c r="AC125" s="11">
        <v>1.2285970086437381</v>
      </c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2" t="s">
        <v>1</v>
      </c>
      <c r="BJ125" s="31"/>
    </row>
    <row r="126" spans="1:62" ht="12.75" customHeight="1" x14ac:dyDescent="0.35">
      <c r="A126" s="118"/>
      <c r="B126" s="30" t="s">
        <v>1</v>
      </c>
      <c r="C126" s="6" t="s">
        <v>50</v>
      </c>
      <c r="D126" s="6" t="s">
        <v>316</v>
      </c>
      <c r="E126" s="6" t="s">
        <v>408</v>
      </c>
      <c r="F126" s="6">
        <v>1060662</v>
      </c>
      <c r="G126" s="8" t="s">
        <v>426</v>
      </c>
      <c r="H126" s="129">
        <v>1985.3687406795009</v>
      </c>
      <c r="I126" s="129">
        <v>4526.6407287492621</v>
      </c>
      <c r="J126" s="9">
        <v>0</v>
      </c>
      <c r="K126" s="9">
        <v>183</v>
      </c>
      <c r="L126" s="100">
        <v>417.23999999999995</v>
      </c>
      <c r="M126" s="10">
        <v>0.16470492019939975</v>
      </c>
      <c r="N126" s="100">
        <v>4109.4007287492623</v>
      </c>
      <c r="O126" s="100">
        <v>0</v>
      </c>
      <c r="P126" s="10">
        <v>0.50433168316831689</v>
      </c>
      <c r="Q126" s="6">
        <v>2380</v>
      </c>
      <c r="R126" s="6">
        <v>144</v>
      </c>
      <c r="S126" s="6">
        <v>2236</v>
      </c>
      <c r="T126" s="6">
        <v>0</v>
      </c>
      <c r="U126" s="6">
        <v>0</v>
      </c>
      <c r="V126" s="6">
        <v>0</v>
      </c>
      <c r="W126" s="6">
        <v>0</v>
      </c>
      <c r="X126" s="9">
        <v>1985.3687406795009</v>
      </c>
      <c r="Y126" s="9">
        <v>33.78717445558329</v>
      </c>
      <c r="Z126" s="9">
        <v>-577.63125932049911</v>
      </c>
      <c r="AA126" s="132">
        <v>24559.011322205424</v>
      </c>
      <c r="AB126" s="132">
        <v>27659.32</v>
      </c>
      <c r="AC126" s="11">
        <v>1.2909440687188427</v>
      </c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/>
      <c r="BJ126" s="31"/>
    </row>
    <row r="127" spans="1:62" ht="12.75" customHeight="1" x14ac:dyDescent="0.35">
      <c r="A127" s="118"/>
      <c r="B127" s="30" t="s">
        <v>1</v>
      </c>
      <c r="C127" s="6" t="s">
        <v>5</v>
      </c>
      <c r="D127" s="6" t="s">
        <v>396</v>
      </c>
      <c r="E127" s="6" t="s">
        <v>307</v>
      </c>
      <c r="F127" s="6">
        <v>1067889</v>
      </c>
      <c r="G127" s="8" t="s">
        <v>542</v>
      </c>
      <c r="H127" s="129">
        <v>1517.611358196616</v>
      </c>
      <c r="I127" s="129">
        <v>576.69231611471412</v>
      </c>
      <c r="J127" s="9">
        <v>0</v>
      </c>
      <c r="K127" s="9">
        <v>336</v>
      </c>
      <c r="L127" s="100">
        <v>127.68</v>
      </c>
      <c r="M127" s="10">
        <v>0.29256502173758575</v>
      </c>
      <c r="N127" s="100">
        <v>449.01231611471411</v>
      </c>
      <c r="O127" s="100">
        <v>0</v>
      </c>
      <c r="P127" s="10">
        <v>0</v>
      </c>
      <c r="Q127" s="6">
        <v>1840</v>
      </c>
      <c r="R127" s="6">
        <v>108</v>
      </c>
      <c r="S127" s="6">
        <v>1732</v>
      </c>
      <c r="T127" s="6">
        <v>0</v>
      </c>
      <c r="U127" s="6">
        <v>0</v>
      </c>
      <c r="V127" s="6">
        <v>0</v>
      </c>
      <c r="W127" s="6">
        <v>0</v>
      </c>
      <c r="X127" s="9">
        <v>1522.2857142857142</v>
      </c>
      <c r="Y127" s="9">
        <v>34.132882882882889</v>
      </c>
      <c r="Z127" s="9">
        <v>-658.38864180338396</v>
      </c>
      <c r="AA127" s="132">
        <v>4082.374553548897</v>
      </c>
      <c r="AB127" s="132">
        <v>4659.08</v>
      </c>
      <c r="AC127" s="11">
        <v>1.4338321786058257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/>
      <c r="BJ127" s="31"/>
    </row>
    <row r="128" spans="1:62" ht="12.75" customHeight="1" x14ac:dyDescent="0.35">
      <c r="A128" s="118"/>
      <c r="B128" s="30" t="s">
        <v>27</v>
      </c>
      <c r="C128" s="6" t="s">
        <v>5</v>
      </c>
      <c r="D128" s="6" t="s">
        <v>312</v>
      </c>
      <c r="E128" s="6" t="s">
        <v>313</v>
      </c>
      <c r="F128" s="61">
        <v>1072352</v>
      </c>
      <c r="G128" s="70" t="s">
        <v>592</v>
      </c>
      <c r="H128" s="129">
        <v>64328.557536110246</v>
      </c>
      <c r="I128" s="129">
        <v>14666.911118233136</v>
      </c>
      <c r="J128" s="9">
        <v>0</v>
      </c>
      <c r="K128" s="9">
        <v>4352</v>
      </c>
      <c r="L128" s="100">
        <v>992.25600000000009</v>
      </c>
      <c r="M128" s="10">
        <v>8.5840569282161758E-2</v>
      </c>
      <c r="N128" s="100">
        <v>13674.655118233137</v>
      </c>
      <c r="O128" s="100">
        <v>0</v>
      </c>
      <c r="P128" s="10">
        <v>0.76414807302231236</v>
      </c>
      <c r="Q128" s="6">
        <v>74427</v>
      </c>
      <c r="R128" s="6">
        <v>1170</v>
      </c>
      <c r="S128" s="6">
        <v>73255</v>
      </c>
      <c r="T128" s="6">
        <v>0</v>
      </c>
      <c r="U128" s="6">
        <v>0</v>
      </c>
      <c r="V128" s="6">
        <v>0</v>
      </c>
      <c r="W128" s="6">
        <v>30</v>
      </c>
      <c r="X128" s="9">
        <v>64328.557536110246</v>
      </c>
      <c r="Y128" s="9">
        <v>34.162898783582541</v>
      </c>
      <c r="Z128" s="9">
        <v>-14450.442463889754</v>
      </c>
      <c r="AA128" s="132">
        <v>139592.96985335922</v>
      </c>
      <c r="AB128" s="132">
        <v>159028.44999999998</v>
      </c>
      <c r="AC128" s="11">
        <v>1.2246349524591489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2"/>
      <c r="BJ128" s="31"/>
    </row>
    <row r="129" spans="1:62" ht="12.75" customHeight="1" x14ac:dyDescent="0.35">
      <c r="A129" s="118"/>
      <c r="B129" s="30" t="s">
        <v>15</v>
      </c>
      <c r="C129" s="6" t="s">
        <v>5</v>
      </c>
      <c r="D129" s="6" t="s">
        <v>308</v>
      </c>
      <c r="E129" s="6" t="s">
        <v>315</v>
      </c>
      <c r="F129" s="6">
        <v>1074226</v>
      </c>
      <c r="G129" s="131" t="s">
        <v>633</v>
      </c>
      <c r="H129" s="129">
        <v>2482.0898988843169</v>
      </c>
      <c r="I129" s="129">
        <v>496.41797977686338</v>
      </c>
      <c r="J129" s="9">
        <v>0</v>
      </c>
      <c r="K129" s="9">
        <v>69</v>
      </c>
      <c r="L129" s="100">
        <v>13.8</v>
      </c>
      <c r="M129" s="10">
        <v>5.3180990768840863E-2</v>
      </c>
      <c r="N129" s="100">
        <v>482.61797977686336</v>
      </c>
      <c r="O129" s="100">
        <v>6.7338129496402903</v>
      </c>
      <c r="P129" s="10">
        <v>1.2244604316546763</v>
      </c>
      <c r="Q129" s="6">
        <v>2901</v>
      </c>
      <c r="R129" s="6">
        <v>63</v>
      </c>
      <c r="S129" s="6">
        <v>2838</v>
      </c>
      <c r="T129" s="6">
        <v>0</v>
      </c>
      <c r="U129" s="6">
        <v>0</v>
      </c>
      <c r="V129" s="6">
        <v>0</v>
      </c>
      <c r="W129" s="6">
        <v>0</v>
      </c>
      <c r="X129" s="9">
        <v>2482.0898988843169</v>
      </c>
      <c r="Y129" s="9">
        <v>34.301739045902352</v>
      </c>
      <c r="Z129" s="9">
        <v>-487.91010111568312</v>
      </c>
      <c r="AA129" s="132">
        <v>6453.4337370992243</v>
      </c>
      <c r="AB129" s="132">
        <v>7378.8</v>
      </c>
      <c r="AC129" s="11">
        <v>1.1965722922989193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2" t="s">
        <v>1</v>
      </c>
      <c r="BJ129" s="31"/>
    </row>
    <row r="130" spans="1:62" ht="12.75" customHeight="1" x14ac:dyDescent="0.35">
      <c r="A130" s="118"/>
      <c r="B130" s="30" t="s">
        <v>21</v>
      </c>
      <c r="C130" s="6" t="s">
        <v>5</v>
      </c>
      <c r="D130" s="6" t="s">
        <v>396</v>
      </c>
      <c r="E130" s="6" t="s">
        <v>397</v>
      </c>
      <c r="F130" s="6">
        <v>1042368</v>
      </c>
      <c r="G130" s="8" t="s">
        <v>134</v>
      </c>
      <c r="H130" s="129">
        <v>200</v>
      </c>
      <c r="I130" s="129">
        <v>1920</v>
      </c>
      <c r="J130" s="9">
        <v>0</v>
      </c>
      <c r="K130" s="9">
        <v>83</v>
      </c>
      <c r="L130" s="100">
        <v>796.8</v>
      </c>
      <c r="M130" s="10">
        <v>0.41499999999999998</v>
      </c>
      <c r="N130" s="100">
        <v>1123.2</v>
      </c>
      <c r="O130" s="100">
        <v>0</v>
      </c>
      <c r="P130" s="10">
        <v>0.54577124623316409</v>
      </c>
      <c r="Q130" s="6">
        <v>346</v>
      </c>
      <c r="R130" s="6">
        <v>0</v>
      </c>
      <c r="S130" s="6">
        <v>346</v>
      </c>
      <c r="T130" s="6">
        <v>0</v>
      </c>
      <c r="U130" s="6">
        <v>0</v>
      </c>
      <c r="V130" s="6">
        <v>0</v>
      </c>
      <c r="W130" s="6">
        <v>9</v>
      </c>
      <c r="X130" s="9">
        <v>284.57142857142856</v>
      </c>
      <c r="Y130" s="9">
        <v>36.475903614457835</v>
      </c>
      <c r="Z130" s="9">
        <v>-229</v>
      </c>
      <c r="AA130" s="132">
        <v>18490</v>
      </c>
      <c r="AB130" s="132">
        <v>32819.75</v>
      </c>
      <c r="AC130" s="11">
        <v>2.145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/>
    </row>
    <row r="131" spans="1:62" ht="12.75" customHeight="1" x14ac:dyDescent="0.35">
      <c r="A131" s="118"/>
      <c r="B131" s="30" t="s">
        <v>1</v>
      </c>
      <c r="C131" s="6" t="s">
        <v>2</v>
      </c>
      <c r="D131" s="6" t="s">
        <v>310</v>
      </c>
      <c r="E131" s="6" t="s">
        <v>311</v>
      </c>
      <c r="F131" s="6">
        <v>1078887</v>
      </c>
      <c r="G131" s="8" t="s">
        <v>721</v>
      </c>
      <c r="H131" s="129">
        <v>10300</v>
      </c>
      <c r="I131" s="129">
        <v>1030</v>
      </c>
      <c r="J131" s="9">
        <v>0</v>
      </c>
      <c r="K131" s="9">
        <v>2427</v>
      </c>
      <c r="L131" s="100">
        <v>242.70000000000002</v>
      </c>
      <c r="M131" s="10">
        <v>0.33815533980582524</v>
      </c>
      <c r="N131" s="100">
        <v>787.3</v>
      </c>
      <c r="O131" s="100">
        <v>2.7882449193995247</v>
      </c>
      <c r="P131" s="10">
        <v>1.075868219191469</v>
      </c>
      <c r="Q131" s="6">
        <v>15729</v>
      </c>
      <c r="R131" s="6">
        <v>1056</v>
      </c>
      <c r="S131" s="6">
        <v>14673</v>
      </c>
      <c r="T131" s="6">
        <v>0</v>
      </c>
      <c r="U131" s="6">
        <v>0</v>
      </c>
      <c r="V131" s="6">
        <v>0</v>
      </c>
      <c r="W131" s="6">
        <v>1787</v>
      </c>
      <c r="X131" s="9">
        <v>11941.714285714284</v>
      </c>
      <c r="Y131" s="9">
        <v>36.861541774332473</v>
      </c>
      <c r="Z131" s="9">
        <v>-7856</v>
      </c>
      <c r="AA131" s="132">
        <v>22454</v>
      </c>
      <c r="AB131" s="132">
        <v>35882.800000000003</v>
      </c>
      <c r="AC131" s="11">
        <v>1.7627184466019417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22</v>
      </c>
      <c r="C132" s="6" t="s">
        <v>5</v>
      </c>
      <c r="D132" s="6" t="s">
        <v>396</v>
      </c>
      <c r="E132" s="6" t="s">
        <v>397</v>
      </c>
      <c r="F132" s="6">
        <v>1051097</v>
      </c>
      <c r="G132" s="8" t="s">
        <v>187</v>
      </c>
      <c r="H132" s="129">
        <v>1764.3759247823864</v>
      </c>
      <c r="I132" s="129">
        <v>1764.3759247823864</v>
      </c>
      <c r="J132" s="9">
        <v>0</v>
      </c>
      <c r="K132" s="9">
        <v>411</v>
      </c>
      <c r="L132" s="100">
        <v>411</v>
      </c>
      <c r="M132" s="10">
        <v>0.24994673402970619</v>
      </c>
      <c r="N132" s="100">
        <v>1353.3759247823864</v>
      </c>
      <c r="O132" s="100">
        <v>10.494908900179723</v>
      </c>
      <c r="P132" s="10">
        <v>1.3575879419751062</v>
      </c>
      <c r="Q132" s="6">
        <v>2259</v>
      </c>
      <c r="R132" s="6">
        <v>30</v>
      </c>
      <c r="S132" s="6">
        <v>2229</v>
      </c>
      <c r="T132" s="6">
        <v>0</v>
      </c>
      <c r="U132" s="6">
        <v>0</v>
      </c>
      <c r="V132" s="6">
        <v>0</v>
      </c>
      <c r="W132" s="6">
        <v>0</v>
      </c>
      <c r="X132" s="9">
        <v>1764.3759247823864</v>
      </c>
      <c r="Y132" s="9">
        <v>37.900086404912585</v>
      </c>
      <c r="Z132" s="9">
        <v>-905.62407521761361</v>
      </c>
      <c r="AA132" s="132">
        <v>35922.693828569383</v>
      </c>
      <c r="AB132" s="132">
        <v>45382.44</v>
      </c>
      <c r="AC132" s="11">
        <v>1.5132829475267924</v>
      </c>
      <c r="AD132" s="71"/>
      <c r="AE132" s="71">
        <v>163.25564506978327</v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/>
    </row>
    <row r="133" spans="1:62" ht="12.75" customHeight="1" x14ac:dyDescent="0.35">
      <c r="A133" s="118"/>
      <c r="B133" s="30" t="s">
        <v>1</v>
      </c>
      <c r="C133" s="6" t="s">
        <v>50</v>
      </c>
      <c r="D133" s="6" t="s">
        <v>320</v>
      </c>
      <c r="E133" s="6" t="s">
        <v>402</v>
      </c>
      <c r="F133" s="148">
        <v>1060791</v>
      </c>
      <c r="G133" s="149" t="s">
        <v>428</v>
      </c>
      <c r="H133" s="129">
        <v>10037.747435513329</v>
      </c>
      <c r="I133" s="129">
        <v>1806.7945383923991</v>
      </c>
      <c r="J133" s="9">
        <v>0</v>
      </c>
      <c r="K133" s="9">
        <v>328</v>
      </c>
      <c r="L133" s="100">
        <v>59.04</v>
      </c>
      <c r="M133" s="10">
        <v>0.12831564136024029</v>
      </c>
      <c r="N133" s="100">
        <v>1747.7545383923991</v>
      </c>
      <c r="O133" s="100">
        <v>0</v>
      </c>
      <c r="P133" s="10">
        <v>0.95433688804585515</v>
      </c>
      <c r="Q133" s="6">
        <v>13759</v>
      </c>
      <c r="R133" s="6">
        <v>960</v>
      </c>
      <c r="S133" s="6">
        <v>12799</v>
      </c>
      <c r="T133" s="6">
        <v>0</v>
      </c>
      <c r="U133" s="6">
        <v>0</v>
      </c>
      <c r="V133" s="6">
        <v>0</v>
      </c>
      <c r="W133" s="6">
        <v>0</v>
      </c>
      <c r="X133" s="9">
        <v>10037.747435513329</v>
      </c>
      <c r="Y133" s="9">
        <v>38.252606221344301</v>
      </c>
      <c r="Z133" s="9">
        <v>-4049.252564486671</v>
      </c>
      <c r="AA133" s="132">
        <v>68858.947407621439</v>
      </c>
      <c r="AB133" s="132">
        <v>87801.14</v>
      </c>
      <c r="AC133" s="11">
        <v>1.4034025154050505</v>
      </c>
      <c r="AD133" s="71"/>
      <c r="AE133" s="71">
        <v>5.2400270453008789E-2</v>
      </c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 t="s">
        <v>1</v>
      </c>
      <c r="BJ133" s="31"/>
    </row>
    <row r="134" spans="1:62" ht="12.75" customHeight="1" x14ac:dyDescent="0.35">
      <c r="A134" s="118"/>
      <c r="B134" s="30" t="s">
        <v>15</v>
      </c>
      <c r="C134" s="6" t="s">
        <v>5</v>
      </c>
      <c r="D134" s="6" t="s">
        <v>308</v>
      </c>
      <c r="E134" s="6" t="s">
        <v>397</v>
      </c>
      <c r="F134" s="61">
        <v>1074165</v>
      </c>
      <c r="G134" s="70" t="s">
        <v>631</v>
      </c>
      <c r="H134" s="129">
        <v>12885.535414600512</v>
      </c>
      <c r="I134" s="129">
        <v>12885.535414600512</v>
      </c>
      <c r="J134" s="9">
        <v>0</v>
      </c>
      <c r="K134" s="9">
        <v>585</v>
      </c>
      <c r="L134" s="100">
        <v>585</v>
      </c>
      <c r="M134" s="10">
        <v>5.238431918282279E-2</v>
      </c>
      <c r="N134" s="100">
        <v>12300.535414600512</v>
      </c>
      <c r="O134" s="100">
        <v>9.0264122197286731</v>
      </c>
      <c r="P134" s="10">
        <v>1.3566204376335407</v>
      </c>
      <c r="Q134" s="6">
        <v>16555</v>
      </c>
      <c r="R134" s="6">
        <v>90</v>
      </c>
      <c r="S134" s="6">
        <v>16465</v>
      </c>
      <c r="T134" s="6">
        <v>0</v>
      </c>
      <c r="U134" s="6">
        <v>0</v>
      </c>
      <c r="V134" s="6">
        <v>4959</v>
      </c>
      <c r="W134" s="6">
        <v>124</v>
      </c>
      <c r="X134" s="9">
        <v>12885.535414600512</v>
      </c>
      <c r="Y134" s="9">
        <v>38.333680682007873</v>
      </c>
      <c r="Z134" s="9">
        <v>-4254.464585399488</v>
      </c>
      <c r="AA134" s="132">
        <v>144575.70735181775</v>
      </c>
      <c r="AB134" s="132">
        <v>241768.56000000003</v>
      </c>
      <c r="AC134" s="11">
        <v>1.3301736752497519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126" t="s">
        <v>1</v>
      </c>
      <c r="BJ134" s="31"/>
    </row>
    <row r="135" spans="1:62" ht="12.75" customHeight="1" x14ac:dyDescent="0.35">
      <c r="A135" s="118"/>
      <c r="B135" s="30" t="s">
        <v>1</v>
      </c>
      <c r="C135" s="6" t="s">
        <v>50</v>
      </c>
      <c r="D135" s="6" t="s">
        <v>320</v>
      </c>
      <c r="E135" s="6" t="s">
        <v>402</v>
      </c>
      <c r="F135" s="61">
        <v>1060798</v>
      </c>
      <c r="G135" s="70" t="s">
        <v>435</v>
      </c>
      <c r="H135" s="129">
        <v>12919.300242108769</v>
      </c>
      <c r="I135" s="129">
        <v>2325.4740435795784</v>
      </c>
      <c r="J135" s="9">
        <v>0</v>
      </c>
      <c r="K135" s="9">
        <v>497</v>
      </c>
      <c r="L135" s="100">
        <v>89.46</v>
      </c>
      <c r="M135" s="10">
        <v>6.5096404932124E-2</v>
      </c>
      <c r="N135" s="100">
        <v>2236.0140435795784</v>
      </c>
      <c r="O135" s="100">
        <v>0</v>
      </c>
      <c r="P135" s="10">
        <v>0.54039928122482395</v>
      </c>
      <c r="Q135" s="6">
        <v>16999</v>
      </c>
      <c r="R135" s="6">
        <v>344</v>
      </c>
      <c r="S135" s="6">
        <v>16655</v>
      </c>
      <c r="T135" s="6">
        <v>0</v>
      </c>
      <c r="U135" s="6">
        <v>0</v>
      </c>
      <c r="V135" s="6">
        <v>0</v>
      </c>
      <c r="W135" s="6">
        <v>8</v>
      </c>
      <c r="X135" s="9">
        <v>12919.300242108769</v>
      </c>
      <c r="Y135" s="9">
        <v>38.674695272694116</v>
      </c>
      <c r="Z135" s="9">
        <v>-4576.6997578912305</v>
      </c>
      <c r="AA135" s="132">
        <v>88626.399660866169</v>
      </c>
      <c r="AB135" s="132">
        <v>114308.18000000001</v>
      </c>
      <c r="AC135" s="11">
        <v>1.3542529140219279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 t="s">
        <v>1</v>
      </c>
      <c r="BJ135" s="31"/>
    </row>
    <row r="136" spans="1:62" ht="12.75" customHeight="1" x14ac:dyDescent="0.35">
      <c r="A136" s="118"/>
      <c r="B136" s="30" t="s">
        <v>27</v>
      </c>
      <c r="C136" s="6" t="s">
        <v>5</v>
      </c>
      <c r="D136" s="6" t="s">
        <v>312</v>
      </c>
      <c r="E136" s="6" t="s">
        <v>313</v>
      </c>
      <c r="F136" s="6">
        <v>1076340</v>
      </c>
      <c r="G136" s="8" t="s">
        <v>651</v>
      </c>
      <c r="H136" s="129">
        <v>228</v>
      </c>
      <c r="I136" s="129">
        <v>1299.6000000000001</v>
      </c>
      <c r="J136" s="9">
        <v>0</v>
      </c>
      <c r="K136" s="9">
        <v>0</v>
      </c>
      <c r="L136" s="100">
        <v>0</v>
      </c>
      <c r="M136" s="10">
        <v>0</v>
      </c>
      <c r="N136" s="100">
        <v>1299.6000000000001</v>
      </c>
      <c r="O136" s="100">
        <v>0</v>
      </c>
      <c r="P136" s="10">
        <v>0.67502634993090915</v>
      </c>
      <c r="Q136" s="6">
        <v>294</v>
      </c>
      <c r="R136" s="6">
        <v>0</v>
      </c>
      <c r="S136" s="6">
        <v>294</v>
      </c>
      <c r="T136" s="6">
        <v>0</v>
      </c>
      <c r="U136" s="6">
        <v>0</v>
      </c>
      <c r="V136" s="6">
        <v>0</v>
      </c>
      <c r="W136" s="6">
        <v>0</v>
      </c>
      <c r="X136" s="9">
        <v>228</v>
      </c>
      <c r="Y136" s="9">
        <v>38.684210526315788</v>
      </c>
      <c r="Z136" s="9">
        <v>-66</v>
      </c>
      <c r="AA136" s="132">
        <v>10057.08</v>
      </c>
      <c r="AB136" s="132">
        <v>12968.34</v>
      </c>
      <c r="AC136" s="11">
        <v>1.2894736842105263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/>
      <c r="BJ136" s="31"/>
    </row>
    <row r="137" spans="1:62" ht="12.75" customHeight="1" x14ac:dyDescent="0.35">
      <c r="A137" s="118"/>
      <c r="B137" s="30" t="s">
        <v>31</v>
      </c>
      <c r="C137" s="6" t="s">
        <v>5</v>
      </c>
      <c r="D137" s="6" t="s">
        <v>306</v>
      </c>
      <c r="E137" s="6" t="s">
        <v>307</v>
      </c>
      <c r="F137" s="61">
        <v>1075354</v>
      </c>
      <c r="G137" s="70" t="s">
        <v>670</v>
      </c>
      <c r="H137" s="129">
        <v>12117.135518167654</v>
      </c>
      <c r="I137" s="129">
        <v>1090.5421966350889</v>
      </c>
      <c r="J137" s="9">
        <v>0</v>
      </c>
      <c r="K137" s="9">
        <v>300</v>
      </c>
      <c r="L137" s="100">
        <v>27</v>
      </c>
      <c r="M137" s="10">
        <v>2.4758326714279896E-2</v>
      </c>
      <c r="N137" s="100">
        <v>1063.5421966350889</v>
      </c>
      <c r="O137" s="100">
        <v>0</v>
      </c>
      <c r="P137" s="10">
        <v>0.30633438453702727</v>
      </c>
      <c r="Q137" s="6">
        <v>15672</v>
      </c>
      <c r="R137" s="6">
        <v>0</v>
      </c>
      <c r="S137" s="6">
        <v>15672</v>
      </c>
      <c r="T137" s="6">
        <v>0</v>
      </c>
      <c r="U137" s="6">
        <v>0</v>
      </c>
      <c r="V137" s="6">
        <v>0</v>
      </c>
      <c r="W137" s="6">
        <v>0</v>
      </c>
      <c r="X137" s="9">
        <v>12117.135518167654</v>
      </c>
      <c r="Y137" s="9">
        <v>38.801249626619452</v>
      </c>
      <c r="Z137" s="9">
        <v>-3854.8644818323464</v>
      </c>
      <c r="AA137" s="132">
        <v>21568.501222338422</v>
      </c>
      <c r="AB137" s="132">
        <v>27896.16</v>
      </c>
      <c r="AC137" s="11">
        <v>1.3181333142682616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2" t="s">
        <v>1</v>
      </c>
      <c r="BJ137" s="31"/>
    </row>
    <row r="138" spans="1:62" ht="12.75" customHeight="1" x14ac:dyDescent="0.35">
      <c r="A138" s="118"/>
      <c r="B138" s="30" t="s">
        <v>1</v>
      </c>
      <c r="C138" s="6" t="s">
        <v>50</v>
      </c>
      <c r="D138" s="6" t="s">
        <v>320</v>
      </c>
      <c r="E138" s="6" t="s">
        <v>402</v>
      </c>
      <c r="F138" s="6">
        <v>1060796</v>
      </c>
      <c r="G138" s="8" t="s">
        <v>433</v>
      </c>
      <c r="H138" s="129">
        <v>41024.912002145014</v>
      </c>
      <c r="I138" s="129">
        <v>7384.4841603861023</v>
      </c>
      <c r="J138" s="9">
        <v>0</v>
      </c>
      <c r="K138" s="9">
        <v>4985</v>
      </c>
      <c r="L138" s="100">
        <v>897.3</v>
      </c>
      <c r="M138" s="10">
        <v>0.17223681063911969</v>
      </c>
      <c r="N138" s="100">
        <v>6487.1841603861021</v>
      </c>
      <c r="O138" s="100">
        <v>0</v>
      </c>
      <c r="P138" s="10">
        <v>0.4</v>
      </c>
      <c r="Q138" s="6">
        <v>55221</v>
      </c>
      <c r="R138" s="6">
        <v>2081</v>
      </c>
      <c r="S138" s="6">
        <v>53140</v>
      </c>
      <c r="T138" s="6">
        <v>0</v>
      </c>
      <c r="U138" s="6">
        <v>0</v>
      </c>
      <c r="V138" s="6">
        <v>0</v>
      </c>
      <c r="W138" s="6">
        <v>0</v>
      </c>
      <c r="X138" s="9">
        <v>41024.912002145014</v>
      </c>
      <c r="Y138" s="9">
        <v>38.85931552800519</v>
      </c>
      <c r="Z138" s="9">
        <v>-19181.087997854986</v>
      </c>
      <c r="AA138" s="132">
        <v>280610.39809467189</v>
      </c>
      <c r="AB138" s="132">
        <v>363477.6</v>
      </c>
      <c r="AC138" s="11">
        <v>1.4675473282392926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 t="s">
        <v>831</v>
      </c>
    </row>
    <row r="139" spans="1:62" ht="12.75" customHeight="1" x14ac:dyDescent="0.35">
      <c r="A139" s="118"/>
      <c r="B139" s="30" t="s">
        <v>9</v>
      </c>
      <c r="C139" s="6" t="s">
        <v>5</v>
      </c>
      <c r="D139" s="6" t="s">
        <v>308</v>
      </c>
      <c r="E139" s="6" t="s">
        <v>315</v>
      </c>
      <c r="F139" s="120">
        <v>1082308</v>
      </c>
      <c r="G139" s="121" t="s">
        <v>757</v>
      </c>
      <c r="H139" s="129">
        <v>66602.638259441184</v>
      </c>
      <c r="I139" s="129">
        <v>17716.301777011355</v>
      </c>
      <c r="J139" s="9">
        <v>0</v>
      </c>
      <c r="K139" s="9">
        <v>2160</v>
      </c>
      <c r="L139" s="100">
        <v>574.56000000000006</v>
      </c>
      <c r="M139" s="10">
        <v>3.2431147720996048E-2</v>
      </c>
      <c r="N139" s="100">
        <v>17141.741777011353</v>
      </c>
      <c r="O139" s="100">
        <v>8.1960138888837939</v>
      </c>
      <c r="P139" s="10">
        <v>1.2743095010344963</v>
      </c>
      <c r="Q139" s="6">
        <v>87180</v>
      </c>
      <c r="R139" s="6">
        <v>0</v>
      </c>
      <c r="S139" s="6">
        <v>87180</v>
      </c>
      <c r="T139" s="6">
        <v>0</v>
      </c>
      <c r="U139" s="6">
        <v>0</v>
      </c>
      <c r="V139" s="6">
        <v>0</v>
      </c>
      <c r="W139" s="6">
        <v>0</v>
      </c>
      <c r="X139" s="9">
        <v>66602.638259441184</v>
      </c>
      <c r="Y139" s="9">
        <v>39.268714698839375</v>
      </c>
      <c r="Z139" s="9">
        <v>-22737.361740558816</v>
      </c>
      <c r="AA139" s="132">
        <v>378969.01169622038</v>
      </c>
      <c r="AB139" s="132">
        <v>496054.2</v>
      </c>
      <c r="AC139" s="11">
        <v>1.3413883043489754</v>
      </c>
      <c r="AD139" s="71"/>
      <c r="AE139" s="71">
        <v>56.781838316722038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31</v>
      </c>
      <c r="C140" s="6" t="s">
        <v>5</v>
      </c>
      <c r="D140" s="6" t="s">
        <v>306</v>
      </c>
      <c r="E140" s="6" t="s">
        <v>307</v>
      </c>
      <c r="F140" s="6">
        <v>1078161</v>
      </c>
      <c r="G140" s="8" t="s">
        <v>705</v>
      </c>
      <c r="H140" s="129">
        <v>4739.7301470349103</v>
      </c>
      <c r="I140" s="129">
        <v>1758.4398845499518</v>
      </c>
      <c r="J140" s="9">
        <v>0</v>
      </c>
      <c r="K140" s="9">
        <v>48</v>
      </c>
      <c r="L140" s="100">
        <v>17.808</v>
      </c>
      <c r="M140" s="10">
        <v>5.316758384602268E-2</v>
      </c>
      <c r="N140" s="100">
        <v>1740.6318845499518</v>
      </c>
      <c r="O140" s="100">
        <v>26.673169355018267</v>
      </c>
      <c r="P140" s="10">
        <v>1.9056784999321463</v>
      </c>
      <c r="Q140" s="6">
        <v>6527</v>
      </c>
      <c r="R140" s="6">
        <v>204</v>
      </c>
      <c r="S140" s="6">
        <v>6323</v>
      </c>
      <c r="T140" s="6">
        <v>0</v>
      </c>
      <c r="U140" s="6">
        <v>0</v>
      </c>
      <c r="V140" s="6">
        <v>0</v>
      </c>
      <c r="W140" s="6">
        <v>0</v>
      </c>
      <c r="X140" s="9">
        <v>4739.7301470349103</v>
      </c>
      <c r="Y140" s="9">
        <v>40.021265792666831</v>
      </c>
      <c r="Z140" s="9">
        <v>-1835.2698529650897</v>
      </c>
      <c r="AA140" s="132">
        <v>46070.177029179329</v>
      </c>
      <c r="AB140" s="132">
        <v>61459.560000000005</v>
      </c>
      <c r="AC140" s="11">
        <v>1.3872097769349172</v>
      </c>
      <c r="AD140" s="71"/>
      <c r="AE140" s="71">
        <v>40.776923076923076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1</v>
      </c>
      <c r="C141" s="6" t="s">
        <v>2</v>
      </c>
      <c r="D141" s="6" t="s">
        <v>306</v>
      </c>
      <c r="E141" s="6" t="s">
        <v>401</v>
      </c>
      <c r="F141" s="61">
        <v>1064893</v>
      </c>
      <c r="G141" s="70" t="s">
        <v>535</v>
      </c>
      <c r="H141" s="129">
        <v>1048.7424049523765</v>
      </c>
      <c r="I141" s="129">
        <v>1887.7363289142779</v>
      </c>
      <c r="J141" s="9">
        <v>0</v>
      </c>
      <c r="K141" s="9">
        <v>240</v>
      </c>
      <c r="L141" s="100">
        <v>432</v>
      </c>
      <c r="M141" s="10">
        <v>0.5320658317667043</v>
      </c>
      <c r="N141" s="100">
        <v>1455.7363289142779</v>
      </c>
      <c r="O141" s="100">
        <v>0.51611329933386463</v>
      </c>
      <c r="P141" s="10">
        <v>1.0172037766444622</v>
      </c>
      <c r="Q141" s="6">
        <v>2882</v>
      </c>
      <c r="R141" s="6">
        <v>318</v>
      </c>
      <c r="S141" s="6">
        <v>2564</v>
      </c>
      <c r="T141" s="6">
        <v>0</v>
      </c>
      <c r="U141" s="6">
        <v>0</v>
      </c>
      <c r="V141" s="6">
        <v>0</v>
      </c>
      <c r="W141" s="6">
        <v>0</v>
      </c>
      <c r="X141" s="9">
        <v>1913.1428571428571</v>
      </c>
      <c r="Y141" s="9">
        <v>40.206093189964157</v>
      </c>
      <c r="Z141" s="9">
        <v>-2073.2575950476235</v>
      </c>
      <c r="AA141" s="132">
        <v>3156.7146389066534</v>
      </c>
      <c r="AB141" s="132">
        <v>7717.6399999999994</v>
      </c>
      <c r="AC141" s="11">
        <v>2.9768987935047502</v>
      </c>
      <c r="AD141" s="71"/>
      <c r="AE141" s="71" t="s">
        <v>574</v>
      </c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 t="s">
        <v>1</v>
      </c>
      <c r="BJ141" s="31"/>
    </row>
    <row r="142" spans="1:62" ht="12.75" customHeight="1" x14ac:dyDescent="0.35">
      <c r="A142" s="118"/>
      <c r="B142" s="30" t="s">
        <v>15</v>
      </c>
      <c r="C142" s="6" t="s">
        <v>5</v>
      </c>
      <c r="D142" s="6" t="s">
        <v>308</v>
      </c>
      <c r="E142" s="6" t="s">
        <v>315</v>
      </c>
      <c r="F142" s="61">
        <v>1074235</v>
      </c>
      <c r="G142" s="70" t="s">
        <v>636</v>
      </c>
      <c r="H142" s="129">
        <v>1438.5349221518081</v>
      </c>
      <c r="I142" s="129">
        <v>1078.9011916138561</v>
      </c>
      <c r="J142" s="9">
        <v>0</v>
      </c>
      <c r="K142" s="9">
        <v>220</v>
      </c>
      <c r="L142" s="100">
        <v>165</v>
      </c>
      <c r="M142" s="10">
        <v>0.17378792558337181</v>
      </c>
      <c r="N142" s="100">
        <v>913.9011916138561</v>
      </c>
      <c r="O142" s="100">
        <v>0</v>
      </c>
      <c r="P142" s="10">
        <v>0.98124139560935042</v>
      </c>
      <c r="Q142" s="6">
        <v>1968</v>
      </c>
      <c r="R142" s="6">
        <v>30</v>
      </c>
      <c r="S142" s="6">
        <v>1938</v>
      </c>
      <c r="T142" s="6">
        <v>0</v>
      </c>
      <c r="U142" s="6">
        <v>0</v>
      </c>
      <c r="V142" s="6">
        <v>0</v>
      </c>
      <c r="W142" s="6">
        <v>0</v>
      </c>
      <c r="X142" s="9">
        <v>1438.5349221518081</v>
      </c>
      <c r="Y142" s="9">
        <v>40.416119973668948</v>
      </c>
      <c r="Z142" s="9">
        <v>-749.46507784819187</v>
      </c>
      <c r="AA142" s="132">
        <v>13018.741045473864</v>
      </c>
      <c r="AB142" s="132">
        <v>17538.900000000001</v>
      </c>
      <c r="AC142" s="11">
        <v>1.5209919247056702</v>
      </c>
      <c r="AD142" s="71"/>
      <c r="AE142" s="71">
        <v>339.04983660130716</v>
      </c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126" t="s">
        <v>1</v>
      </c>
      <c r="BJ142" s="31"/>
    </row>
    <row r="143" spans="1:62" ht="12.75" customHeight="1" x14ac:dyDescent="0.35">
      <c r="A143" s="118"/>
      <c r="B143" s="30" t="s">
        <v>8</v>
      </c>
      <c r="C143" s="6" t="s">
        <v>5</v>
      </c>
      <c r="D143" s="6" t="s">
        <v>308</v>
      </c>
      <c r="E143" s="6" t="s">
        <v>309</v>
      </c>
      <c r="F143" s="123">
        <v>1079847</v>
      </c>
      <c r="G143" s="124" t="s">
        <v>728</v>
      </c>
      <c r="H143" s="129">
        <v>8271.166346510523</v>
      </c>
      <c r="I143" s="129">
        <v>3176.1278770600411</v>
      </c>
      <c r="J143" s="9">
        <v>0</v>
      </c>
      <c r="K143" s="9">
        <v>1</v>
      </c>
      <c r="L143" s="100">
        <v>0.38400000000000001</v>
      </c>
      <c r="M143" s="10">
        <v>4.703085196250624E-2</v>
      </c>
      <c r="N143" s="100">
        <v>3175.7438770600411</v>
      </c>
      <c r="O143" s="100">
        <v>0</v>
      </c>
      <c r="P143" s="10">
        <v>0.92272727272727273</v>
      </c>
      <c r="Q143" s="6">
        <v>11539</v>
      </c>
      <c r="R143" s="6">
        <v>388</v>
      </c>
      <c r="S143" s="6">
        <v>11151</v>
      </c>
      <c r="T143" s="6">
        <v>0</v>
      </c>
      <c r="U143" s="6">
        <v>0</v>
      </c>
      <c r="V143" s="6">
        <v>0</v>
      </c>
      <c r="W143" s="6">
        <v>1</v>
      </c>
      <c r="X143" s="9">
        <v>8271.166346510523</v>
      </c>
      <c r="Y143" s="9">
        <v>40.445323668424713</v>
      </c>
      <c r="Z143" s="9">
        <v>-3268.833653489477</v>
      </c>
      <c r="AA143" s="132">
        <v>74275.073791664501</v>
      </c>
      <c r="AB143" s="132">
        <v>100144.96000000001</v>
      </c>
      <c r="AC143" s="11">
        <v>1.3952083075766633</v>
      </c>
      <c r="AD143" s="71"/>
      <c r="AE143" s="71"/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5">
      <c r="A144" s="118"/>
      <c r="B144" s="30" t="s">
        <v>27</v>
      </c>
      <c r="C144" s="6" t="s">
        <v>5</v>
      </c>
      <c r="D144" s="6" t="s">
        <v>312</v>
      </c>
      <c r="E144" s="6" t="s">
        <v>313</v>
      </c>
      <c r="F144" s="6">
        <v>1052861</v>
      </c>
      <c r="G144" s="8" t="s">
        <v>196</v>
      </c>
      <c r="H144" s="129">
        <v>12988.152287151419</v>
      </c>
      <c r="I144" s="129">
        <v>597.4550052089653</v>
      </c>
      <c r="J144" s="9">
        <v>0</v>
      </c>
      <c r="K144" s="9">
        <v>1848</v>
      </c>
      <c r="L144" s="100">
        <v>85.007999999999996</v>
      </c>
      <c r="M144" s="10">
        <v>0.14905892364036996</v>
      </c>
      <c r="N144" s="100">
        <v>512.44700520896527</v>
      </c>
      <c r="O144" s="100">
        <v>0</v>
      </c>
      <c r="P144" s="10">
        <v>0</v>
      </c>
      <c r="Q144" s="6">
        <v>17688</v>
      </c>
      <c r="R144" s="6">
        <v>88</v>
      </c>
      <c r="S144" s="6">
        <v>17600</v>
      </c>
      <c r="T144" s="6">
        <v>0</v>
      </c>
      <c r="U144" s="6">
        <v>0</v>
      </c>
      <c r="V144" s="6">
        <v>0</v>
      </c>
      <c r="W144" s="6">
        <v>0</v>
      </c>
      <c r="X144" s="9">
        <v>12988.152287151419</v>
      </c>
      <c r="Y144" s="9">
        <v>40.652433720100902</v>
      </c>
      <c r="Z144" s="9">
        <v>-6547.8477128485811</v>
      </c>
      <c r="AA144" s="132">
        <v>6623.9576664472233</v>
      </c>
      <c r="AB144" s="132">
        <v>8976</v>
      </c>
      <c r="AC144" s="11">
        <v>1.5041400476437334</v>
      </c>
      <c r="AD144" s="71"/>
      <c r="AE144" s="71">
        <v>7.7885819816926292</v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 t="s">
        <v>1</v>
      </c>
      <c r="BJ144" s="31"/>
    </row>
    <row r="145" spans="1:62" ht="12.75" customHeight="1" x14ac:dyDescent="0.35">
      <c r="A145" s="118"/>
      <c r="B145" s="30" t="s">
        <v>21</v>
      </c>
      <c r="C145" s="6" t="s">
        <v>5</v>
      </c>
      <c r="D145" s="6" t="s">
        <v>396</v>
      </c>
      <c r="E145" s="6" t="s">
        <v>307</v>
      </c>
      <c r="F145" s="6">
        <v>1063071</v>
      </c>
      <c r="G145" s="8" t="s">
        <v>444</v>
      </c>
      <c r="H145" s="129">
        <v>1361.1952223581898</v>
      </c>
      <c r="I145" s="129">
        <v>680.59761117909488</v>
      </c>
      <c r="J145" s="9">
        <v>0</v>
      </c>
      <c r="K145" s="9">
        <v>533</v>
      </c>
      <c r="L145" s="100">
        <v>266.5</v>
      </c>
      <c r="M145" s="10">
        <v>0.40038342116410014</v>
      </c>
      <c r="N145" s="100">
        <v>414.09761117909488</v>
      </c>
      <c r="O145" s="100">
        <v>0</v>
      </c>
      <c r="P145" s="10">
        <v>0.44765141636343875</v>
      </c>
      <c r="Q145" s="6">
        <v>2595</v>
      </c>
      <c r="R145" s="6">
        <v>12</v>
      </c>
      <c r="S145" s="6">
        <v>2583</v>
      </c>
      <c r="T145" s="6">
        <v>0</v>
      </c>
      <c r="U145" s="6">
        <v>0</v>
      </c>
      <c r="V145" s="6">
        <v>0</v>
      </c>
      <c r="W145" s="6">
        <v>0</v>
      </c>
      <c r="X145" s="9">
        <v>1868.5714285714284</v>
      </c>
      <c r="Y145" s="9">
        <v>41.470183486238533</v>
      </c>
      <c r="Z145" s="9">
        <v>-1766.8047776418102</v>
      </c>
      <c r="AA145" s="132">
        <v>6833.2000162381119</v>
      </c>
      <c r="AB145" s="132">
        <v>12966.659999999998</v>
      </c>
      <c r="AC145" s="11">
        <v>2.2979804429381749</v>
      </c>
      <c r="AD145" s="71"/>
      <c r="AE145" s="71">
        <v>0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2" t="s">
        <v>1</v>
      </c>
      <c r="BJ145" s="31"/>
    </row>
    <row r="146" spans="1:62" ht="12.75" customHeight="1" x14ac:dyDescent="0.35">
      <c r="A146" s="118"/>
      <c r="B146" s="30" t="s">
        <v>4</v>
      </c>
      <c r="C146" s="6" t="s">
        <v>5</v>
      </c>
      <c r="D146" s="6" t="s">
        <v>308</v>
      </c>
      <c r="E146" s="6" t="s">
        <v>314</v>
      </c>
      <c r="F146" s="150">
        <v>1083030</v>
      </c>
      <c r="G146" s="151" t="s">
        <v>775</v>
      </c>
      <c r="H146" s="129">
        <v>440323</v>
      </c>
      <c r="I146" s="129">
        <v>88064.6</v>
      </c>
      <c r="J146" s="9">
        <v>0</v>
      </c>
      <c r="K146" s="9">
        <v>4555</v>
      </c>
      <c r="L146" s="100">
        <v>911</v>
      </c>
      <c r="M146" s="10">
        <v>1.2967753217524408E-2</v>
      </c>
      <c r="N146" s="100">
        <v>87153.600000000006</v>
      </c>
      <c r="O146" s="100">
        <v>10.333752947079054</v>
      </c>
      <c r="P146" s="10">
        <v>1.3444584315693018</v>
      </c>
      <c r="Q146" s="6">
        <v>615067</v>
      </c>
      <c r="R146" s="6">
        <v>1155</v>
      </c>
      <c r="S146" s="6">
        <v>613912</v>
      </c>
      <c r="T146" s="6">
        <v>15750</v>
      </c>
      <c r="U146" s="6">
        <v>0</v>
      </c>
      <c r="V146" s="6">
        <v>0</v>
      </c>
      <c r="W146" s="6">
        <v>0</v>
      </c>
      <c r="X146" s="9">
        <v>440323</v>
      </c>
      <c r="Y146" s="9">
        <v>41.826931593398477</v>
      </c>
      <c r="Z146" s="9">
        <v>-195049</v>
      </c>
      <c r="AA146" s="132">
        <v>1858163.0599999998</v>
      </c>
      <c r="AB146" s="132">
        <v>2657173.6399999997</v>
      </c>
      <c r="AC146" s="11">
        <v>1.4429680030341363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2"/>
      <c r="BJ146" s="31"/>
    </row>
    <row r="147" spans="1:62" ht="12.75" customHeight="1" x14ac:dyDescent="0.35">
      <c r="A147" s="118"/>
      <c r="B147" s="30" t="s">
        <v>27</v>
      </c>
      <c r="C147" s="6" t="s">
        <v>5</v>
      </c>
      <c r="D147" s="6" t="s">
        <v>312</v>
      </c>
      <c r="E147" s="6" t="s">
        <v>313</v>
      </c>
      <c r="F147" s="6">
        <v>1072811</v>
      </c>
      <c r="G147" s="8" t="s">
        <v>606</v>
      </c>
      <c r="H147" s="129">
        <v>77934.697707890475</v>
      </c>
      <c r="I147" s="129">
        <v>17769.111077399029</v>
      </c>
      <c r="J147" s="9">
        <v>0</v>
      </c>
      <c r="K147" s="9">
        <v>12037</v>
      </c>
      <c r="L147" s="100">
        <v>2744.4360000000001</v>
      </c>
      <c r="M147" s="10">
        <v>0.20372183978321298</v>
      </c>
      <c r="N147" s="100">
        <v>15024.67507739903</v>
      </c>
      <c r="O147" s="100">
        <v>0</v>
      </c>
      <c r="P147" s="10">
        <v>0.85415406656527793</v>
      </c>
      <c r="Q147" s="6">
        <v>115620</v>
      </c>
      <c r="R147" s="6">
        <v>3840</v>
      </c>
      <c r="S147" s="6">
        <v>111780</v>
      </c>
      <c r="T147" s="6">
        <v>0</v>
      </c>
      <c r="U147" s="6">
        <v>0</v>
      </c>
      <c r="V147" s="6">
        <v>0</v>
      </c>
      <c r="W147" s="6">
        <v>0</v>
      </c>
      <c r="X147" s="9">
        <v>77934.697707890475</v>
      </c>
      <c r="Y147" s="9">
        <v>43.028331393148989</v>
      </c>
      <c r="Z147" s="9">
        <v>-49722.302292109525</v>
      </c>
      <c r="AA147" s="132">
        <v>155090.04843870204</v>
      </c>
      <c r="AB147" s="132">
        <v>222442.2</v>
      </c>
      <c r="AC147" s="11">
        <v>1.6379995528881792</v>
      </c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/>
      <c r="BJ147" s="31"/>
    </row>
    <row r="148" spans="1:62" ht="12.75" customHeight="1" x14ac:dyDescent="0.35">
      <c r="A148" s="118"/>
      <c r="B148" s="30" t="s">
        <v>31</v>
      </c>
      <c r="C148" s="6" t="s">
        <v>5</v>
      </c>
      <c r="D148" s="6" t="s">
        <v>396</v>
      </c>
      <c r="E148" s="6" t="s">
        <v>307</v>
      </c>
      <c r="F148" s="6">
        <v>1071765</v>
      </c>
      <c r="G148" s="8" t="s">
        <v>590</v>
      </c>
      <c r="H148" s="129">
        <v>17018.644969103352</v>
      </c>
      <c r="I148" s="129">
        <v>15316.780472193017</v>
      </c>
      <c r="J148" s="9">
        <v>0</v>
      </c>
      <c r="K148" s="9">
        <v>1229</v>
      </c>
      <c r="L148" s="100">
        <v>1106.1000000000001</v>
      </c>
      <c r="M148" s="10">
        <v>0.12815356357450994</v>
      </c>
      <c r="N148" s="100">
        <v>14210.680472193017</v>
      </c>
      <c r="O148" s="100">
        <v>0</v>
      </c>
      <c r="P148" s="10">
        <v>0.74387490011117052</v>
      </c>
      <c r="Q148" s="6">
        <v>25591</v>
      </c>
      <c r="R148" s="6">
        <v>952</v>
      </c>
      <c r="S148" s="6">
        <v>24633</v>
      </c>
      <c r="T148" s="6">
        <v>0</v>
      </c>
      <c r="U148" s="6">
        <v>0</v>
      </c>
      <c r="V148" s="6">
        <v>0</v>
      </c>
      <c r="W148" s="6">
        <v>2</v>
      </c>
      <c r="X148" s="9">
        <v>17018.644969103352</v>
      </c>
      <c r="Y148" s="9">
        <v>43.422375949530995</v>
      </c>
      <c r="Z148" s="9">
        <v>-9801.3550308966478</v>
      </c>
      <c r="AA148" s="132">
        <v>297826.28695930867</v>
      </c>
      <c r="AB148" s="132">
        <v>431112.5</v>
      </c>
      <c r="AC148" s="11">
        <v>1.5759186497333133</v>
      </c>
      <c r="AD148" s="71"/>
      <c r="AE148" s="71" t="s">
        <v>574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1</v>
      </c>
      <c r="C149" s="6" t="s">
        <v>50</v>
      </c>
      <c r="D149" s="6" t="s">
        <v>320</v>
      </c>
      <c r="E149" s="6" t="s">
        <v>402</v>
      </c>
      <c r="F149" s="6">
        <v>1060795</v>
      </c>
      <c r="G149" s="8" t="s">
        <v>432</v>
      </c>
      <c r="H149" s="129">
        <v>20276.475168859557</v>
      </c>
      <c r="I149" s="129">
        <v>3649.7655303947199</v>
      </c>
      <c r="J149" s="9">
        <v>0</v>
      </c>
      <c r="K149" s="9">
        <v>1872</v>
      </c>
      <c r="L149" s="100">
        <v>336.96</v>
      </c>
      <c r="M149" s="10">
        <v>0.13020014465110238</v>
      </c>
      <c r="N149" s="100">
        <v>3312.8055303947199</v>
      </c>
      <c r="O149" s="100">
        <v>9.1332147680169449</v>
      </c>
      <c r="P149" s="10">
        <v>1.3693286455717395</v>
      </c>
      <c r="Q149" s="6">
        <v>31341</v>
      </c>
      <c r="R149" s="6">
        <v>768</v>
      </c>
      <c r="S149" s="6">
        <v>30573</v>
      </c>
      <c r="T149" s="6">
        <v>0</v>
      </c>
      <c r="U149" s="6">
        <v>0</v>
      </c>
      <c r="V149" s="6">
        <v>0</v>
      </c>
      <c r="W149" s="6">
        <v>3</v>
      </c>
      <c r="X149" s="9">
        <v>20276.475168859557</v>
      </c>
      <c r="Y149" s="9">
        <v>45.234193436569925</v>
      </c>
      <c r="Z149" s="9">
        <v>-12936.524831140443</v>
      </c>
      <c r="AA149" s="132">
        <v>139907.67866513095</v>
      </c>
      <c r="AB149" s="132">
        <v>210974.40000000002</v>
      </c>
      <c r="AC149" s="11">
        <v>1.6380065925367666</v>
      </c>
      <c r="AD149" s="71"/>
      <c r="AE149" s="71">
        <v>53.485240371099245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 t="s">
        <v>830</v>
      </c>
    </row>
    <row r="150" spans="1:62" ht="12.75" customHeight="1" x14ac:dyDescent="0.35">
      <c r="A150" s="118"/>
      <c r="B150" s="30" t="s">
        <v>1</v>
      </c>
      <c r="C150" s="6" t="s">
        <v>50</v>
      </c>
      <c r="D150" s="6" t="s">
        <v>320</v>
      </c>
      <c r="E150" s="6" t="s">
        <v>402</v>
      </c>
      <c r="F150" s="6">
        <v>1060794</v>
      </c>
      <c r="G150" s="8" t="s">
        <v>431</v>
      </c>
      <c r="H150" s="129">
        <v>43527.394192551612</v>
      </c>
      <c r="I150" s="129">
        <v>7834.9309546592895</v>
      </c>
      <c r="J150" s="9">
        <v>0</v>
      </c>
      <c r="K150" s="9">
        <v>3909</v>
      </c>
      <c r="L150" s="100">
        <v>703.62</v>
      </c>
      <c r="M150" s="10">
        <v>0.15105429860823397</v>
      </c>
      <c r="N150" s="100">
        <v>7131.3109546592896</v>
      </c>
      <c r="O150" s="100">
        <v>0</v>
      </c>
      <c r="P150" s="10">
        <v>0.65720924133971981</v>
      </c>
      <c r="Q150" s="6">
        <v>70868</v>
      </c>
      <c r="R150" s="6">
        <v>2666</v>
      </c>
      <c r="S150" s="6">
        <v>68202</v>
      </c>
      <c r="T150" s="6">
        <v>0</v>
      </c>
      <c r="U150" s="6">
        <v>0</v>
      </c>
      <c r="V150" s="6">
        <v>0</v>
      </c>
      <c r="W150" s="6">
        <v>0</v>
      </c>
      <c r="X150" s="9">
        <v>43527.394192551612</v>
      </c>
      <c r="Y150" s="9">
        <v>47.006259803857517</v>
      </c>
      <c r="Z150" s="9">
        <v>-31249.605807448388</v>
      </c>
      <c r="AA150" s="132">
        <v>299033.19810282957</v>
      </c>
      <c r="AB150" s="132">
        <v>468547.74</v>
      </c>
      <c r="AC150" s="11">
        <v>1.7179296254034846</v>
      </c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/>
      <c r="BJ150" s="31" t="s">
        <v>832</v>
      </c>
    </row>
    <row r="151" spans="1:62" ht="12.75" customHeight="1" x14ac:dyDescent="0.35">
      <c r="A151" s="118"/>
      <c r="B151" s="30" t="s">
        <v>27</v>
      </c>
      <c r="C151" s="6" t="s">
        <v>5</v>
      </c>
      <c r="D151" s="6" t="s">
        <v>312</v>
      </c>
      <c r="E151" s="6" t="s">
        <v>313</v>
      </c>
      <c r="F151" s="123">
        <v>1081304</v>
      </c>
      <c r="G151" s="124" t="s">
        <v>747</v>
      </c>
      <c r="H151" s="129">
        <v>20006.320991402186</v>
      </c>
      <c r="I151" s="129">
        <v>4561.4411860396986</v>
      </c>
      <c r="J151" s="9">
        <v>0</v>
      </c>
      <c r="K151" s="9">
        <v>18035</v>
      </c>
      <c r="L151" s="100">
        <v>4111.9800000000005</v>
      </c>
      <c r="M151" s="10">
        <v>0.97644139611652048</v>
      </c>
      <c r="N151" s="100">
        <v>449.46118603969808</v>
      </c>
      <c r="O151" s="100">
        <v>0</v>
      </c>
      <c r="P151" s="10">
        <v>0.55909134072274513</v>
      </c>
      <c r="Q151" s="6">
        <v>108674</v>
      </c>
      <c r="R151" s="6">
        <v>1500</v>
      </c>
      <c r="S151" s="6">
        <v>107174</v>
      </c>
      <c r="T151" s="6">
        <v>0</v>
      </c>
      <c r="U151" s="6">
        <v>0</v>
      </c>
      <c r="V151" s="6">
        <v>0</v>
      </c>
      <c r="W151" s="6">
        <v>0</v>
      </c>
      <c r="X151" s="9">
        <v>66977.14285714287</v>
      </c>
      <c r="Y151" s="9">
        <v>48.004735090862539</v>
      </c>
      <c r="Z151" s="9">
        <v>-106702.67900859781</v>
      </c>
      <c r="AA151" s="132">
        <v>39612.515562976332</v>
      </c>
      <c r="AB151" s="132">
        <v>212204.52</v>
      </c>
      <c r="AC151" s="11">
        <v>6.3334483163822979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21</v>
      </c>
      <c r="C152" s="6" t="s">
        <v>5</v>
      </c>
      <c r="D152" s="6" t="s">
        <v>306</v>
      </c>
      <c r="E152" s="6" t="s">
        <v>307</v>
      </c>
      <c r="F152" s="6">
        <v>1059375</v>
      </c>
      <c r="G152" s="8" t="s">
        <v>349</v>
      </c>
      <c r="H152" s="129">
        <v>4043.190899222503</v>
      </c>
      <c r="I152" s="129">
        <v>3638.8718093002526</v>
      </c>
      <c r="J152" s="9">
        <v>0</v>
      </c>
      <c r="K152" s="9">
        <v>976</v>
      </c>
      <c r="L152" s="100">
        <v>878.4</v>
      </c>
      <c r="M152" s="10">
        <v>0.24609275812115039</v>
      </c>
      <c r="N152" s="100">
        <v>2760.4718093002525</v>
      </c>
      <c r="O152" s="100">
        <v>0</v>
      </c>
      <c r="P152" s="10">
        <v>0.76593679089250466</v>
      </c>
      <c r="Q152" s="6">
        <v>6525</v>
      </c>
      <c r="R152" s="6">
        <v>19</v>
      </c>
      <c r="S152" s="6">
        <v>6506</v>
      </c>
      <c r="T152" s="6">
        <v>0</v>
      </c>
      <c r="U152" s="6">
        <v>0</v>
      </c>
      <c r="V152" s="6">
        <v>0</v>
      </c>
      <c r="W152" s="6">
        <v>0</v>
      </c>
      <c r="X152" s="9">
        <v>4043.1908992225026</v>
      </c>
      <c r="Y152" s="9">
        <v>48.273753296568984</v>
      </c>
      <c r="Z152" s="9">
        <v>-3457.809100777497</v>
      </c>
      <c r="AA152" s="132">
        <v>96955.717763355628</v>
      </c>
      <c r="AB152" s="132">
        <v>156013.88</v>
      </c>
      <c r="AC152" s="11">
        <v>1.855217868006783</v>
      </c>
      <c r="AD152" s="71"/>
      <c r="AE152" s="71" t="s">
        <v>574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/>
    </row>
    <row r="153" spans="1:62" ht="12.75" customHeight="1" x14ac:dyDescent="0.3">
      <c r="A153" s="118"/>
      <c r="B153" s="30" t="s">
        <v>1</v>
      </c>
      <c r="C153" s="6" t="s">
        <v>17</v>
      </c>
      <c r="D153" s="6" t="s">
        <v>312</v>
      </c>
      <c r="E153" s="6" t="s">
        <v>398</v>
      </c>
      <c r="F153" s="133">
        <v>1082287</v>
      </c>
      <c r="G153" s="134" t="s">
        <v>774</v>
      </c>
      <c r="H153" s="175">
        <v>8881.1093436375395</v>
      </c>
      <c r="I153" s="129">
        <v>2158.109570503922</v>
      </c>
      <c r="J153" s="9">
        <v>0</v>
      </c>
      <c r="K153" s="9">
        <v>2200</v>
      </c>
      <c r="L153" s="100">
        <v>534.6</v>
      </c>
      <c r="M153" s="10">
        <v>0.28284754784599137</v>
      </c>
      <c r="N153" s="100">
        <v>1623.5095705039221</v>
      </c>
      <c r="O153" s="100">
        <v>0</v>
      </c>
      <c r="P153" s="10">
        <v>0</v>
      </c>
      <c r="Q153" s="6">
        <v>14867</v>
      </c>
      <c r="R153" s="6">
        <v>312</v>
      </c>
      <c r="S153" s="6">
        <v>14555</v>
      </c>
      <c r="T153" s="6">
        <v>0</v>
      </c>
      <c r="U153" s="6">
        <v>0</v>
      </c>
      <c r="V153" s="6">
        <v>0</v>
      </c>
      <c r="W153" s="6">
        <v>0</v>
      </c>
      <c r="X153" s="9">
        <v>8881.1093436375395</v>
      </c>
      <c r="Y153" s="9">
        <v>49.166155162003243</v>
      </c>
      <c r="Z153" s="9">
        <v>-8185.8906563624605</v>
      </c>
      <c r="AA153" s="132">
        <v>22735.639919712103</v>
      </c>
      <c r="AB153" s="132">
        <v>37260.800000000003</v>
      </c>
      <c r="AC153" s="11">
        <v>1.9217193865794326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2"/>
      <c r="BJ153" s="31"/>
    </row>
    <row r="154" spans="1:62" ht="12.75" customHeight="1" x14ac:dyDescent="0.35">
      <c r="A154" s="118"/>
      <c r="B154" s="30" t="s">
        <v>1</v>
      </c>
      <c r="C154" s="6" t="s">
        <v>2</v>
      </c>
      <c r="D154" s="6" t="s">
        <v>310</v>
      </c>
      <c r="E154" s="6" t="s">
        <v>311</v>
      </c>
      <c r="F154" s="6">
        <v>1068804</v>
      </c>
      <c r="G154" s="8" t="s">
        <v>563</v>
      </c>
      <c r="H154" s="129">
        <v>4463.9255430118974</v>
      </c>
      <c r="I154" s="129">
        <v>2678.3553258071383</v>
      </c>
      <c r="J154" s="9">
        <v>0</v>
      </c>
      <c r="K154" s="9">
        <v>789</v>
      </c>
      <c r="L154" s="100">
        <v>473.4</v>
      </c>
      <c r="M154" s="10">
        <v>0.23029057946750348</v>
      </c>
      <c r="N154" s="100">
        <v>2204.9553258071383</v>
      </c>
      <c r="O154" s="100">
        <v>6.5658385485133106</v>
      </c>
      <c r="P154" s="10">
        <v>1.2407874520475985</v>
      </c>
      <c r="Q154" s="6">
        <v>7622</v>
      </c>
      <c r="R154" s="6">
        <v>239</v>
      </c>
      <c r="S154" s="6">
        <v>7383</v>
      </c>
      <c r="T154" s="6">
        <v>0</v>
      </c>
      <c r="U154" s="6">
        <v>0</v>
      </c>
      <c r="V154" s="6">
        <v>0</v>
      </c>
      <c r="W154" s="6">
        <v>0</v>
      </c>
      <c r="X154" s="9">
        <v>4463.9255430118974</v>
      </c>
      <c r="Y154" s="9">
        <v>49.617763080016871</v>
      </c>
      <c r="Z154" s="9">
        <v>-3947.0744569881026</v>
      </c>
      <c r="AA154" s="132">
        <v>35265.011789793993</v>
      </c>
      <c r="AB154" s="132">
        <v>58325.700000000004</v>
      </c>
      <c r="AC154" s="11">
        <v>1.8842160154680658</v>
      </c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2" t="s">
        <v>1</v>
      </c>
      <c r="BJ154" s="31"/>
    </row>
    <row r="155" spans="1:62" ht="12.75" customHeight="1" x14ac:dyDescent="0.35">
      <c r="A155" s="118"/>
      <c r="B155" s="30" t="s">
        <v>21</v>
      </c>
      <c r="C155" s="6" t="s">
        <v>5</v>
      </c>
      <c r="D155" s="6" t="s">
        <v>396</v>
      </c>
      <c r="E155" s="6" t="s">
        <v>397</v>
      </c>
      <c r="F155" s="6">
        <v>1040797</v>
      </c>
      <c r="G155" s="8" t="s">
        <v>84</v>
      </c>
      <c r="H155" s="129">
        <v>2477.0810777471647</v>
      </c>
      <c r="I155" s="129">
        <v>24770.810777471648</v>
      </c>
      <c r="J155" s="9">
        <v>0</v>
      </c>
      <c r="K155" s="9">
        <v>286</v>
      </c>
      <c r="L155" s="100">
        <v>2860</v>
      </c>
      <c r="M155" s="10">
        <v>0.11545847351113309</v>
      </c>
      <c r="N155" s="100">
        <v>21910.810777471648</v>
      </c>
      <c r="O155" s="100">
        <v>32.699999999999996</v>
      </c>
      <c r="P155" s="10">
        <v>1.5449999999999999</v>
      </c>
      <c r="Q155" s="6">
        <v>4152</v>
      </c>
      <c r="R155" s="6">
        <v>0</v>
      </c>
      <c r="S155" s="6">
        <v>4152</v>
      </c>
      <c r="T155" s="6">
        <v>0</v>
      </c>
      <c r="U155" s="6">
        <v>0</v>
      </c>
      <c r="V155" s="6">
        <v>0</v>
      </c>
      <c r="W155" s="6">
        <v>0</v>
      </c>
      <c r="X155" s="9">
        <v>2477.0810777471647</v>
      </c>
      <c r="Y155" s="9">
        <v>50.284991120792789</v>
      </c>
      <c r="Z155" s="9">
        <v>-1960.9189222528353</v>
      </c>
      <c r="AA155" s="132">
        <v>24968.97726369142</v>
      </c>
      <c r="AB155" s="132">
        <v>41852.160000000003</v>
      </c>
      <c r="AC155" s="11">
        <v>1.7916248442042257</v>
      </c>
      <c r="AD155" s="71"/>
      <c r="AE155" s="71">
        <v>27.489419348425013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1</v>
      </c>
      <c r="C156" s="6" t="s">
        <v>2</v>
      </c>
      <c r="D156" s="6" t="s">
        <v>310</v>
      </c>
      <c r="E156" s="6" t="s">
        <v>311</v>
      </c>
      <c r="F156" s="6">
        <v>1078888</v>
      </c>
      <c r="G156" s="8" t="s">
        <v>717</v>
      </c>
      <c r="H156" s="129">
        <v>13050</v>
      </c>
      <c r="I156" s="129">
        <v>1305</v>
      </c>
      <c r="J156" s="9">
        <v>0</v>
      </c>
      <c r="K156" s="9">
        <v>4297</v>
      </c>
      <c r="L156" s="100">
        <v>429.70000000000005</v>
      </c>
      <c r="M156" s="10">
        <v>0.37708812260536401</v>
      </c>
      <c r="N156" s="100">
        <v>875.3</v>
      </c>
      <c r="O156" s="100">
        <v>0</v>
      </c>
      <c r="P156" s="10">
        <v>0.13187662241295764</v>
      </c>
      <c r="Q156" s="6">
        <v>28920</v>
      </c>
      <c r="R156" s="6">
        <v>624</v>
      </c>
      <c r="S156" s="6">
        <v>28296</v>
      </c>
      <c r="T156" s="6">
        <v>0</v>
      </c>
      <c r="U156" s="6">
        <v>0</v>
      </c>
      <c r="V156" s="6">
        <v>0</v>
      </c>
      <c r="W156" s="6">
        <v>12738</v>
      </c>
      <c r="X156" s="9">
        <v>16872</v>
      </c>
      <c r="Y156" s="9">
        <v>50.31294452347084</v>
      </c>
      <c r="Z156" s="9">
        <v>-20167</v>
      </c>
      <c r="AA156" s="132">
        <v>18400.5</v>
      </c>
      <c r="AB156" s="132">
        <v>57857.939999999995</v>
      </c>
      <c r="AC156" s="11">
        <v>2.5453639846743297</v>
      </c>
      <c r="AD156" s="71"/>
      <c r="AE156" s="71">
        <v>109.37333145988478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 t="s">
        <v>1</v>
      </c>
      <c r="BJ156" s="31"/>
    </row>
    <row r="157" spans="1:62" x14ac:dyDescent="0.35">
      <c r="A157" s="118"/>
      <c r="B157" s="30" t="s">
        <v>1</v>
      </c>
      <c r="C157" s="6" t="s">
        <v>24</v>
      </c>
      <c r="D157" s="6" t="s">
        <v>316</v>
      </c>
      <c r="E157" s="6" t="s">
        <v>317</v>
      </c>
      <c r="F157" s="6">
        <v>1003496</v>
      </c>
      <c r="G157" s="8" t="s">
        <v>280</v>
      </c>
      <c r="H157" s="129">
        <v>4054.4483973268702</v>
      </c>
      <c r="I157" s="129">
        <v>202.72241986634353</v>
      </c>
      <c r="J157" s="9">
        <v>0</v>
      </c>
      <c r="K157" s="9">
        <v>600</v>
      </c>
      <c r="L157" s="100">
        <v>30</v>
      </c>
      <c r="M157" s="10">
        <v>0.18350215049981278</v>
      </c>
      <c r="N157" s="100">
        <v>172.72241986634353</v>
      </c>
      <c r="O157" s="100">
        <v>0</v>
      </c>
      <c r="P157" s="10">
        <v>0.89159264567720198</v>
      </c>
      <c r="Q157" s="6">
        <v>7057</v>
      </c>
      <c r="R157" s="6">
        <v>144</v>
      </c>
      <c r="S157" s="6">
        <v>6913</v>
      </c>
      <c r="T157" s="6">
        <v>0</v>
      </c>
      <c r="U157" s="6">
        <v>0</v>
      </c>
      <c r="V157" s="6">
        <v>0</v>
      </c>
      <c r="W157" s="6">
        <v>0</v>
      </c>
      <c r="X157" s="9">
        <v>4054.4483973268702</v>
      </c>
      <c r="Y157" s="9">
        <v>51.151224451822813</v>
      </c>
      <c r="Z157" s="9">
        <v>-3602.5516026731298</v>
      </c>
      <c r="AA157" s="132">
        <v>17515.217076452082</v>
      </c>
      <c r="AB157" s="132">
        <v>29864.160000000003</v>
      </c>
      <c r="AC157" s="11">
        <v>1.888542965560573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2"/>
      <c r="BJ157" s="31" t="s">
        <v>833</v>
      </c>
    </row>
    <row r="158" spans="1:62" ht="12.75" customHeight="1" x14ac:dyDescent="0.35">
      <c r="A158" s="118"/>
      <c r="B158" s="30" t="s">
        <v>27</v>
      </c>
      <c r="C158" s="6" t="s">
        <v>5</v>
      </c>
      <c r="D158" s="6" t="s">
        <v>312</v>
      </c>
      <c r="E158" s="6" t="s">
        <v>313</v>
      </c>
      <c r="F158" s="6">
        <v>1077108</v>
      </c>
      <c r="G158" s="8" t="s">
        <v>673</v>
      </c>
      <c r="H158" s="129">
        <v>38027.142439739306</v>
      </c>
      <c r="I158" s="129">
        <v>8670.1884762605623</v>
      </c>
      <c r="J158" s="9">
        <v>0</v>
      </c>
      <c r="K158" s="9">
        <v>2436</v>
      </c>
      <c r="L158" s="100">
        <v>555.40800000000002</v>
      </c>
      <c r="M158" s="10">
        <v>0.1326946932180422</v>
      </c>
      <c r="N158" s="100">
        <v>8114.780476260562</v>
      </c>
      <c r="O158" s="100">
        <v>0</v>
      </c>
      <c r="P158" s="10">
        <v>0</v>
      </c>
      <c r="Q158" s="6">
        <v>67468</v>
      </c>
      <c r="R158" s="6">
        <v>2610</v>
      </c>
      <c r="S158" s="6">
        <v>64858</v>
      </c>
      <c r="T158" s="6">
        <v>0</v>
      </c>
      <c r="U158" s="6">
        <v>0</v>
      </c>
      <c r="V158" s="6">
        <v>0</v>
      </c>
      <c r="W158" s="6">
        <v>0</v>
      </c>
      <c r="X158" s="9">
        <v>38027.142439739306</v>
      </c>
      <c r="Y158" s="9">
        <v>51.167136817691926</v>
      </c>
      <c r="Z158" s="9">
        <v>-31876.857560260694</v>
      </c>
      <c r="AA158" s="132">
        <v>79476.727699055147</v>
      </c>
      <c r="AB158" s="132">
        <v>135553.22</v>
      </c>
      <c r="AC158" s="11">
        <v>1.8382659204744396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2"/>
      <c r="BJ158" s="31"/>
    </row>
    <row r="159" spans="1:62" ht="12.75" customHeight="1" x14ac:dyDescent="0.35">
      <c r="A159" s="118"/>
      <c r="B159" s="30">
        <v>0</v>
      </c>
      <c r="C159" s="6" t="s">
        <v>2</v>
      </c>
      <c r="D159" s="6" t="s">
        <v>310</v>
      </c>
      <c r="E159" s="6" t="s">
        <v>311</v>
      </c>
      <c r="F159" s="154">
        <v>1080746</v>
      </c>
      <c r="G159" s="162" t="s">
        <v>789</v>
      </c>
      <c r="H159" s="129">
        <v>8109.826278203117</v>
      </c>
      <c r="I159" s="129">
        <v>3892.716613537496</v>
      </c>
      <c r="J159" s="9">
        <v>0</v>
      </c>
      <c r="K159" s="9">
        <v>1395</v>
      </c>
      <c r="L159" s="100">
        <v>669.6</v>
      </c>
      <c r="M159" s="10">
        <v>0.18804348548115782</v>
      </c>
      <c r="N159" s="100">
        <v>3223.1166135374961</v>
      </c>
      <c r="O159" s="100">
        <v>0</v>
      </c>
      <c r="P159" s="10">
        <v>0</v>
      </c>
      <c r="Q159" s="6">
        <v>13972</v>
      </c>
      <c r="R159" s="6">
        <v>130</v>
      </c>
      <c r="S159" s="6">
        <v>13842</v>
      </c>
      <c r="T159" s="6">
        <v>0</v>
      </c>
      <c r="U159" s="6">
        <v>0</v>
      </c>
      <c r="V159" s="6">
        <v>0</v>
      </c>
      <c r="W159" s="6">
        <v>0</v>
      </c>
      <c r="X159" s="9">
        <v>8109.8262782031179</v>
      </c>
      <c r="Y159" s="9">
        <v>51.204549364528248</v>
      </c>
      <c r="Z159" s="9">
        <v>-7257.173721796883</v>
      </c>
      <c r="AA159" s="132">
        <v>185633.92350806936</v>
      </c>
      <c r="AB159" s="132">
        <v>316843.38</v>
      </c>
      <c r="AC159" s="11">
        <v>1.8948617976320998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2" t="s">
        <v>1</v>
      </c>
      <c r="BJ159" s="31" t="s">
        <v>834</v>
      </c>
    </row>
    <row r="160" spans="1:62" ht="12.75" customHeight="1" x14ac:dyDescent="0.35">
      <c r="A160" s="118"/>
      <c r="B160" s="30" t="s">
        <v>27</v>
      </c>
      <c r="C160" s="6" t="s">
        <v>5</v>
      </c>
      <c r="D160" s="6" t="s">
        <v>312</v>
      </c>
      <c r="E160" s="6" t="s">
        <v>313</v>
      </c>
      <c r="F160" s="6">
        <v>1072810</v>
      </c>
      <c r="G160" s="8" t="s">
        <v>609</v>
      </c>
      <c r="H160" s="129">
        <v>7851.0185228962173</v>
      </c>
      <c r="I160" s="129">
        <v>10740.193339322026</v>
      </c>
      <c r="J160" s="9">
        <v>0</v>
      </c>
      <c r="K160" s="9">
        <v>964</v>
      </c>
      <c r="L160" s="100">
        <v>1318.7520000000002</v>
      </c>
      <c r="M160" s="10">
        <v>0.13017419294318353</v>
      </c>
      <c r="N160" s="100">
        <v>9421.4413393220257</v>
      </c>
      <c r="O160" s="100">
        <v>0</v>
      </c>
      <c r="P160" s="10">
        <v>0.52768030994442572</v>
      </c>
      <c r="Q160" s="6">
        <v>13486</v>
      </c>
      <c r="R160" s="6">
        <v>58</v>
      </c>
      <c r="S160" s="6">
        <v>13428</v>
      </c>
      <c r="T160" s="6">
        <v>0</v>
      </c>
      <c r="U160" s="6">
        <v>0</v>
      </c>
      <c r="V160" s="6">
        <v>0</v>
      </c>
      <c r="W160" s="6">
        <v>0</v>
      </c>
      <c r="X160" s="9">
        <v>7851.0185228962173</v>
      </c>
      <c r="Y160" s="9">
        <v>51.310540005119435</v>
      </c>
      <c r="Z160" s="9">
        <v>-6598.9814771037827</v>
      </c>
      <c r="AA160" s="132">
        <v>93898.181533838768</v>
      </c>
      <c r="AB160" s="132">
        <v>160598.88</v>
      </c>
      <c r="AC160" s="11">
        <v>1.8405255264471645</v>
      </c>
      <c r="AD160" s="71"/>
      <c r="AE160" s="71">
        <v>69.94509598864569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27</v>
      </c>
      <c r="C161" s="6" t="s">
        <v>5</v>
      </c>
      <c r="D161" s="6" t="s">
        <v>312</v>
      </c>
      <c r="E161" s="6" t="s">
        <v>313</v>
      </c>
      <c r="F161" s="127">
        <v>1080361</v>
      </c>
      <c r="G161" s="128" t="s">
        <v>741</v>
      </c>
      <c r="H161" s="129">
        <v>6054.9852882265532</v>
      </c>
      <c r="I161" s="129">
        <v>2785.2932325842144</v>
      </c>
      <c r="J161" s="9">
        <v>0</v>
      </c>
      <c r="K161" s="9">
        <v>176</v>
      </c>
      <c r="L161" s="100">
        <v>80.960000000000008</v>
      </c>
      <c r="M161" s="10">
        <v>3.6333696867566774E-2</v>
      </c>
      <c r="N161" s="100">
        <v>2704.3332325842143</v>
      </c>
      <c r="O161" s="100">
        <v>0</v>
      </c>
      <c r="P161" s="10">
        <v>0.59190787153299962</v>
      </c>
      <c r="Q161" s="6">
        <v>10471</v>
      </c>
      <c r="R161" s="6">
        <v>44</v>
      </c>
      <c r="S161" s="6">
        <v>10427</v>
      </c>
      <c r="T161" s="6">
        <v>0</v>
      </c>
      <c r="U161" s="6">
        <v>0</v>
      </c>
      <c r="V161" s="6">
        <v>0</v>
      </c>
      <c r="W161" s="6">
        <v>0</v>
      </c>
      <c r="X161" s="9">
        <v>6054.9852882265532</v>
      </c>
      <c r="Y161" s="9">
        <v>51.661562350652559</v>
      </c>
      <c r="Z161" s="9">
        <v>-4592.0147117734468</v>
      </c>
      <c r="AA161" s="132">
        <v>3088.042496995542</v>
      </c>
      <c r="AB161" s="132">
        <v>5317.77</v>
      </c>
      <c r="AC161" s="11">
        <v>1.7583857752226519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/>
      <c r="BJ161" s="31"/>
    </row>
    <row r="162" spans="1:62" ht="12.75" customHeight="1" x14ac:dyDescent="0.35">
      <c r="A162" s="118"/>
      <c r="B162" s="30" t="s">
        <v>27</v>
      </c>
      <c r="C162" s="6" t="s">
        <v>5</v>
      </c>
      <c r="D162" s="6" t="s">
        <v>312</v>
      </c>
      <c r="E162" s="6" t="s">
        <v>319</v>
      </c>
      <c r="F162" s="6">
        <v>1030816</v>
      </c>
      <c r="G162" s="8" t="s">
        <v>61</v>
      </c>
      <c r="H162" s="129">
        <v>8000</v>
      </c>
      <c r="I162" s="129">
        <v>1536</v>
      </c>
      <c r="J162" s="9">
        <v>0</v>
      </c>
      <c r="K162" s="9">
        <v>1064</v>
      </c>
      <c r="L162" s="100">
        <v>204.28800000000001</v>
      </c>
      <c r="M162" s="10">
        <v>0.13300000000000001</v>
      </c>
      <c r="N162" s="100">
        <v>1331.712</v>
      </c>
      <c r="O162" s="100">
        <v>42299956</v>
      </c>
      <c r="P162" s="10">
        <v>961363.63636363635</v>
      </c>
      <c r="Q162" s="6">
        <v>14624</v>
      </c>
      <c r="R162" s="6">
        <v>0</v>
      </c>
      <c r="S162" s="6">
        <v>14624</v>
      </c>
      <c r="T162" s="6">
        <v>0</v>
      </c>
      <c r="U162" s="6">
        <v>0</v>
      </c>
      <c r="V162" s="6">
        <v>0</v>
      </c>
      <c r="W162" s="6">
        <v>0</v>
      </c>
      <c r="X162" s="9">
        <v>8000</v>
      </c>
      <c r="Y162" s="9">
        <v>54.84</v>
      </c>
      <c r="Z162" s="9">
        <v>-7688</v>
      </c>
      <c r="AA162" s="132">
        <v>17920</v>
      </c>
      <c r="AB162" s="132">
        <v>32757.760000000002</v>
      </c>
      <c r="AC162" s="11">
        <v>1.9609999999999999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126"/>
      <c r="BJ162" s="31"/>
    </row>
    <row r="163" spans="1:62" ht="12.75" customHeight="1" x14ac:dyDescent="0.35">
      <c r="A163" s="118"/>
      <c r="B163" s="30" t="s">
        <v>15</v>
      </c>
      <c r="C163" s="6" t="s">
        <v>5</v>
      </c>
      <c r="D163" s="6" t="s">
        <v>308</v>
      </c>
      <c r="E163" s="6" t="s">
        <v>315</v>
      </c>
      <c r="F163" s="6">
        <v>1058339</v>
      </c>
      <c r="G163" s="8" t="s">
        <v>232</v>
      </c>
      <c r="H163" s="129">
        <v>272.55457483929598</v>
      </c>
      <c r="I163" s="129">
        <v>85.037027349860352</v>
      </c>
      <c r="J163" s="9">
        <v>0</v>
      </c>
      <c r="K163" s="9">
        <v>341</v>
      </c>
      <c r="L163" s="100">
        <v>106.392</v>
      </c>
      <c r="M163" s="10">
        <v>1.4272370963846883</v>
      </c>
      <c r="N163" s="100">
        <v>21.354972650139644</v>
      </c>
      <c r="O163" s="100">
        <v>24.786011668915812</v>
      </c>
      <c r="P163" s="10">
        <v>1.8538502089624427</v>
      </c>
      <c r="Q163" s="6">
        <v>2490</v>
      </c>
      <c r="R163" s="6">
        <v>48</v>
      </c>
      <c r="S163" s="6">
        <v>2442</v>
      </c>
      <c r="T163" s="6">
        <v>0</v>
      </c>
      <c r="U163" s="6">
        <v>0</v>
      </c>
      <c r="V163" s="6">
        <v>0</v>
      </c>
      <c r="W163" s="6">
        <v>0</v>
      </c>
      <c r="X163" s="9">
        <v>1333.7142857142856</v>
      </c>
      <c r="Y163" s="9">
        <v>54.929305912596405</v>
      </c>
      <c r="Z163" s="9">
        <v>-2558.445425160704</v>
      </c>
      <c r="AA163" s="132">
        <v>1324.6152337189785</v>
      </c>
      <c r="AB163" s="132">
        <v>11868.12</v>
      </c>
      <c r="AC163" s="11">
        <v>10.386910590912731</v>
      </c>
      <c r="AD163" s="71"/>
      <c r="AE163" s="71">
        <v>0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 t="s">
        <v>1</v>
      </c>
      <c r="C164" s="6" t="s">
        <v>24</v>
      </c>
      <c r="D164" s="6" t="s">
        <v>316</v>
      </c>
      <c r="E164" s="6" t="s">
        <v>317</v>
      </c>
      <c r="F164" s="6">
        <v>1003495</v>
      </c>
      <c r="G164" s="8" t="s">
        <v>129</v>
      </c>
      <c r="H164" s="129">
        <v>1397.6873297428735</v>
      </c>
      <c r="I164" s="129">
        <v>118.80342302814427</v>
      </c>
      <c r="J164" s="9">
        <v>0</v>
      </c>
      <c r="K164" s="9">
        <v>240</v>
      </c>
      <c r="L164" s="100">
        <v>20.400000000000002</v>
      </c>
      <c r="M164" s="10">
        <v>0.17314315931054458</v>
      </c>
      <c r="N164" s="100">
        <v>98.40342302814426</v>
      </c>
      <c r="O164" s="100">
        <v>0</v>
      </c>
      <c r="P164" s="10">
        <v>0.69610202206910632</v>
      </c>
      <c r="Q164" s="6">
        <v>2619</v>
      </c>
      <c r="R164" s="6">
        <v>2</v>
      </c>
      <c r="S164" s="6">
        <v>2617</v>
      </c>
      <c r="T164" s="6">
        <v>0</v>
      </c>
      <c r="U164" s="6">
        <v>0</v>
      </c>
      <c r="V164" s="6">
        <v>0</v>
      </c>
      <c r="W164" s="6">
        <v>0</v>
      </c>
      <c r="X164" s="9">
        <v>1397.6873297428735</v>
      </c>
      <c r="Y164" s="9">
        <v>56.171361311863038</v>
      </c>
      <c r="Z164" s="9">
        <v>-1461.3126702571265</v>
      </c>
      <c r="AA164" s="132">
        <v>8819.4070506775315</v>
      </c>
      <c r="AB164" s="132">
        <v>16513.27</v>
      </c>
      <c r="AC164" s="11">
        <v>2.0455218697059792</v>
      </c>
      <c r="AD164" s="71"/>
      <c r="AE164" s="71">
        <v>18.339424394700778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1</v>
      </c>
      <c r="C165" s="6" t="s">
        <v>2</v>
      </c>
      <c r="D165" s="6" t="s">
        <v>310</v>
      </c>
      <c r="E165" s="6" t="s">
        <v>311</v>
      </c>
      <c r="F165" s="123">
        <v>1080399</v>
      </c>
      <c r="G165" s="124" t="s">
        <v>752</v>
      </c>
      <c r="H165" s="129">
        <v>13204.799999999997</v>
      </c>
      <c r="I165" s="129">
        <v>0</v>
      </c>
      <c r="J165" s="9">
        <v>0</v>
      </c>
      <c r="K165" s="9">
        <v>618</v>
      </c>
      <c r="L165" s="100">
        <v>0</v>
      </c>
      <c r="M165" s="10">
        <v>5.6797528171573984E-2</v>
      </c>
      <c r="N165" s="100">
        <v>0</v>
      </c>
      <c r="O165" s="100">
        <v>26.394092181603455</v>
      </c>
      <c r="P165" s="10">
        <v>1.9005631167079649</v>
      </c>
      <c r="Q165" s="6">
        <v>25302</v>
      </c>
      <c r="R165" s="6">
        <v>132</v>
      </c>
      <c r="S165" s="6">
        <v>25170</v>
      </c>
      <c r="T165" s="6">
        <v>0</v>
      </c>
      <c r="U165" s="6">
        <v>0</v>
      </c>
      <c r="V165" s="6">
        <v>0</v>
      </c>
      <c r="W165" s="6">
        <v>0</v>
      </c>
      <c r="X165" s="9">
        <v>13204.799999999997</v>
      </c>
      <c r="Y165" s="9">
        <v>57.183751363140686</v>
      </c>
      <c r="Z165" s="9">
        <v>-12715.200000000003</v>
      </c>
      <c r="AA165" s="132">
        <v>29578.751999999997</v>
      </c>
      <c r="AB165" s="132">
        <v>56380.800000000003</v>
      </c>
      <c r="AC165" s="11">
        <v>1.962922573609597</v>
      </c>
      <c r="AD165" s="71"/>
      <c r="AE165" s="71" t="s">
        <v>574</v>
      </c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2" t="s">
        <v>1</v>
      </c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396</v>
      </c>
      <c r="E166" s="6" t="s">
        <v>397</v>
      </c>
      <c r="F166" s="6">
        <v>1043305</v>
      </c>
      <c r="G166" s="8" t="s">
        <v>128</v>
      </c>
      <c r="H166" s="129">
        <v>5589.9803373125123</v>
      </c>
      <c r="I166" s="129">
        <v>5589.9803373125123</v>
      </c>
      <c r="J166" s="9">
        <v>0</v>
      </c>
      <c r="K166" s="9">
        <v>273</v>
      </c>
      <c r="L166" s="100">
        <v>273</v>
      </c>
      <c r="M166" s="10">
        <v>4.8837381086612168E-2</v>
      </c>
      <c r="N166" s="100">
        <v>5316.9803373125123</v>
      </c>
      <c r="O166" s="100">
        <v>0</v>
      </c>
      <c r="P166" s="10">
        <v>0</v>
      </c>
      <c r="Q166" s="6">
        <v>10968</v>
      </c>
      <c r="R166" s="6">
        <v>0</v>
      </c>
      <c r="S166" s="6">
        <v>10968</v>
      </c>
      <c r="T166" s="6">
        <v>0</v>
      </c>
      <c r="U166" s="6">
        <v>0</v>
      </c>
      <c r="V166" s="6">
        <v>0</v>
      </c>
      <c r="W166" s="6">
        <v>0</v>
      </c>
      <c r="X166" s="9">
        <v>5589.9803373125123</v>
      </c>
      <c r="Y166" s="9">
        <v>58.862461072303546</v>
      </c>
      <c r="Z166" s="9">
        <v>-5651.0196626874877</v>
      </c>
      <c r="AA166" s="132">
        <v>167028.61247889788</v>
      </c>
      <c r="AB166" s="132">
        <v>327723.83999999997</v>
      </c>
      <c r="AC166" s="11">
        <v>2.0109194168300637</v>
      </c>
      <c r="AD166" s="71"/>
      <c r="AE166" s="71">
        <v>62.451143451143452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21</v>
      </c>
      <c r="C167" s="6" t="s">
        <v>5</v>
      </c>
      <c r="D167" s="6" t="s">
        <v>396</v>
      </c>
      <c r="E167" s="6" t="s">
        <v>397</v>
      </c>
      <c r="F167" s="6">
        <v>1071793</v>
      </c>
      <c r="G167" s="8" t="s">
        <v>666</v>
      </c>
      <c r="H167" s="129">
        <v>250</v>
      </c>
      <c r="I167" s="129">
        <v>125</v>
      </c>
      <c r="J167" s="9">
        <v>0</v>
      </c>
      <c r="K167" s="9">
        <v>12</v>
      </c>
      <c r="L167" s="100">
        <v>6</v>
      </c>
      <c r="M167" s="10">
        <v>4.8000000000000001E-2</v>
      </c>
      <c r="N167" s="100">
        <v>119</v>
      </c>
      <c r="O167" s="100">
        <v>4.0217256024026202</v>
      </c>
      <c r="P167" s="10">
        <v>1.1318261992942189</v>
      </c>
      <c r="Q167" s="6">
        <v>500</v>
      </c>
      <c r="R167" s="6">
        <v>0</v>
      </c>
      <c r="S167" s="6">
        <v>500</v>
      </c>
      <c r="T167" s="6">
        <v>440</v>
      </c>
      <c r="U167" s="6">
        <v>0</v>
      </c>
      <c r="V167" s="6">
        <v>0</v>
      </c>
      <c r="W167" s="6">
        <v>0</v>
      </c>
      <c r="X167" s="9">
        <v>250</v>
      </c>
      <c r="Y167" s="9">
        <v>60</v>
      </c>
      <c r="Z167" s="9">
        <v>-702</v>
      </c>
      <c r="AA167" s="132">
        <v>1792.5</v>
      </c>
      <c r="AB167" s="132">
        <v>6739.8</v>
      </c>
      <c r="AC167" s="11">
        <v>3.8079999999999998</v>
      </c>
      <c r="AD167" s="71"/>
      <c r="AE167" s="71"/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/>
      <c r="BJ167" s="31"/>
    </row>
    <row r="168" spans="1:62" ht="12.75" customHeight="1" x14ac:dyDescent="0.35">
      <c r="A168" s="118"/>
      <c r="B168" s="30" t="s">
        <v>15</v>
      </c>
      <c r="C168" s="6" t="s">
        <v>5</v>
      </c>
      <c r="D168" s="6" t="s">
        <v>312</v>
      </c>
      <c r="E168" s="6" t="s">
        <v>315</v>
      </c>
      <c r="F168" s="6">
        <v>1078687</v>
      </c>
      <c r="G168" s="8" t="s">
        <v>709</v>
      </c>
      <c r="H168" s="173">
        <v>1713.0487804878048</v>
      </c>
      <c r="I168" s="129">
        <v>596.14097560975608</v>
      </c>
      <c r="J168" s="9">
        <v>0</v>
      </c>
      <c r="K168" s="9">
        <v>388</v>
      </c>
      <c r="L168" s="100">
        <v>135.024</v>
      </c>
      <c r="M168" s="10">
        <v>0.25218196056097386</v>
      </c>
      <c r="N168" s="100">
        <v>461.11697560975608</v>
      </c>
      <c r="O168" s="100">
        <v>0</v>
      </c>
      <c r="P168" s="10">
        <v>0</v>
      </c>
      <c r="Q168" s="6">
        <v>3612</v>
      </c>
      <c r="R168" s="6">
        <v>44</v>
      </c>
      <c r="S168" s="6">
        <v>3568</v>
      </c>
      <c r="T168" s="6">
        <v>0</v>
      </c>
      <c r="U168" s="6">
        <v>0</v>
      </c>
      <c r="V168" s="6">
        <v>0</v>
      </c>
      <c r="W168" s="6">
        <v>0</v>
      </c>
      <c r="X168" s="9">
        <v>1713.0487804878048</v>
      </c>
      <c r="Y168" s="9">
        <v>62.485085783441306</v>
      </c>
      <c r="Z168" s="9">
        <v>-2286.9512195121952</v>
      </c>
      <c r="AA168" s="132">
        <v>7999.9378048780482</v>
      </c>
      <c r="AB168" s="132">
        <v>16662.560000000001</v>
      </c>
      <c r="AC168" s="11">
        <v>2.3350181533423506</v>
      </c>
      <c r="AD168" s="71"/>
      <c r="AE168" s="71"/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2"/>
      <c r="BJ168" s="31"/>
    </row>
    <row r="169" spans="1:62" ht="12.75" customHeight="1" x14ac:dyDescent="0.35">
      <c r="A169" s="118"/>
      <c r="B169" s="30" t="s">
        <v>1</v>
      </c>
      <c r="C169" s="6" t="s">
        <v>24</v>
      </c>
      <c r="D169" s="6" t="s">
        <v>316</v>
      </c>
      <c r="E169" s="6" t="s">
        <v>317</v>
      </c>
      <c r="F169" s="123">
        <v>1072239</v>
      </c>
      <c r="G169" s="124" t="s">
        <v>767</v>
      </c>
      <c r="H169" s="129">
        <v>3907.3097526170368</v>
      </c>
      <c r="I169" s="129">
        <v>1484.777705994474</v>
      </c>
      <c r="J169" s="9">
        <v>0</v>
      </c>
      <c r="K169" s="9">
        <v>840</v>
      </c>
      <c r="L169" s="100">
        <v>319.2</v>
      </c>
      <c r="M169" s="10">
        <v>0.362653613282367</v>
      </c>
      <c r="N169" s="100">
        <v>1165.5777059944739</v>
      </c>
      <c r="O169" s="100">
        <v>0</v>
      </c>
      <c r="P169" s="10">
        <v>0.1</v>
      </c>
      <c r="Q169" s="6">
        <v>10726</v>
      </c>
      <c r="R169" s="6">
        <v>577</v>
      </c>
      <c r="S169" s="6">
        <v>10149</v>
      </c>
      <c r="T169" s="6">
        <v>0</v>
      </c>
      <c r="U169" s="6">
        <v>0</v>
      </c>
      <c r="V169" s="6">
        <v>0</v>
      </c>
      <c r="W169" s="6">
        <v>0</v>
      </c>
      <c r="X169" s="9">
        <v>4858.2857142857138</v>
      </c>
      <c r="Y169" s="9">
        <v>62.670254057868739</v>
      </c>
      <c r="Z169" s="9">
        <v>-7658.6902473829632</v>
      </c>
      <c r="AA169" s="132">
        <v>33837.302457663536</v>
      </c>
      <c r="AB169" s="132">
        <v>87890.34</v>
      </c>
      <c r="AC169" s="11">
        <v>2.9600929366435125</v>
      </c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/>
      <c r="BJ169" s="31"/>
    </row>
    <row r="170" spans="1:62" ht="12.75" customHeight="1" x14ac:dyDescent="0.35">
      <c r="A170" s="118"/>
      <c r="B170" s="30" t="s">
        <v>1</v>
      </c>
      <c r="C170" s="6" t="s">
        <v>2</v>
      </c>
      <c r="D170" s="6" t="s">
        <v>310</v>
      </c>
      <c r="E170" s="6" t="s">
        <v>311</v>
      </c>
      <c r="F170" s="123">
        <v>1080748</v>
      </c>
      <c r="G170" s="124" t="s">
        <v>768</v>
      </c>
      <c r="H170" s="129">
        <v>3083.5175950684861</v>
      </c>
      <c r="I170" s="129">
        <v>1850.1105570410916</v>
      </c>
      <c r="J170" s="9">
        <v>0</v>
      </c>
      <c r="K170" s="9">
        <v>1015</v>
      </c>
      <c r="L170" s="100">
        <v>609</v>
      </c>
      <c r="M170" s="10">
        <v>0.38462566320256669</v>
      </c>
      <c r="N170" s="100">
        <v>1241.1105570410916</v>
      </c>
      <c r="O170" s="100">
        <v>0</v>
      </c>
      <c r="P170" s="10">
        <v>0.72454729574609511</v>
      </c>
      <c r="Q170" s="6">
        <v>8667</v>
      </c>
      <c r="R170" s="6">
        <v>171</v>
      </c>
      <c r="S170" s="6">
        <v>8496</v>
      </c>
      <c r="T170" s="6">
        <v>0</v>
      </c>
      <c r="U170" s="6">
        <v>0</v>
      </c>
      <c r="V170" s="6">
        <v>0</v>
      </c>
      <c r="W170" s="6">
        <v>0</v>
      </c>
      <c r="X170" s="9">
        <v>4066.2857142857142</v>
      </c>
      <c r="Y170" s="9">
        <v>62.681281618887013</v>
      </c>
      <c r="Z170" s="9">
        <v>-6598.4824049315139</v>
      </c>
      <c r="AA170" s="132">
        <v>44340.983017084836</v>
      </c>
      <c r="AB170" s="132">
        <v>122172.48000000001</v>
      </c>
      <c r="AC170" s="11">
        <v>3.1399204646941405</v>
      </c>
      <c r="AD170" s="71"/>
      <c r="AE170" s="71" t="s">
        <v>574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15</v>
      </c>
      <c r="C171" s="6" t="s">
        <v>5</v>
      </c>
      <c r="D171" s="6" t="s">
        <v>312</v>
      </c>
      <c r="E171" s="6" t="s">
        <v>315</v>
      </c>
      <c r="F171" s="6">
        <v>1080723</v>
      </c>
      <c r="G171" s="8" t="s">
        <v>737</v>
      </c>
      <c r="H171" s="129">
        <v>240</v>
      </c>
      <c r="I171" s="129">
        <v>11.28</v>
      </c>
      <c r="J171" s="9">
        <v>0</v>
      </c>
      <c r="K171" s="9">
        <v>0</v>
      </c>
      <c r="L171" s="100">
        <v>0</v>
      </c>
      <c r="M171" s="10">
        <v>0</v>
      </c>
      <c r="N171" s="100">
        <v>11.28</v>
      </c>
      <c r="O171" s="100">
        <v>0</v>
      </c>
      <c r="P171" s="10">
        <v>3.3546124797698251E-2</v>
      </c>
      <c r="Q171" s="6">
        <v>528</v>
      </c>
      <c r="R171" s="6">
        <v>0</v>
      </c>
      <c r="S171" s="6">
        <v>528</v>
      </c>
      <c r="T171" s="6">
        <v>0</v>
      </c>
      <c r="U171" s="6">
        <v>0</v>
      </c>
      <c r="V171" s="6">
        <v>0</v>
      </c>
      <c r="W171" s="6">
        <v>0</v>
      </c>
      <c r="X171" s="9">
        <v>240</v>
      </c>
      <c r="Y171" s="9">
        <v>66</v>
      </c>
      <c r="Z171" s="9">
        <v>-288</v>
      </c>
      <c r="AA171" s="132">
        <v>156</v>
      </c>
      <c r="AB171" s="132">
        <v>343.2</v>
      </c>
      <c r="AC171" s="11">
        <v>2.2000000000000002</v>
      </c>
      <c r="AD171" s="71"/>
      <c r="AE171" s="71">
        <v>21.992222251817914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2" t="s">
        <v>1</v>
      </c>
      <c r="BJ171" s="31"/>
    </row>
    <row r="172" spans="1:62" ht="12.75" customHeight="1" x14ac:dyDescent="0.35">
      <c r="A172" s="118"/>
      <c r="B172" s="30" t="s">
        <v>21</v>
      </c>
      <c r="C172" s="6" t="s">
        <v>5</v>
      </c>
      <c r="D172" s="6" t="s">
        <v>308</v>
      </c>
      <c r="E172" s="6" t="s">
        <v>395</v>
      </c>
      <c r="F172" s="6">
        <v>1069726</v>
      </c>
      <c r="G172" s="8" t="s">
        <v>569</v>
      </c>
      <c r="H172" s="129">
        <v>2383.2202517347187</v>
      </c>
      <c r="I172" s="129">
        <v>1191.6101258673593</v>
      </c>
      <c r="J172" s="9">
        <v>0</v>
      </c>
      <c r="K172" s="9">
        <v>824</v>
      </c>
      <c r="L172" s="100">
        <v>412</v>
      </c>
      <c r="M172" s="10">
        <v>0.38141669840978792</v>
      </c>
      <c r="N172" s="100">
        <v>779.61012586735933</v>
      </c>
      <c r="O172" s="100">
        <v>15.713474904042513</v>
      </c>
      <c r="P172" s="10">
        <v>1.3755081370199564</v>
      </c>
      <c r="Q172" s="6">
        <v>6953</v>
      </c>
      <c r="R172" s="6">
        <v>85</v>
      </c>
      <c r="S172" s="6">
        <v>6868</v>
      </c>
      <c r="T172" s="6">
        <v>0</v>
      </c>
      <c r="U172" s="6">
        <v>0</v>
      </c>
      <c r="V172" s="6">
        <v>0</v>
      </c>
      <c r="W172" s="6">
        <v>0</v>
      </c>
      <c r="X172" s="9">
        <v>3116.5714285714284</v>
      </c>
      <c r="Y172" s="9">
        <v>66.111111111111114</v>
      </c>
      <c r="Z172" s="9">
        <v>-5393.7797482652813</v>
      </c>
      <c r="AA172" s="132">
        <v>42659.642506051459</v>
      </c>
      <c r="AB172" s="132">
        <v>122937.2</v>
      </c>
      <c r="AC172" s="11">
        <v>3.2632317530615187</v>
      </c>
      <c r="AD172" s="71"/>
      <c r="AE172" s="71">
        <v>4.154447115384615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 t="s">
        <v>1</v>
      </c>
      <c r="BJ172" s="31"/>
    </row>
    <row r="173" spans="1:62" ht="12.75" customHeight="1" x14ac:dyDescent="0.35">
      <c r="A173" s="118"/>
      <c r="B173" s="30" t="s">
        <v>1</v>
      </c>
      <c r="C173" s="6" t="s">
        <v>2</v>
      </c>
      <c r="D173" s="6" t="s">
        <v>310</v>
      </c>
      <c r="E173" s="6" t="s">
        <v>311</v>
      </c>
      <c r="F173" s="123">
        <v>1080744</v>
      </c>
      <c r="G173" s="124" t="s">
        <v>765</v>
      </c>
      <c r="H173" s="129">
        <v>14333.811238200115</v>
      </c>
      <c r="I173" s="129">
        <v>2150.0716857300172</v>
      </c>
      <c r="J173" s="9">
        <v>0</v>
      </c>
      <c r="K173" s="9">
        <v>2970</v>
      </c>
      <c r="L173" s="100">
        <v>445.5</v>
      </c>
      <c r="M173" s="10">
        <v>0.22896910985219016</v>
      </c>
      <c r="N173" s="100">
        <v>1704.5716857300172</v>
      </c>
      <c r="O173" s="100">
        <v>0</v>
      </c>
      <c r="P173" s="10">
        <v>0</v>
      </c>
      <c r="Q173" s="6">
        <v>31958</v>
      </c>
      <c r="R173" s="6">
        <v>312</v>
      </c>
      <c r="S173" s="6">
        <v>31646</v>
      </c>
      <c r="T173" s="6">
        <v>0</v>
      </c>
      <c r="U173" s="6">
        <v>0</v>
      </c>
      <c r="V173" s="6">
        <v>0</v>
      </c>
      <c r="W173" s="6">
        <v>0</v>
      </c>
      <c r="X173" s="9">
        <v>14333.811238200115</v>
      </c>
      <c r="Y173" s="9">
        <v>66.233605579363896</v>
      </c>
      <c r="Z173" s="9">
        <v>-20594.188761799887</v>
      </c>
      <c r="AA173" s="132">
        <v>35977.866207882282</v>
      </c>
      <c r="AB173" s="132">
        <v>79431.459999999992</v>
      </c>
      <c r="AC173" s="11">
        <v>2.4367559624976534</v>
      </c>
      <c r="AD173" s="71"/>
      <c r="AE173" s="71">
        <v>40.312352692310292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 t="s">
        <v>1</v>
      </c>
      <c r="BJ173" s="31"/>
    </row>
    <row r="174" spans="1:62" ht="12.75" customHeight="1" x14ac:dyDescent="0.35">
      <c r="A174" s="118"/>
      <c r="B174" s="30" t="s">
        <v>1</v>
      </c>
      <c r="C174" s="6" t="s">
        <v>2</v>
      </c>
      <c r="D174" s="6" t="s">
        <v>310</v>
      </c>
      <c r="E174" s="6" t="s">
        <v>311</v>
      </c>
      <c r="F174" s="141">
        <v>1068295</v>
      </c>
      <c r="G174" s="142" t="s">
        <v>566</v>
      </c>
      <c r="H174" s="129">
        <v>802.80434449646077</v>
      </c>
      <c r="I174" s="129">
        <v>433.51434602808882</v>
      </c>
      <c r="J174" s="9">
        <v>0</v>
      </c>
      <c r="K174" s="9">
        <v>120</v>
      </c>
      <c r="L174" s="100">
        <v>64.800000000000011</v>
      </c>
      <c r="M174" s="10">
        <v>0.24912670362471079</v>
      </c>
      <c r="N174" s="100">
        <v>368.71434602808881</v>
      </c>
      <c r="O174" s="100">
        <v>3.0145726507705071</v>
      </c>
      <c r="P174" s="10">
        <v>1.0998246855661706</v>
      </c>
      <c r="Q174" s="6">
        <v>1858</v>
      </c>
      <c r="R174" s="6">
        <v>80</v>
      </c>
      <c r="S174" s="6">
        <v>1778</v>
      </c>
      <c r="T174" s="6">
        <v>0</v>
      </c>
      <c r="U174" s="6">
        <v>0</v>
      </c>
      <c r="V174" s="6">
        <v>0</v>
      </c>
      <c r="W174" s="6">
        <v>0</v>
      </c>
      <c r="X174" s="9">
        <v>802.80434449646077</v>
      </c>
      <c r="Y174" s="9">
        <v>66.442091856710363</v>
      </c>
      <c r="Z174" s="9">
        <v>-1175.1956555035392</v>
      </c>
      <c r="AA174" s="132">
        <v>6615.1077986508371</v>
      </c>
      <c r="AB174" s="132">
        <v>14650.720000000001</v>
      </c>
      <c r="AC174" s="11">
        <v>2.4638630988483898</v>
      </c>
      <c r="AD174" s="71"/>
      <c r="AE174" s="71">
        <v>0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 t="s">
        <v>1</v>
      </c>
      <c r="BJ174" s="31"/>
    </row>
    <row r="175" spans="1:62" ht="12.75" customHeight="1" x14ac:dyDescent="0.35">
      <c r="A175" s="118"/>
      <c r="B175" s="30" t="s">
        <v>9</v>
      </c>
      <c r="C175" s="6" t="s">
        <v>5</v>
      </c>
      <c r="D175" s="6" t="s">
        <v>308</v>
      </c>
      <c r="E175" s="6" t="s">
        <v>315</v>
      </c>
      <c r="F175" s="133">
        <v>1080402</v>
      </c>
      <c r="G175" s="134" t="s">
        <v>742</v>
      </c>
      <c r="H175" s="129">
        <v>4379.9479256411914</v>
      </c>
      <c r="I175" s="129">
        <v>875.98958512823833</v>
      </c>
      <c r="J175" s="9">
        <v>0</v>
      </c>
      <c r="K175" s="9">
        <v>88</v>
      </c>
      <c r="L175" s="100">
        <v>17.600000000000001</v>
      </c>
      <c r="M175" s="10">
        <v>5.0000594463218431E-2</v>
      </c>
      <c r="N175" s="100">
        <v>858.38958512823831</v>
      </c>
      <c r="O175" s="100">
        <v>39.241622511709515</v>
      </c>
      <c r="P175" s="10">
        <v>2.3080540837236505</v>
      </c>
      <c r="Q175" s="6">
        <v>9861</v>
      </c>
      <c r="R175" s="6">
        <v>131</v>
      </c>
      <c r="S175" s="6">
        <v>9730</v>
      </c>
      <c r="T175" s="6">
        <v>0</v>
      </c>
      <c r="U175" s="6">
        <v>0</v>
      </c>
      <c r="V175" s="6">
        <v>0</v>
      </c>
      <c r="W175" s="6">
        <v>0</v>
      </c>
      <c r="X175" s="9">
        <v>4379.9479256411914</v>
      </c>
      <c r="Y175" s="9">
        <v>66.644627962618529</v>
      </c>
      <c r="Z175" s="9">
        <v>-5569.0520743588086</v>
      </c>
      <c r="AA175" s="132">
        <v>28513.460995924157</v>
      </c>
      <c r="AB175" s="132">
        <v>63342.299999999996</v>
      </c>
      <c r="AC175" s="11">
        <v>2.2714881932171695</v>
      </c>
      <c r="AD175" s="71"/>
      <c r="AE175" s="71">
        <v>104.89112227805695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312</v>
      </c>
      <c r="E176" s="6" t="s">
        <v>315</v>
      </c>
      <c r="F176" s="61">
        <v>1080722</v>
      </c>
      <c r="G176" s="70" t="s">
        <v>736</v>
      </c>
      <c r="H176" s="129">
        <v>5472.9268292682927</v>
      </c>
      <c r="I176" s="129">
        <v>1543.3653658536584</v>
      </c>
      <c r="J176" s="9">
        <v>0</v>
      </c>
      <c r="K176" s="9">
        <v>1</v>
      </c>
      <c r="L176" s="100">
        <v>0.28199999999999997</v>
      </c>
      <c r="M176" s="10">
        <v>2.7407638486563572E-3</v>
      </c>
      <c r="N176" s="100">
        <v>1543.0833658536585</v>
      </c>
      <c r="O176" s="100">
        <v>17.831539884505236</v>
      </c>
      <c r="P176" s="10">
        <v>1.750603966600089</v>
      </c>
      <c r="Q176" s="6">
        <v>12225</v>
      </c>
      <c r="R176" s="6">
        <v>14</v>
      </c>
      <c r="S176" s="6">
        <v>12211</v>
      </c>
      <c r="T176" s="6">
        <v>0</v>
      </c>
      <c r="U176" s="6">
        <v>0</v>
      </c>
      <c r="V176" s="6">
        <v>0</v>
      </c>
      <c r="W176" s="6">
        <v>0</v>
      </c>
      <c r="X176" s="9">
        <v>5472.9268292682927</v>
      </c>
      <c r="Y176" s="9">
        <v>66.93493471188556</v>
      </c>
      <c r="Z176" s="9">
        <v>-6753.0731707317073</v>
      </c>
      <c r="AA176" s="132">
        <v>23369.397560975609</v>
      </c>
      <c r="AB176" s="132">
        <v>52140.969999999994</v>
      </c>
      <c r="AC176" s="11">
        <v>2.2339052542448417</v>
      </c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/>
      <c r="BJ176" s="31"/>
    </row>
    <row r="177" spans="1:62" ht="12.75" customHeight="1" x14ac:dyDescent="0.35">
      <c r="A177" s="118"/>
      <c r="B177" s="30" t="s">
        <v>1</v>
      </c>
      <c r="C177" s="6" t="s">
        <v>24</v>
      </c>
      <c r="D177" s="6" t="s">
        <v>316</v>
      </c>
      <c r="E177" s="6" t="s">
        <v>317</v>
      </c>
      <c r="F177" s="6">
        <v>1032134</v>
      </c>
      <c r="G177" s="8" t="s">
        <v>25</v>
      </c>
      <c r="H177" s="129">
        <v>1607.210444282189</v>
      </c>
      <c r="I177" s="129">
        <v>273.22577552797213</v>
      </c>
      <c r="J177" s="9">
        <v>0</v>
      </c>
      <c r="K177" s="9">
        <v>203</v>
      </c>
      <c r="L177" s="100">
        <v>34.510000000000005</v>
      </c>
      <c r="M177" s="10">
        <v>0.17172611152565456</v>
      </c>
      <c r="N177" s="100">
        <v>238.71577552797214</v>
      </c>
      <c r="O177" s="100">
        <v>0</v>
      </c>
      <c r="P177" s="10">
        <v>0.99707133258995295</v>
      </c>
      <c r="Q177" s="6">
        <v>3692</v>
      </c>
      <c r="R177" s="6">
        <v>73</v>
      </c>
      <c r="S177" s="6">
        <v>3619</v>
      </c>
      <c r="T177" s="6">
        <v>0</v>
      </c>
      <c r="U177" s="6">
        <v>0</v>
      </c>
      <c r="V177" s="6">
        <v>0</v>
      </c>
      <c r="W177" s="6">
        <v>0</v>
      </c>
      <c r="X177" s="9">
        <v>1607.210444282189</v>
      </c>
      <c r="Y177" s="9">
        <v>67.551825827319988</v>
      </c>
      <c r="Z177" s="9">
        <v>-2287.7895557178108</v>
      </c>
      <c r="AA177" s="132">
        <v>18611.496944787748</v>
      </c>
      <c r="AB177" s="132">
        <v>41908.019999999997</v>
      </c>
      <c r="AC177" s="11">
        <v>2.4234536391029873</v>
      </c>
      <c r="AD177" s="71"/>
      <c r="AE177" s="71">
        <v>9.4224010042222996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308</v>
      </c>
      <c r="E178" s="6" t="s">
        <v>395</v>
      </c>
      <c r="F178" s="6">
        <v>1069121</v>
      </c>
      <c r="G178" s="8" t="s">
        <v>558</v>
      </c>
      <c r="H178" s="129">
        <v>171.23968708906878</v>
      </c>
      <c r="I178" s="129">
        <v>136.99174967125504</v>
      </c>
      <c r="J178" s="9">
        <v>0</v>
      </c>
      <c r="K178" s="9">
        <v>22</v>
      </c>
      <c r="L178" s="100">
        <v>17.600000000000001</v>
      </c>
      <c r="M178" s="10">
        <v>0.32118722554890122</v>
      </c>
      <c r="N178" s="100">
        <v>119.39174967125504</v>
      </c>
      <c r="O178" s="100">
        <v>13.643243243243241</v>
      </c>
      <c r="P178" s="10">
        <v>1.5047999999999999</v>
      </c>
      <c r="Q178" s="6">
        <v>476</v>
      </c>
      <c r="R178" s="6">
        <v>33</v>
      </c>
      <c r="S178" s="6">
        <v>443</v>
      </c>
      <c r="T178" s="6">
        <v>0</v>
      </c>
      <c r="U178" s="6">
        <v>0</v>
      </c>
      <c r="V178" s="6">
        <v>0</v>
      </c>
      <c r="W178" s="6">
        <v>0</v>
      </c>
      <c r="X178" s="9">
        <v>188.57142857142856</v>
      </c>
      <c r="Y178" s="9">
        <v>70.477272727272734</v>
      </c>
      <c r="Z178" s="9">
        <v>-326.76031291093125</v>
      </c>
      <c r="AA178" s="132">
        <v>6806.7775617904845</v>
      </c>
      <c r="AB178" s="132">
        <v>17609.25</v>
      </c>
      <c r="AC178" s="11">
        <v>2.9082043331518692</v>
      </c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/>
      <c r="BJ178" s="31"/>
    </row>
    <row r="179" spans="1:62" x14ac:dyDescent="0.35">
      <c r="A179" s="118"/>
      <c r="B179" s="30" t="s">
        <v>1</v>
      </c>
      <c r="C179" s="6" t="s">
        <v>2</v>
      </c>
      <c r="D179" s="6" t="s">
        <v>310</v>
      </c>
      <c r="E179" s="6" t="s">
        <v>311</v>
      </c>
      <c r="F179" s="61">
        <v>1068803</v>
      </c>
      <c r="G179" s="70" t="s">
        <v>561</v>
      </c>
      <c r="H179" s="129">
        <v>23339.174123599438</v>
      </c>
      <c r="I179" s="129">
        <v>3500.8761185399158</v>
      </c>
      <c r="J179" s="9">
        <v>0</v>
      </c>
      <c r="K179" s="9">
        <v>3695</v>
      </c>
      <c r="L179" s="100">
        <v>554.25</v>
      </c>
      <c r="M179" s="10">
        <v>0.1670581820655565</v>
      </c>
      <c r="N179" s="100">
        <v>2946.6261185399158</v>
      </c>
      <c r="O179" s="100">
        <v>123.65622599121473</v>
      </c>
      <c r="P179" s="10">
        <v>5.1218741997071575</v>
      </c>
      <c r="Q179" s="6">
        <v>58989</v>
      </c>
      <c r="R179" s="6">
        <v>204</v>
      </c>
      <c r="S179" s="6">
        <v>58785</v>
      </c>
      <c r="T179" s="6">
        <v>0</v>
      </c>
      <c r="U179" s="6">
        <v>0</v>
      </c>
      <c r="V179" s="6">
        <v>0</v>
      </c>
      <c r="W179" s="6">
        <v>645</v>
      </c>
      <c r="X179" s="9">
        <v>23339.174123599438</v>
      </c>
      <c r="Y179" s="9">
        <v>75.561799687538382</v>
      </c>
      <c r="Z179" s="9">
        <v>-39344.825876400559</v>
      </c>
      <c r="AA179" s="132">
        <v>49945.8326245028</v>
      </c>
      <c r="AB179" s="132">
        <v>127180.20000000001</v>
      </c>
      <c r="AC179" s="11">
        <v>2.6857848383168359</v>
      </c>
      <c r="AD179" s="71"/>
      <c r="AE179" s="71">
        <v>21.299374464661145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306</v>
      </c>
      <c r="E180" s="6" t="s">
        <v>307</v>
      </c>
      <c r="F180" s="6">
        <v>1016066</v>
      </c>
      <c r="G180" s="8" t="s">
        <v>289</v>
      </c>
      <c r="H180" s="129">
        <v>1701.5309796143101</v>
      </c>
      <c r="I180" s="129">
        <v>1633.4697404297376</v>
      </c>
      <c r="J180" s="9">
        <v>0</v>
      </c>
      <c r="K180" s="9">
        <v>72</v>
      </c>
      <c r="L180" s="100">
        <v>69.12</v>
      </c>
      <c r="M180" s="10">
        <v>4.4665657522866317E-2</v>
      </c>
      <c r="N180" s="100">
        <v>1564.3497404297377</v>
      </c>
      <c r="O180" s="100">
        <v>0.96222608928602971</v>
      </c>
      <c r="P180" s="10">
        <v>1.0305559522809493</v>
      </c>
      <c r="Q180" s="6">
        <v>4379</v>
      </c>
      <c r="R180" s="6">
        <v>4</v>
      </c>
      <c r="S180" s="6">
        <v>4375</v>
      </c>
      <c r="T180" s="6">
        <v>0</v>
      </c>
      <c r="U180" s="6">
        <v>303</v>
      </c>
      <c r="V180" s="6">
        <v>0</v>
      </c>
      <c r="W180" s="6">
        <v>0</v>
      </c>
      <c r="X180" s="9">
        <v>1701.5309796143101</v>
      </c>
      <c r="Y180" s="9">
        <v>77.136415129950052</v>
      </c>
      <c r="Z180" s="9">
        <v>-2749.4690203856899</v>
      </c>
      <c r="AA180" s="132">
        <v>18648.779536572842</v>
      </c>
      <c r="AB180" s="132">
        <v>51270.880000000005</v>
      </c>
      <c r="AC180" s="11">
        <v>2.6158794951878681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/>
      <c r="BJ180" s="31"/>
    </row>
    <row r="181" spans="1:62" ht="12.75" customHeight="1" x14ac:dyDescent="0.35">
      <c r="A181" s="118"/>
      <c r="B181" s="30" t="s">
        <v>1</v>
      </c>
      <c r="C181" s="6" t="s">
        <v>50</v>
      </c>
      <c r="D181" s="6" t="s">
        <v>310</v>
      </c>
      <c r="E181" s="6" t="s">
        <v>403</v>
      </c>
      <c r="F181" s="6">
        <v>1076303</v>
      </c>
      <c r="G181" s="8" t="s">
        <v>693</v>
      </c>
      <c r="H181" s="129">
        <v>7618.1326851145541</v>
      </c>
      <c r="I181" s="129">
        <v>281.8709093492385</v>
      </c>
      <c r="J181" s="9">
        <v>0</v>
      </c>
      <c r="K181" s="9">
        <v>3218</v>
      </c>
      <c r="L181" s="100">
        <v>119.06599999999999</v>
      </c>
      <c r="M181" s="10">
        <v>0.46651852191342585</v>
      </c>
      <c r="N181" s="100">
        <v>162.80490934923853</v>
      </c>
      <c r="O181" s="100">
        <v>4.4521345554003382</v>
      </c>
      <c r="P181" s="10">
        <v>1.1223487285336138</v>
      </c>
      <c r="Q181" s="6">
        <v>31784</v>
      </c>
      <c r="R181" s="6">
        <v>336</v>
      </c>
      <c r="S181" s="6">
        <v>31448</v>
      </c>
      <c r="T181" s="6">
        <v>0</v>
      </c>
      <c r="U181" s="6">
        <v>0</v>
      </c>
      <c r="V181" s="6">
        <v>0</v>
      </c>
      <c r="W181" s="6">
        <v>0</v>
      </c>
      <c r="X181" s="9">
        <v>12185.142857142857</v>
      </c>
      <c r="Y181" s="9">
        <v>77.425436128306146</v>
      </c>
      <c r="Z181" s="9">
        <v>-27383.867314885447</v>
      </c>
      <c r="AA181" s="132">
        <v>17216.979868358889</v>
      </c>
      <c r="AB181" s="132">
        <v>71072.479999999996</v>
      </c>
      <c r="AC181" s="11">
        <v>4.5945642386082532</v>
      </c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2"/>
      <c r="BJ181" s="31"/>
    </row>
    <row r="182" spans="1:62" x14ac:dyDescent="0.35">
      <c r="A182" s="118"/>
      <c r="B182" s="30" t="s">
        <v>15</v>
      </c>
      <c r="C182" s="6" t="s">
        <v>5</v>
      </c>
      <c r="D182" s="6" t="s">
        <v>308</v>
      </c>
      <c r="E182" s="6" t="s">
        <v>315</v>
      </c>
      <c r="F182" s="6">
        <v>1071558</v>
      </c>
      <c r="G182" s="8" t="s">
        <v>589</v>
      </c>
      <c r="H182" s="129">
        <v>3922.6942234465287</v>
      </c>
      <c r="I182" s="129">
        <v>1019.9004980960975</v>
      </c>
      <c r="J182" s="9">
        <v>0</v>
      </c>
      <c r="K182" s="9">
        <v>852</v>
      </c>
      <c r="L182" s="100">
        <v>221.52</v>
      </c>
      <c r="M182" s="10">
        <v>0.29316585349076624</v>
      </c>
      <c r="N182" s="100">
        <v>798.38049809609754</v>
      </c>
      <c r="O182" s="100">
        <v>0</v>
      </c>
      <c r="P182" s="10">
        <v>0.64112769330792241</v>
      </c>
      <c r="Q182" s="6">
        <v>10654</v>
      </c>
      <c r="R182" s="6">
        <v>298</v>
      </c>
      <c r="S182" s="6">
        <v>10356</v>
      </c>
      <c r="T182" s="6">
        <v>0</v>
      </c>
      <c r="U182" s="6">
        <v>0</v>
      </c>
      <c r="V182" s="6">
        <v>0</v>
      </c>
      <c r="W182" s="6">
        <v>0</v>
      </c>
      <c r="X182" s="9">
        <v>3942.8571428571431</v>
      </c>
      <c r="Y182" s="9">
        <v>78.795652173913041</v>
      </c>
      <c r="Z182" s="9">
        <v>-7583.3057765534713</v>
      </c>
      <c r="AA182" s="132">
        <v>7060.8496022037516</v>
      </c>
      <c r="AB182" s="132">
        <v>18640.8</v>
      </c>
      <c r="AC182" s="11">
        <v>2.9331880958823966</v>
      </c>
      <c r="AD182" s="71"/>
      <c r="AE182" s="71">
        <v>22.123413866612527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21</v>
      </c>
      <c r="C183" s="6" t="s">
        <v>5</v>
      </c>
      <c r="D183" s="6" t="s">
        <v>306</v>
      </c>
      <c r="E183" s="6" t="s">
        <v>307</v>
      </c>
      <c r="F183" s="61">
        <v>1016065</v>
      </c>
      <c r="G183" s="70" t="s">
        <v>288</v>
      </c>
      <c r="H183" s="129">
        <v>1453.3230278508431</v>
      </c>
      <c r="I183" s="129">
        <v>1395.1901067368094</v>
      </c>
      <c r="J183" s="9">
        <v>0</v>
      </c>
      <c r="K183" s="9">
        <v>270</v>
      </c>
      <c r="L183" s="100">
        <v>259.2</v>
      </c>
      <c r="M183" s="10">
        <v>0.18578113387446479</v>
      </c>
      <c r="N183" s="100">
        <v>1135.9901067368094</v>
      </c>
      <c r="O183" s="100">
        <v>0</v>
      </c>
      <c r="P183" s="10">
        <v>0.71192764017889576</v>
      </c>
      <c r="Q183" s="6">
        <v>3884</v>
      </c>
      <c r="R183" s="6">
        <v>0</v>
      </c>
      <c r="S183" s="6">
        <v>3884</v>
      </c>
      <c r="T183" s="6">
        <v>0</v>
      </c>
      <c r="U183" s="6">
        <v>230</v>
      </c>
      <c r="V183" s="6">
        <v>0</v>
      </c>
      <c r="W183" s="6">
        <v>0</v>
      </c>
      <c r="X183" s="9">
        <v>1453.3230278508431</v>
      </c>
      <c r="Y183" s="9">
        <v>80.174880440935695</v>
      </c>
      <c r="Z183" s="9">
        <v>-2700.6769721491569</v>
      </c>
      <c r="AA183" s="132">
        <v>15913.887154966731</v>
      </c>
      <c r="AB183" s="132">
        <v>45048.299999999996</v>
      </c>
      <c r="AC183" s="11">
        <v>2.8582771485723213</v>
      </c>
      <c r="AD183" s="71"/>
      <c r="AE183" s="71">
        <v>58.314976494291471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</v>
      </c>
      <c r="C184" s="6" t="s">
        <v>2</v>
      </c>
      <c r="D184" s="6" t="s">
        <v>306</v>
      </c>
      <c r="E184" s="6" t="s">
        <v>401</v>
      </c>
      <c r="F184" s="6">
        <v>1075852</v>
      </c>
      <c r="G184" s="8" t="s">
        <v>687</v>
      </c>
      <c r="H184" s="129">
        <v>10861.380860113519</v>
      </c>
      <c r="I184" s="129">
        <v>977.52427741021665</v>
      </c>
      <c r="J184" s="9">
        <v>0</v>
      </c>
      <c r="K184" s="9">
        <v>1152</v>
      </c>
      <c r="L184" s="100">
        <v>103.67999999999999</v>
      </c>
      <c r="M184" s="10">
        <v>0.1414184825836175</v>
      </c>
      <c r="N184" s="100">
        <v>873.8442774102167</v>
      </c>
      <c r="O184" s="100">
        <v>0</v>
      </c>
      <c r="P184" s="10">
        <v>0.2910158611225403</v>
      </c>
      <c r="Q184" s="6">
        <v>32267</v>
      </c>
      <c r="R184" s="6">
        <v>384</v>
      </c>
      <c r="S184" s="6">
        <v>31883</v>
      </c>
      <c r="T184" s="6">
        <v>0</v>
      </c>
      <c r="U184" s="6">
        <v>0</v>
      </c>
      <c r="V184" s="6">
        <v>0</v>
      </c>
      <c r="W184" s="6">
        <v>0</v>
      </c>
      <c r="X184" s="9">
        <v>10861.380860113521</v>
      </c>
      <c r="Y184" s="9">
        <v>88.06338828541945</v>
      </c>
      <c r="Z184" s="9">
        <v>-22557.619139886483</v>
      </c>
      <c r="AA184" s="132">
        <v>4235.938535444272</v>
      </c>
      <c r="AB184" s="132">
        <v>12434.37</v>
      </c>
      <c r="AC184" s="11">
        <v>3.0768647587642666</v>
      </c>
      <c r="AD184" s="71"/>
      <c r="AE184" s="71">
        <v>8.3670715249662617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1032132</v>
      </c>
      <c r="G185" s="8" t="s">
        <v>96</v>
      </c>
      <c r="H185" s="129">
        <v>2672.7492789714947</v>
      </c>
      <c r="I185" s="129">
        <v>133.63746394857475</v>
      </c>
      <c r="J185" s="9">
        <v>0</v>
      </c>
      <c r="K185" s="9">
        <v>144</v>
      </c>
      <c r="L185" s="100">
        <v>7.2</v>
      </c>
      <c r="M185" s="10">
        <v>0.18033865121291109</v>
      </c>
      <c r="N185" s="100">
        <v>126.43746394857475</v>
      </c>
      <c r="O185" s="100">
        <v>0</v>
      </c>
      <c r="P185" s="10">
        <v>0.58399999999999996</v>
      </c>
      <c r="Q185" s="6">
        <v>8725</v>
      </c>
      <c r="R185" s="6">
        <v>338</v>
      </c>
      <c r="S185" s="6">
        <v>8387</v>
      </c>
      <c r="T185" s="6">
        <v>0</v>
      </c>
      <c r="U185" s="6">
        <v>0</v>
      </c>
      <c r="V185" s="6">
        <v>0</v>
      </c>
      <c r="W185" s="6">
        <v>0</v>
      </c>
      <c r="X185" s="9">
        <v>2672.7492789714947</v>
      </c>
      <c r="Y185" s="9">
        <v>94.139020812615271</v>
      </c>
      <c r="Z185" s="9">
        <v>-6196.2507210285057</v>
      </c>
      <c r="AA185" s="132">
        <v>11599.731870736287</v>
      </c>
      <c r="AB185" s="132">
        <v>36399.58</v>
      </c>
      <c r="AC185" s="11">
        <v>3.3183060116334202</v>
      </c>
      <c r="AD185" s="71"/>
      <c r="AE185" s="71">
        <v>16.66190502303137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1</v>
      </c>
      <c r="C186" s="6" t="s">
        <v>2</v>
      </c>
      <c r="D186" s="6" t="s">
        <v>396</v>
      </c>
      <c r="E186" s="6" t="s">
        <v>397</v>
      </c>
      <c r="F186" s="61">
        <v>1043304</v>
      </c>
      <c r="G186" s="70" t="s">
        <v>123</v>
      </c>
      <c r="H186" s="129">
        <v>561</v>
      </c>
      <c r="I186" s="129">
        <v>561</v>
      </c>
      <c r="J186" s="9">
        <v>0</v>
      </c>
      <c r="K186" s="9">
        <v>93</v>
      </c>
      <c r="L186" s="100">
        <v>93</v>
      </c>
      <c r="M186" s="10">
        <v>0.18360071301247771</v>
      </c>
      <c r="N186" s="100">
        <v>468</v>
      </c>
      <c r="O186" s="100">
        <v>0</v>
      </c>
      <c r="P186" s="10">
        <v>0</v>
      </c>
      <c r="Q186" s="6">
        <v>1799</v>
      </c>
      <c r="R186" s="6">
        <v>10</v>
      </c>
      <c r="S186" s="6">
        <v>1789</v>
      </c>
      <c r="T186" s="6">
        <v>0</v>
      </c>
      <c r="U186" s="6">
        <v>0</v>
      </c>
      <c r="V186" s="6">
        <v>0</v>
      </c>
      <c r="W186" s="6">
        <v>18</v>
      </c>
      <c r="X186" s="9">
        <v>561</v>
      </c>
      <c r="Y186" s="9">
        <v>95.668449197860966</v>
      </c>
      <c r="Z186" s="9">
        <v>-1331</v>
      </c>
      <c r="AA186" s="132">
        <v>19214.25</v>
      </c>
      <c r="AB186" s="132">
        <v>61889.75</v>
      </c>
      <c r="AC186" s="11">
        <v>3.3725490196078431</v>
      </c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2" t="s">
        <v>1</v>
      </c>
      <c r="BJ186" s="31"/>
    </row>
    <row r="187" spans="1:62" ht="12.75" customHeight="1" x14ac:dyDescent="0.35">
      <c r="A187" s="118"/>
      <c r="B187" s="30" t="s">
        <v>4</v>
      </c>
      <c r="C187" s="6" t="s">
        <v>5</v>
      </c>
      <c r="D187" s="6" t="s">
        <v>308</v>
      </c>
      <c r="E187" s="6" t="s">
        <v>314</v>
      </c>
      <c r="F187" s="6">
        <v>1075138</v>
      </c>
      <c r="G187" s="8" t="s">
        <v>664</v>
      </c>
      <c r="H187" s="129">
        <v>2721.3864470982403</v>
      </c>
      <c r="I187" s="129">
        <v>65.313274730357762</v>
      </c>
      <c r="J187" s="9">
        <v>0</v>
      </c>
      <c r="K187" s="9">
        <v>420</v>
      </c>
      <c r="L187" s="100">
        <v>10.08</v>
      </c>
      <c r="M187" s="10">
        <v>0.39685653654650271</v>
      </c>
      <c r="N187" s="100">
        <v>55.233274730357763</v>
      </c>
      <c r="O187" s="100">
        <v>0</v>
      </c>
      <c r="P187" s="10">
        <v>0.6847605468400163</v>
      </c>
      <c r="Q187" s="6">
        <v>12524</v>
      </c>
      <c r="R187" s="6">
        <v>660</v>
      </c>
      <c r="S187" s="6">
        <v>11864</v>
      </c>
      <c r="T187" s="6">
        <v>0</v>
      </c>
      <c r="U187" s="6">
        <v>0</v>
      </c>
      <c r="V187" s="6">
        <v>0</v>
      </c>
      <c r="W187" s="6">
        <v>0</v>
      </c>
      <c r="X187" s="9">
        <v>3702.8571428571427</v>
      </c>
      <c r="Y187" s="9">
        <v>96.120370370370381</v>
      </c>
      <c r="Z187" s="9">
        <v>-10222.613552901759</v>
      </c>
      <c r="AA187" s="132">
        <v>1034.1268498973313</v>
      </c>
      <c r="AB187" s="132">
        <v>4508.32</v>
      </c>
      <c r="AC187" s="11">
        <v>4.7563990824610478</v>
      </c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/>
      <c r="BJ187" s="31"/>
    </row>
    <row r="188" spans="1:62" ht="12.75" customHeight="1" x14ac:dyDescent="0.35">
      <c r="A188" s="118"/>
      <c r="B188" s="30" t="s">
        <v>1</v>
      </c>
      <c r="C188" s="6" t="s">
        <v>24</v>
      </c>
      <c r="D188" s="6" t="s">
        <v>316</v>
      </c>
      <c r="E188" s="6" t="s">
        <v>317</v>
      </c>
      <c r="F188" s="6">
        <v>1034632</v>
      </c>
      <c r="G188" s="8" t="s">
        <v>57</v>
      </c>
      <c r="H188" s="129">
        <v>3488.8525298438499</v>
      </c>
      <c r="I188" s="129">
        <v>593.10493007345451</v>
      </c>
      <c r="J188" s="9">
        <v>0</v>
      </c>
      <c r="K188" s="9">
        <v>217</v>
      </c>
      <c r="L188" s="100">
        <v>36.89</v>
      </c>
      <c r="M188" s="10">
        <v>0.11465087634928002</v>
      </c>
      <c r="N188" s="100">
        <v>556.21493007345452</v>
      </c>
      <c r="O188" s="100">
        <v>1.1645835455032501</v>
      </c>
      <c r="P188" s="10">
        <v>1.0403078016680627</v>
      </c>
      <c r="Q188" s="6">
        <v>12814</v>
      </c>
      <c r="R188" s="6">
        <v>183</v>
      </c>
      <c r="S188" s="6">
        <v>12631</v>
      </c>
      <c r="T188" s="6">
        <v>0</v>
      </c>
      <c r="U188" s="6">
        <v>0</v>
      </c>
      <c r="V188" s="6">
        <v>0</v>
      </c>
      <c r="W188" s="6">
        <v>169</v>
      </c>
      <c r="X188" s="9">
        <v>3488.8525298438499</v>
      </c>
      <c r="Y188" s="9">
        <v>108.61164143758168</v>
      </c>
      <c r="Z188" s="9">
        <v>-9542.1474701561492</v>
      </c>
      <c r="AA188" s="132">
        <v>36667.840088658864</v>
      </c>
      <c r="AB188" s="132">
        <v>134528</v>
      </c>
      <c r="AC188" s="11">
        <v>3.7350389242686695</v>
      </c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/>
      <c r="BJ188" s="31"/>
    </row>
    <row r="189" spans="1:62" ht="12.75" customHeight="1" x14ac:dyDescent="0.35">
      <c r="A189" s="118"/>
      <c r="B189" s="30" t="s">
        <v>21</v>
      </c>
      <c r="C189" s="6" t="s">
        <v>5</v>
      </c>
      <c r="D189" s="6" t="s">
        <v>308</v>
      </c>
      <c r="E189" s="6" t="s">
        <v>395</v>
      </c>
      <c r="F189" s="6">
        <v>1069125</v>
      </c>
      <c r="G189" s="8" t="s">
        <v>557</v>
      </c>
      <c r="H189" s="129">
        <v>74.566382451788812</v>
      </c>
      <c r="I189" s="129">
        <v>59.653105961431052</v>
      </c>
      <c r="J189" s="9">
        <v>0</v>
      </c>
      <c r="K189" s="9">
        <v>16</v>
      </c>
      <c r="L189" s="100">
        <v>12.8</v>
      </c>
      <c r="M189" s="10">
        <v>0.21457390681846292</v>
      </c>
      <c r="N189" s="100">
        <v>46.853105961431055</v>
      </c>
      <c r="O189" s="100">
        <v>0</v>
      </c>
      <c r="P189" s="10">
        <v>0.19457436856875585</v>
      </c>
      <c r="Q189" s="6">
        <v>274</v>
      </c>
      <c r="R189" s="6">
        <v>0</v>
      </c>
      <c r="S189" s="6">
        <v>274</v>
      </c>
      <c r="T189" s="6">
        <v>0</v>
      </c>
      <c r="U189" s="6">
        <v>0</v>
      </c>
      <c r="V189" s="6">
        <v>0</v>
      </c>
      <c r="W189" s="6">
        <v>0</v>
      </c>
      <c r="X189" s="9">
        <v>74.566382451788812</v>
      </c>
      <c r="Y189" s="9">
        <v>110.23734462798531</v>
      </c>
      <c r="Z189" s="9">
        <v>-215.4336175482112</v>
      </c>
      <c r="AA189" s="132">
        <v>2702.2857000528265</v>
      </c>
      <c r="AB189" s="132">
        <v>9929.76</v>
      </c>
      <c r="AC189" s="11">
        <v>3.8891520610846402</v>
      </c>
      <c r="AD189" s="71"/>
      <c r="AE189" s="71">
        <v>23.728842851009016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21</v>
      </c>
      <c r="C190" s="6" t="s">
        <v>5</v>
      </c>
      <c r="D190" s="6" t="s">
        <v>308</v>
      </c>
      <c r="E190" s="6" t="s">
        <v>395</v>
      </c>
      <c r="F190" s="61">
        <v>1069936</v>
      </c>
      <c r="G190" s="70" t="s">
        <v>610</v>
      </c>
      <c r="H190" s="129">
        <v>221.069321854912</v>
      </c>
      <c r="I190" s="129">
        <v>42.003171152433282</v>
      </c>
      <c r="J190" s="9">
        <v>0</v>
      </c>
      <c r="K190" s="9">
        <v>36</v>
      </c>
      <c r="L190" s="100">
        <v>6.84</v>
      </c>
      <c r="M190" s="10">
        <v>0.29854888704691401</v>
      </c>
      <c r="N190" s="100">
        <v>35.163171152433279</v>
      </c>
      <c r="O190" s="100">
        <v>17.456332106178646</v>
      </c>
      <c r="P190" s="10">
        <v>1.4859477521752689</v>
      </c>
      <c r="Q190" s="6">
        <v>950</v>
      </c>
      <c r="R190" s="6">
        <v>30</v>
      </c>
      <c r="S190" s="6">
        <v>920</v>
      </c>
      <c r="T190" s="6">
        <v>0</v>
      </c>
      <c r="U190" s="6">
        <v>0</v>
      </c>
      <c r="V190" s="6">
        <v>0</v>
      </c>
      <c r="W190" s="6">
        <v>0</v>
      </c>
      <c r="X190" s="9">
        <v>226.28571428571428</v>
      </c>
      <c r="Y190" s="9">
        <v>121.96969696969697</v>
      </c>
      <c r="Z190" s="9">
        <v>-764.930678145088</v>
      </c>
      <c r="AA190" s="132">
        <v>1806.1363595546311</v>
      </c>
      <c r="AB190" s="132">
        <v>7516.4</v>
      </c>
      <c r="AC190" s="11">
        <v>4.4601394337614728</v>
      </c>
      <c r="AD190" s="71"/>
      <c r="AE190" s="71">
        <v>75.108571428571437</v>
      </c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126" t="s">
        <v>1</v>
      </c>
      <c r="BJ190" s="31"/>
    </row>
    <row r="191" spans="1:62" ht="12.75" customHeight="1" x14ac:dyDescent="0.35">
      <c r="A191" s="118"/>
      <c r="B191" s="30" t="s">
        <v>1</v>
      </c>
      <c r="C191" s="6" t="s">
        <v>24</v>
      </c>
      <c r="D191" s="6" t="s">
        <v>316</v>
      </c>
      <c r="E191" s="6" t="s">
        <v>317</v>
      </c>
      <c r="F191" s="123">
        <v>1059902</v>
      </c>
      <c r="G191" s="124" t="s">
        <v>766</v>
      </c>
      <c r="H191" s="129">
        <v>1555</v>
      </c>
      <c r="I191" s="129">
        <v>77.75</v>
      </c>
      <c r="J191" s="9">
        <v>0</v>
      </c>
      <c r="K191" s="9">
        <v>96</v>
      </c>
      <c r="L191" s="100">
        <v>4.8000000000000007</v>
      </c>
      <c r="M191" s="10">
        <v>6.1736334405144692E-2</v>
      </c>
      <c r="N191" s="100">
        <v>72.95</v>
      </c>
      <c r="O191" s="100">
        <v>29.800443458980048</v>
      </c>
      <c r="P191" s="10">
        <v>1.7684391080617496</v>
      </c>
      <c r="Q191" s="6">
        <v>6408</v>
      </c>
      <c r="R191" s="6">
        <v>0</v>
      </c>
      <c r="S191" s="6">
        <v>6408</v>
      </c>
      <c r="T191" s="6">
        <v>0</v>
      </c>
      <c r="U191" s="6">
        <v>0</v>
      </c>
      <c r="V191" s="6">
        <v>0</v>
      </c>
      <c r="W191" s="6">
        <v>0</v>
      </c>
      <c r="X191" s="9">
        <v>1555</v>
      </c>
      <c r="Y191" s="9">
        <v>123.62700964630226</v>
      </c>
      <c r="Z191" s="9">
        <v>-4949</v>
      </c>
      <c r="AA191" s="132">
        <v>7775</v>
      </c>
      <c r="AB191" s="132">
        <v>32040</v>
      </c>
      <c r="AC191" s="11">
        <v>4.1826366559485528</v>
      </c>
      <c r="AD191" s="71"/>
      <c r="AE191" s="71" t="s">
        <v>574</v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 t="s">
        <v>1</v>
      </c>
      <c r="BJ191" s="31"/>
    </row>
    <row r="192" spans="1:62" ht="12.75" customHeight="1" x14ac:dyDescent="0.35">
      <c r="A192" s="118"/>
      <c r="B192" s="30" t="s">
        <v>21</v>
      </c>
      <c r="C192" s="6" t="s">
        <v>5</v>
      </c>
      <c r="D192" s="6" t="s">
        <v>308</v>
      </c>
      <c r="E192" s="6" t="s">
        <v>395</v>
      </c>
      <c r="F192" s="6">
        <v>1069116</v>
      </c>
      <c r="G192" s="8" t="s">
        <v>555</v>
      </c>
      <c r="H192" s="129">
        <v>171.0258227180864</v>
      </c>
      <c r="I192" s="129">
        <v>136.82065817446912</v>
      </c>
      <c r="J192" s="9">
        <v>0</v>
      </c>
      <c r="K192" s="9">
        <v>21</v>
      </c>
      <c r="L192" s="100">
        <v>16.8</v>
      </c>
      <c r="M192" s="10">
        <v>0.15787089675052143</v>
      </c>
      <c r="N192" s="100">
        <v>120.02065817446912</v>
      </c>
      <c r="O192" s="100">
        <v>0</v>
      </c>
      <c r="P192" s="10">
        <v>0.3271685948973892</v>
      </c>
      <c r="Q192" s="6">
        <v>721</v>
      </c>
      <c r="R192" s="6">
        <v>6</v>
      </c>
      <c r="S192" s="6">
        <v>715</v>
      </c>
      <c r="T192" s="6">
        <v>0</v>
      </c>
      <c r="U192" s="6">
        <v>0</v>
      </c>
      <c r="V192" s="6">
        <v>0</v>
      </c>
      <c r="W192" s="6">
        <v>0</v>
      </c>
      <c r="X192" s="9">
        <v>171.0258227180864</v>
      </c>
      <c r="Y192" s="9">
        <v>125.41965686291422</v>
      </c>
      <c r="Z192" s="9">
        <v>-570.97417728191363</v>
      </c>
      <c r="AA192" s="132">
        <v>6396.3657696564314</v>
      </c>
      <c r="AB192" s="132">
        <v>26741</v>
      </c>
      <c r="AC192" s="11">
        <v>4.3385261255143295</v>
      </c>
      <c r="AD192" s="71"/>
      <c r="AE192" s="71">
        <v>29.223956228478066</v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 t="s">
        <v>1</v>
      </c>
      <c r="BJ192" s="31"/>
    </row>
    <row r="193" spans="1:62" ht="12.75" customHeight="1" x14ac:dyDescent="0.35">
      <c r="A193" s="118"/>
      <c r="B193" s="30" t="s">
        <v>31</v>
      </c>
      <c r="C193" s="6" t="s">
        <v>5</v>
      </c>
      <c r="D193" s="6" t="s">
        <v>396</v>
      </c>
      <c r="E193" s="6" t="s">
        <v>397</v>
      </c>
      <c r="F193" s="6">
        <v>1071794</v>
      </c>
      <c r="G193" s="8" t="s">
        <v>660</v>
      </c>
      <c r="H193" s="129">
        <v>200</v>
      </c>
      <c r="I193" s="129">
        <v>100</v>
      </c>
      <c r="J193" s="9">
        <v>0</v>
      </c>
      <c r="K193" s="9">
        <v>6</v>
      </c>
      <c r="L193" s="100">
        <v>3</v>
      </c>
      <c r="M193" s="10">
        <v>0.03</v>
      </c>
      <c r="N193" s="100">
        <v>97</v>
      </c>
      <c r="O193" s="100">
        <v>0.58570394806390269</v>
      </c>
      <c r="P193" s="10">
        <v>1.0200734441053423</v>
      </c>
      <c r="Q193" s="6">
        <v>867</v>
      </c>
      <c r="R193" s="6">
        <v>0</v>
      </c>
      <c r="S193" s="6">
        <v>867</v>
      </c>
      <c r="T193" s="6">
        <v>0</v>
      </c>
      <c r="U193" s="6">
        <v>0</v>
      </c>
      <c r="V193" s="6">
        <v>0</v>
      </c>
      <c r="W193" s="6">
        <v>0</v>
      </c>
      <c r="X193" s="9">
        <v>200</v>
      </c>
      <c r="Y193" s="9">
        <v>130.05000000000001</v>
      </c>
      <c r="Z193" s="9">
        <v>-673</v>
      </c>
      <c r="AA193" s="132">
        <v>1358</v>
      </c>
      <c r="AB193" s="132">
        <v>5886.93</v>
      </c>
      <c r="AC193" s="11">
        <v>4.3650000000000002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/>
      <c r="BJ193" s="31"/>
    </row>
    <row r="194" spans="1:62" ht="12.75" customHeight="1" x14ac:dyDescent="0.35">
      <c r="A194" s="118"/>
      <c r="B194" s="30" t="s">
        <v>1</v>
      </c>
      <c r="C194" s="6" t="s">
        <v>2</v>
      </c>
      <c r="D194" s="6" t="s">
        <v>308</v>
      </c>
      <c r="E194" s="6" t="s">
        <v>395</v>
      </c>
      <c r="F194" s="6">
        <v>1078355</v>
      </c>
      <c r="G194" s="8" t="s">
        <v>706</v>
      </c>
      <c r="H194" s="129">
        <v>889</v>
      </c>
      <c r="I194" s="129">
        <v>224.02799999999999</v>
      </c>
      <c r="J194" s="9">
        <v>0</v>
      </c>
      <c r="K194" s="9">
        <v>108</v>
      </c>
      <c r="L194" s="100">
        <v>27.216000000000001</v>
      </c>
      <c r="M194" s="10">
        <v>0.25646794150731156</v>
      </c>
      <c r="N194" s="100">
        <v>196.81199999999998</v>
      </c>
      <c r="O194" s="100">
        <v>0</v>
      </c>
      <c r="P194" s="10">
        <v>4.6263809104883022E-2</v>
      </c>
      <c r="Q194" s="6">
        <v>4065</v>
      </c>
      <c r="R194" s="6">
        <v>120</v>
      </c>
      <c r="S194" s="6">
        <v>3945</v>
      </c>
      <c r="T194" s="6">
        <v>0</v>
      </c>
      <c r="U194" s="6">
        <v>0</v>
      </c>
      <c r="V194" s="6">
        <v>0</v>
      </c>
      <c r="W194" s="6">
        <v>0</v>
      </c>
      <c r="X194" s="9">
        <v>889</v>
      </c>
      <c r="Y194" s="9">
        <v>133.12710911136108</v>
      </c>
      <c r="Z194" s="9">
        <v>-3284</v>
      </c>
      <c r="AA194" s="132">
        <v>8045.4500000000007</v>
      </c>
      <c r="AB194" s="132">
        <v>35702.25</v>
      </c>
      <c r="AC194" s="11">
        <v>4.6940382452193479</v>
      </c>
      <c r="AD194" s="71"/>
      <c r="AE194" s="71">
        <v>67.599515738498795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21</v>
      </c>
      <c r="C195" s="6" t="s">
        <v>5</v>
      </c>
      <c r="D195" s="6" t="s">
        <v>308</v>
      </c>
      <c r="E195" s="6" t="s">
        <v>395</v>
      </c>
      <c r="F195" s="6">
        <v>1069727</v>
      </c>
      <c r="G195" s="8" t="s">
        <v>570</v>
      </c>
      <c r="H195" s="129">
        <v>22.748535298438401</v>
      </c>
      <c r="I195" s="129">
        <v>18.198828238750721</v>
      </c>
      <c r="J195" s="9">
        <v>0</v>
      </c>
      <c r="K195" s="9">
        <v>0</v>
      </c>
      <c r="L195" s="100">
        <v>0</v>
      </c>
      <c r="M195" s="10">
        <v>0</v>
      </c>
      <c r="N195" s="100">
        <v>18.198828238750721</v>
      </c>
      <c r="O195" s="100">
        <v>0</v>
      </c>
      <c r="P195" s="10">
        <v>0.97194860813704498</v>
      </c>
      <c r="Q195" s="6">
        <v>105</v>
      </c>
      <c r="R195" s="6">
        <v>0</v>
      </c>
      <c r="S195" s="6">
        <v>105</v>
      </c>
      <c r="T195" s="6">
        <v>0</v>
      </c>
      <c r="U195" s="6">
        <v>0</v>
      </c>
      <c r="V195" s="6">
        <v>0</v>
      </c>
      <c r="W195" s="6">
        <v>0</v>
      </c>
      <c r="X195" s="9">
        <v>22.748535298438401</v>
      </c>
      <c r="Y195" s="9">
        <v>138.47045353360554</v>
      </c>
      <c r="Z195" s="9">
        <v>-82.251464701561602</v>
      </c>
      <c r="AA195" s="132">
        <v>767.5355809693117</v>
      </c>
      <c r="AB195" s="132">
        <v>3542.7000000000003</v>
      </c>
      <c r="AC195" s="11">
        <v>4.6156817844535176</v>
      </c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2"/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310</v>
      </c>
      <c r="E196" s="6" t="s">
        <v>311</v>
      </c>
      <c r="F196" s="123">
        <v>1080400</v>
      </c>
      <c r="G196" s="124" t="s">
        <v>753</v>
      </c>
      <c r="H196" s="129">
        <v>4726.8</v>
      </c>
      <c r="I196" s="129">
        <v>0</v>
      </c>
      <c r="J196" s="9">
        <v>0</v>
      </c>
      <c r="K196" s="9">
        <v>347</v>
      </c>
      <c r="L196" s="100">
        <v>0</v>
      </c>
      <c r="M196" s="10">
        <v>9.2239993230092243E-2</v>
      </c>
      <c r="N196" s="100">
        <v>0</v>
      </c>
      <c r="O196" s="100">
        <v>0</v>
      </c>
      <c r="P196" s="10">
        <v>0.38421932181157276</v>
      </c>
      <c r="Q196" s="6">
        <v>23232</v>
      </c>
      <c r="R196" s="6">
        <v>89</v>
      </c>
      <c r="S196" s="6">
        <v>23143</v>
      </c>
      <c r="T196" s="6">
        <v>0</v>
      </c>
      <c r="U196" s="6">
        <v>8</v>
      </c>
      <c r="V196" s="6">
        <v>0</v>
      </c>
      <c r="W196" s="6">
        <v>0</v>
      </c>
      <c r="X196" s="9">
        <v>4726.8</v>
      </c>
      <c r="Y196" s="9">
        <v>146.88372683422187</v>
      </c>
      <c r="Z196" s="9">
        <v>-18852.2</v>
      </c>
      <c r="AA196" s="132">
        <v>32567.651999999998</v>
      </c>
      <c r="AB196" s="132">
        <v>159510.38999999998</v>
      </c>
      <c r="AC196" s="11">
        <v>4.9883642210374886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126"/>
      <c r="BJ196" s="31"/>
    </row>
    <row r="197" spans="1:62" ht="12.75" customHeight="1" x14ac:dyDescent="0.35">
      <c r="A197" s="118"/>
      <c r="B197" s="30" t="s">
        <v>15</v>
      </c>
      <c r="C197" s="6" t="s">
        <v>5</v>
      </c>
      <c r="D197" s="6" t="s">
        <v>308</v>
      </c>
      <c r="E197" s="6" t="s">
        <v>315</v>
      </c>
      <c r="F197" s="6">
        <v>1078734</v>
      </c>
      <c r="G197" s="8" t="s">
        <v>707</v>
      </c>
      <c r="H197" s="129">
        <v>528</v>
      </c>
      <c r="I197" s="129">
        <v>127.776</v>
      </c>
      <c r="J197" s="9">
        <v>0</v>
      </c>
      <c r="K197" s="9">
        <v>120</v>
      </c>
      <c r="L197" s="100">
        <v>29.04</v>
      </c>
      <c r="M197" s="10">
        <v>0.22727272727272727</v>
      </c>
      <c r="N197" s="100">
        <v>98.73599999999999</v>
      </c>
      <c r="O197" s="100">
        <v>0</v>
      </c>
      <c r="P197" s="10">
        <v>0.49662490592610509</v>
      </c>
      <c r="Q197" s="6">
        <v>2901</v>
      </c>
      <c r="R197" s="6">
        <v>0</v>
      </c>
      <c r="S197" s="6">
        <v>2901</v>
      </c>
      <c r="T197" s="6">
        <v>0</v>
      </c>
      <c r="U197" s="6">
        <v>0</v>
      </c>
      <c r="V197" s="6">
        <v>0</v>
      </c>
      <c r="W197" s="6">
        <v>0</v>
      </c>
      <c r="X197" s="9">
        <v>528</v>
      </c>
      <c r="Y197" s="9">
        <v>164.82954545454544</v>
      </c>
      <c r="Z197" s="9">
        <v>-2493</v>
      </c>
      <c r="AA197" s="132">
        <v>2244</v>
      </c>
      <c r="AB197" s="132">
        <v>12329.25</v>
      </c>
      <c r="AC197" s="11">
        <v>5.7215909090909092</v>
      </c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126"/>
      <c r="BJ197" s="31"/>
    </row>
    <row r="198" spans="1:62" ht="12.75" customHeight="1" x14ac:dyDescent="0.35">
      <c r="A198" s="118"/>
      <c r="B198" s="30" t="s">
        <v>15</v>
      </c>
      <c r="C198" s="6" t="s">
        <v>5</v>
      </c>
      <c r="D198" s="6" t="s">
        <v>308</v>
      </c>
      <c r="E198" s="6" t="s">
        <v>315</v>
      </c>
      <c r="F198" s="6">
        <v>1078372</v>
      </c>
      <c r="G198" s="8" t="s">
        <v>708</v>
      </c>
      <c r="H198" s="129">
        <v>5206.195586776832</v>
      </c>
      <c r="I198" s="129">
        <v>1874.2304112396594</v>
      </c>
      <c r="J198" s="9">
        <v>0</v>
      </c>
      <c r="K198" s="9">
        <v>813</v>
      </c>
      <c r="L198" s="100">
        <v>292.68</v>
      </c>
      <c r="M198" s="10">
        <v>0.40605466405628882</v>
      </c>
      <c r="N198" s="100">
        <v>1581.5504112396593</v>
      </c>
      <c r="O198" s="100">
        <v>0</v>
      </c>
      <c r="P198" s="10">
        <v>0.8767448385356843</v>
      </c>
      <c r="Q198" s="6">
        <v>43248</v>
      </c>
      <c r="R198" s="6">
        <v>1301</v>
      </c>
      <c r="S198" s="6">
        <v>41947</v>
      </c>
      <c r="T198" s="6">
        <v>0</v>
      </c>
      <c r="U198" s="6">
        <v>0</v>
      </c>
      <c r="V198" s="6">
        <v>0</v>
      </c>
      <c r="W198" s="6">
        <v>0</v>
      </c>
      <c r="X198" s="9">
        <v>7248</v>
      </c>
      <c r="Y198" s="9">
        <v>173.62168874172187</v>
      </c>
      <c r="Z198" s="9">
        <v>-38854.804413223166</v>
      </c>
      <c r="AA198" s="132">
        <v>32851.094152561811</v>
      </c>
      <c r="AB198" s="132">
        <v>264685.57</v>
      </c>
      <c r="AC198" s="11">
        <v>8.463185692045478</v>
      </c>
      <c r="AD198" s="71"/>
      <c r="AE198" s="71">
        <v>44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126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2</v>
      </c>
      <c r="D199" s="6" t="s">
        <v>396</v>
      </c>
      <c r="E199" s="6" t="s">
        <v>397</v>
      </c>
      <c r="F199" s="6">
        <v>1067716</v>
      </c>
      <c r="G199" s="8" t="s">
        <v>639</v>
      </c>
      <c r="H199" s="129">
        <v>150</v>
      </c>
      <c r="I199" s="129">
        <v>75</v>
      </c>
      <c r="J199" s="9">
        <v>0</v>
      </c>
      <c r="K199" s="9">
        <v>5</v>
      </c>
      <c r="L199" s="100">
        <v>2.5</v>
      </c>
      <c r="M199" s="10">
        <v>3.3333333333333333E-2</v>
      </c>
      <c r="N199" s="100">
        <v>72.5</v>
      </c>
      <c r="O199" s="100">
        <v>0</v>
      </c>
      <c r="P199" s="10">
        <v>0.62690909090909086</v>
      </c>
      <c r="Q199" s="6">
        <v>1969</v>
      </c>
      <c r="R199" s="6">
        <v>0</v>
      </c>
      <c r="S199" s="6">
        <v>1969</v>
      </c>
      <c r="T199" s="6">
        <v>0</v>
      </c>
      <c r="U199" s="6">
        <v>0</v>
      </c>
      <c r="V199" s="6">
        <v>0</v>
      </c>
      <c r="W199" s="6">
        <v>0</v>
      </c>
      <c r="X199" s="9">
        <v>150</v>
      </c>
      <c r="Y199" s="9">
        <v>393.8</v>
      </c>
      <c r="Z199" s="9">
        <v>-1824</v>
      </c>
      <c r="AA199" s="132">
        <v>2272.5</v>
      </c>
      <c r="AB199" s="132">
        <v>29830.350000000002</v>
      </c>
      <c r="AC199" s="11">
        <v>13.16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2"/>
      <c r="BJ199" s="31"/>
    </row>
    <row r="200" spans="1:62" ht="12.75" customHeight="1" x14ac:dyDescent="0.35">
      <c r="A200" s="118"/>
      <c r="B200" s="30" t="s">
        <v>1</v>
      </c>
      <c r="C200" s="6" t="s">
        <v>2</v>
      </c>
      <c r="D200" s="6" t="s">
        <v>396</v>
      </c>
      <c r="E200" s="6" t="s">
        <v>397</v>
      </c>
      <c r="F200" s="6">
        <v>1071748</v>
      </c>
      <c r="G200" s="8" t="s">
        <v>640</v>
      </c>
      <c r="H200" s="129">
        <v>200</v>
      </c>
      <c r="I200" s="129">
        <v>100</v>
      </c>
      <c r="J200" s="9">
        <v>0</v>
      </c>
      <c r="K200" s="9">
        <v>0</v>
      </c>
      <c r="L200" s="100">
        <v>0</v>
      </c>
      <c r="M200" s="10">
        <v>0</v>
      </c>
      <c r="N200" s="100">
        <v>100</v>
      </c>
      <c r="O200" s="100">
        <v>99.524999999999991</v>
      </c>
      <c r="P200" s="10">
        <v>1.6259433962264151</v>
      </c>
      <c r="Q200" s="6">
        <v>3659</v>
      </c>
      <c r="R200" s="6">
        <v>0</v>
      </c>
      <c r="S200" s="6">
        <v>3659</v>
      </c>
      <c r="T200" s="6">
        <v>0</v>
      </c>
      <c r="U200" s="6">
        <v>0</v>
      </c>
      <c r="V200" s="6">
        <v>0</v>
      </c>
      <c r="W200" s="6">
        <v>0</v>
      </c>
      <c r="X200" s="9">
        <v>200</v>
      </c>
      <c r="Y200" s="9">
        <v>548.85</v>
      </c>
      <c r="Z200" s="9">
        <v>-3459</v>
      </c>
      <c r="AA200" s="132">
        <v>3697.9999999999995</v>
      </c>
      <c r="AB200" s="132">
        <v>67654.909999999989</v>
      </c>
      <c r="AC200" s="11">
        <v>18.295000000000002</v>
      </c>
      <c r="AD200" s="71"/>
      <c r="AE200" s="71">
        <v>31.022079772079774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126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2</v>
      </c>
      <c r="D201" s="6" t="s">
        <v>396</v>
      </c>
      <c r="E201" s="6" t="s">
        <v>397</v>
      </c>
      <c r="F201" s="6">
        <v>1067719</v>
      </c>
      <c r="G201" s="8" t="s">
        <v>699</v>
      </c>
      <c r="H201" s="129">
        <v>100</v>
      </c>
      <c r="I201" s="129">
        <v>100</v>
      </c>
      <c r="J201" s="9">
        <v>0</v>
      </c>
      <c r="K201" s="9">
        <v>1</v>
      </c>
      <c r="L201" s="100">
        <v>1</v>
      </c>
      <c r="M201" s="10">
        <v>0.01</v>
      </c>
      <c r="N201" s="100">
        <v>99</v>
      </c>
      <c r="O201" s="100">
        <v>15.349884210143133</v>
      </c>
      <c r="P201" s="10">
        <v>2.2175334869607006</v>
      </c>
      <c r="Q201" s="6">
        <v>2091</v>
      </c>
      <c r="R201" s="6">
        <v>0</v>
      </c>
      <c r="S201" s="6">
        <v>2091</v>
      </c>
      <c r="T201" s="6">
        <v>0</v>
      </c>
      <c r="U201" s="6">
        <v>0</v>
      </c>
      <c r="V201" s="6">
        <v>0</v>
      </c>
      <c r="W201" s="6">
        <v>0</v>
      </c>
      <c r="X201" s="9">
        <v>100</v>
      </c>
      <c r="Y201" s="9">
        <v>627.29999999999995</v>
      </c>
      <c r="Z201" s="9">
        <v>-1992</v>
      </c>
      <c r="AA201" s="132">
        <v>3584.0000000000005</v>
      </c>
      <c r="AB201" s="132">
        <v>74941.440000000002</v>
      </c>
      <c r="AC201" s="11">
        <v>20.92</v>
      </c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24</v>
      </c>
      <c r="D202" s="6" t="s">
        <v>316</v>
      </c>
      <c r="E202" s="6" t="s">
        <v>317</v>
      </c>
      <c r="F202" s="6">
        <v>1064331</v>
      </c>
      <c r="G202" s="8" t="s">
        <v>596</v>
      </c>
      <c r="H202" s="129">
        <v>92.994101193753608</v>
      </c>
      <c r="I202" s="129">
        <v>7.904498601469057</v>
      </c>
      <c r="J202" s="9">
        <v>0</v>
      </c>
      <c r="K202" s="9">
        <v>8</v>
      </c>
      <c r="L202" s="100">
        <v>0.68</v>
      </c>
      <c r="M202" s="10">
        <v>0.10753370237070153</v>
      </c>
      <c r="N202" s="100">
        <v>7.2244986014690573</v>
      </c>
      <c r="O202" s="100">
        <v>0</v>
      </c>
      <c r="P202" s="10">
        <v>0.40288672732977721</v>
      </c>
      <c r="Q202" s="6">
        <v>4268</v>
      </c>
      <c r="R202" s="6">
        <v>2</v>
      </c>
      <c r="S202" s="6">
        <v>4266</v>
      </c>
      <c r="T202" s="6">
        <v>0</v>
      </c>
      <c r="U202" s="6">
        <v>0</v>
      </c>
      <c r="V202" s="6">
        <v>0</v>
      </c>
      <c r="W202" s="6">
        <v>0</v>
      </c>
      <c r="X202" s="9">
        <v>92.994101193753608</v>
      </c>
      <c r="Y202" s="9">
        <v>1376.2163229402381</v>
      </c>
      <c r="Z202" s="9">
        <v>-4183.0058988062465</v>
      </c>
      <c r="AA202" s="132">
        <v>611.9011858548987</v>
      </c>
      <c r="AB202" s="132">
        <v>28070.28</v>
      </c>
      <c r="AC202" s="11">
        <v>45.981411133711973</v>
      </c>
      <c r="AD202" s="71"/>
      <c r="AE202" s="71">
        <v>0</v>
      </c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126" t="s">
        <v>1</v>
      </c>
      <c r="BJ202" s="31"/>
    </row>
    <row r="203" spans="1:62" ht="12.75" customHeight="1" x14ac:dyDescent="0.35">
      <c r="A203" s="118"/>
      <c r="B203" s="30" t="s">
        <v>15</v>
      </c>
      <c r="C203" s="6" t="s">
        <v>5</v>
      </c>
      <c r="D203" s="6" t="s">
        <v>308</v>
      </c>
      <c r="E203" s="6" t="s">
        <v>315</v>
      </c>
      <c r="F203" s="6">
        <v>1074229</v>
      </c>
      <c r="G203" s="8" t="s">
        <v>760</v>
      </c>
      <c r="H203" s="129">
        <v>5.0000000000000002E-5</v>
      </c>
      <c r="I203" s="129">
        <v>2.4000000000000001E-5</v>
      </c>
      <c r="J203" s="9">
        <v>0</v>
      </c>
      <c r="K203" s="9">
        <v>-12</v>
      </c>
      <c r="L203" s="100">
        <v>-5.76</v>
      </c>
      <c r="M203" s="10">
        <v>-240000</v>
      </c>
      <c r="N203" s="100">
        <v>5.7600239999999996</v>
      </c>
      <c r="O203" s="100">
        <v>0</v>
      </c>
      <c r="P203" s="10">
        <v>0.52173913043478259</v>
      </c>
      <c r="Q203" s="6">
        <v>1062</v>
      </c>
      <c r="R203" s="6">
        <v>0</v>
      </c>
      <c r="S203" s="6">
        <v>1062</v>
      </c>
      <c r="T203" s="6">
        <v>0</v>
      </c>
      <c r="U203" s="6">
        <v>0</v>
      </c>
      <c r="V203" s="6">
        <v>0</v>
      </c>
      <c r="W203" s="6">
        <v>0</v>
      </c>
      <c r="X203" s="9">
        <v>5.0000000000000002E-5</v>
      </c>
      <c r="Y203" s="9">
        <v>637200000</v>
      </c>
      <c r="Z203" s="9">
        <v>-1049.9999499999999</v>
      </c>
      <c r="AA203" s="132">
        <v>3.545E-4</v>
      </c>
      <c r="AB203" s="132">
        <v>7529.58</v>
      </c>
      <c r="AC203" s="11">
        <v>20999999.999999996</v>
      </c>
      <c r="AD203" s="71"/>
      <c r="AE203" s="71">
        <v>12.431794871794875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6">
        <v>1060289</v>
      </c>
      <c r="G204" s="8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1140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4879.2000000000007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6">
        <v>1070483</v>
      </c>
      <c r="G207" s="8" t="s">
        <v>614</v>
      </c>
      <c r="H207" s="129">
        <v>0</v>
      </c>
      <c r="I207" s="129">
        <v>0</v>
      </c>
      <c r="J207" s="9">
        <v>0</v>
      </c>
      <c r="K207" s="9">
        <v>3</v>
      </c>
      <c r="L207" s="100">
        <v>0.28349999999999997</v>
      </c>
      <c r="M207" s="10">
        <v>0</v>
      </c>
      <c r="N207" s="100">
        <v>0.28349999999999997</v>
      </c>
      <c r="O207" s="100">
        <v>5.6575648128929608</v>
      </c>
      <c r="P207" s="10">
        <v>1.1918704743612358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400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2340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0</v>
      </c>
      <c r="K208" s="9">
        <v>247</v>
      </c>
      <c r="L208" s="100">
        <v>98.800000000000011</v>
      </c>
      <c r="M208" s="10">
        <v>0</v>
      </c>
      <c r="N208" s="100">
        <v>98.800000000000011</v>
      </c>
      <c r="O208" s="100">
        <v>37.798062379453938</v>
      </c>
      <c r="P208" s="10">
        <v>3.3380332673838486</v>
      </c>
      <c r="Q208" s="6">
        <v>550</v>
      </c>
      <c r="R208" s="6">
        <v>64</v>
      </c>
      <c r="S208" s="6">
        <v>486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7299.7199999999993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127">
        <v>1034530</v>
      </c>
      <c r="G210" s="128" t="s">
        <v>77</v>
      </c>
      <c r="H210" s="129">
        <v>0</v>
      </c>
      <c r="I210" s="129">
        <v>0</v>
      </c>
      <c r="J210" s="9">
        <v>0</v>
      </c>
      <c r="K210" s="9">
        <v>1</v>
      </c>
      <c r="L210" s="100">
        <v>0.38</v>
      </c>
      <c r="M210" s="10">
        <v>0</v>
      </c>
      <c r="N210" s="100">
        <v>0.38</v>
      </c>
      <c r="O210" s="100">
        <v>5.658147911203292</v>
      </c>
      <c r="P210" s="10">
        <v>1.1862578249780389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0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127">
        <v>1069939</v>
      </c>
      <c r="G212" s="128" t="s">
        <v>586</v>
      </c>
      <c r="H212" s="129">
        <v>0</v>
      </c>
      <c r="I212" s="129">
        <v>0</v>
      </c>
      <c r="J212" s="9">
        <v>0</v>
      </c>
      <c r="K212" s="9">
        <v>4</v>
      </c>
      <c r="L212" s="100">
        <v>1.1200000000000001</v>
      </c>
      <c r="M212" s="10">
        <v>0</v>
      </c>
      <c r="N212" s="100">
        <v>1.1200000000000001</v>
      </c>
      <c r="O212" s="100">
        <v>0</v>
      </c>
      <c r="P212" s="10">
        <v>0.95271350896849805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127">
        <v>1061340</v>
      </c>
      <c r="G213" s="128" t="s">
        <v>439</v>
      </c>
      <c r="H213" s="129">
        <v>0</v>
      </c>
      <c r="I213" s="129">
        <v>0</v>
      </c>
      <c r="J213" s="9">
        <v>0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0</v>
      </c>
      <c r="K214" s="9">
        <v>38</v>
      </c>
      <c r="L214" s="100">
        <v>8.6639999999999997</v>
      </c>
      <c r="M214" s="10">
        <v>0</v>
      </c>
      <c r="N214" s="100">
        <v>8.6639999999999997</v>
      </c>
      <c r="O214" s="100">
        <v>4.0919722712501176</v>
      </c>
      <c r="P214" s="10">
        <v>1.2047083623664914</v>
      </c>
      <c r="Q214" s="6">
        <v>77</v>
      </c>
      <c r="R214" s="6">
        <v>60</v>
      </c>
      <c r="S214" s="6">
        <v>17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34.340000000000003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127">
        <v>1041921</v>
      </c>
      <c r="G215" s="128" t="s">
        <v>110</v>
      </c>
      <c r="H215" s="129">
        <v>0</v>
      </c>
      <c r="I215" s="129">
        <v>0</v>
      </c>
      <c r="J215" s="9">
        <v>0</v>
      </c>
      <c r="K215" s="9">
        <v>37</v>
      </c>
      <c r="L215" s="100">
        <v>6.66</v>
      </c>
      <c r="M215" s="10">
        <v>0</v>
      </c>
      <c r="N215" s="100">
        <v>6.66</v>
      </c>
      <c r="O215" s="100">
        <v>0</v>
      </c>
      <c r="P215" s="10">
        <v>0.61859400868599079</v>
      </c>
      <c r="Q215" s="6">
        <v>32</v>
      </c>
      <c r="R215" s="6">
        <v>32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0</v>
      </c>
      <c r="K216" s="9">
        <v>43</v>
      </c>
      <c r="L216" s="100">
        <v>20.64</v>
      </c>
      <c r="M216" s="10">
        <v>0</v>
      </c>
      <c r="N216" s="100">
        <v>20.64</v>
      </c>
      <c r="O216" s="100">
        <v>0</v>
      </c>
      <c r="P216" s="10">
        <v>0.46500000000000002</v>
      </c>
      <c r="Q216" s="6">
        <v>1065</v>
      </c>
      <c r="R216" s="6">
        <v>184</v>
      </c>
      <c r="S216" s="6">
        <v>881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10889.16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1</v>
      </c>
      <c r="L217" s="100">
        <v>0.60000000000000009</v>
      </c>
      <c r="M217" s="10">
        <v>0</v>
      </c>
      <c r="N217" s="100">
        <v>0.60000000000000009</v>
      </c>
      <c r="O217" s="100">
        <v>31.243808084204581</v>
      </c>
      <c r="P217" s="10">
        <v>2.1914402515108531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0.75249919398657328</v>
      </c>
      <c r="Q218" s="6">
        <v>13391</v>
      </c>
      <c r="R218" s="6">
        <v>456</v>
      </c>
      <c r="S218" s="6">
        <v>12935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71401.2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1</v>
      </c>
      <c r="R232" s="6">
        <v>0</v>
      </c>
      <c r="S232" s="6">
        <v>1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10.92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1</v>
      </c>
      <c r="R235" s="6">
        <v>0</v>
      </c>
      <c r="S235" s="6">
        <v>1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8.25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0</v>
      </c>
      <c r="K237" s="9">
        <v>135</v>
      </c>
      <c r="L237" s="100">
        <v>114.75</v>
      </c>
      <c r="M237" s="10">
        <v>0</v>
      </c>
      <c r="N237" s="100">
        <v>114.75</v>
      </c>
      <c r="O237" s="100">
        <v>0</v>
      </c>
      <c r="P237" s="10">
        <v>0</v>
      </c>
      <c r="Q237" s="6">
        <v>886</v>
      </c>
      <c r="R237" s="6">
        <v>0</v>
      </c>
      <c r="S237" s="6">
        <v>886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8168.920000000001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26</v>
      </c>
      <c r="L238" s="100">
        <v>4.29</v>
      </c>
      <c r="M238" s="10">
        <v>0</v>
      </c>
      <c r="N238" s="100">
        <v>4.29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97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291.96999999999997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20</v>
      </c>
      <c r="L240" s="100">
        <v>2.4</v>
      </c>
      <c r="M240" s="10">
        <v>0</v>
      </c>
      <c r="N240" s="100">
        <v>2.4</v>
      </c>
      <c r="O240" s="100">
        <v>0</v>
      </c>
      <c r="P240" s="10">
        <v>0</v>
      </c>
      <c r="Q240" s="6">
        <v>8209</v>
      </c>
      <c r="R240" s="6">
        <v>0</v>
      </c>
      <c r="S240" s="6">
        <v>8209</v>
      </c>
      <c r="T240" s="6">
        <v>0</v>
      </c>
      <c r="U240" s="6">
        <v>0</v>
      </c>
      <c r="V240" s="6">
        <v>0</v>
      </c>
      <c r="W240" s="6">
        <v>573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13085.18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141</v>
      </c>
      <c r="L241" s="100">
        <v>30.315000000000001</v>
      </c>
      <c r="M241" s="10">
        <v>0</v>
      </c>
      <c r="N241" s="100">
        <v>30.315000000000001</v>
      </c>
      <c r="O241" s="100">
        <v>0</v>
      </c>
      <c r="P241" s="10">
        <v>0</v>
      </c>
      <c r="Q241" s="6">
        <v>8569</v>
      </c>
      <c r="R241" s="6">
        <v>96</v>
      </c>
      <c r="S241" s="6">
        <v>8473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39738.370000000003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132</v>
      </c>
      <c r="L242" s="100">
        <v>60.720000000000006</v>
      </c>
      <c r="M242" s="10">
        <v>0</v>
      </c>
      <c r="N242" s="100">
        <v>60.720000000000006</v>
      </c>
      <c r="O242" s="100">
        <v>0</v>
      </c>
      <c r="P242" s="10">
        <v>0</v>
      </c>
      <c r="Q242" s="6">
        <v>10868</v>
      </c>
      <c r="R242" s="6">
        <v>132</v>
      </c>
      <c r="S242" s="6">
        <v>10736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6871.04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3</v>
      </c>
      <c r="L243" s="100">
        <v>0.67200000000000004</v>
      </c>
      <c r="M243" s="10">
        <v>0</v>
      </c>
      <c r="N243" s="100">
        <v>0.67200000000000004</v>
      </c>
      <c r="O243" s="100">
        <v>0</v>
      </c>
      <c r="P243" s="10">
        <v>0</v>
      </c>
      <c r="Q243" s="6">
        <v>772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0</v>
      </c>
      <c r="K247" s="9">
        <v>-41</v>
      </c>
      <c r="L247" s="100">
        <v>-32.800000000000004</v>
      </c>
      <c r="M247" s="10">
        <v>0</v>
      </c>
      <c r="N247" s="100">
        <v>32.800000000000004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490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1871.8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0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1</v>
      </c>
      <c r="L262" s="100">
        <v>0.38400000000000001</v>
      </c>
      <c r="M262" s="10">
        <v>0</v>
      </c>
      <c r="N262" s="100">
        <v>0.38400000000000001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1312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5182.4000000000005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1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0</v>
      </c>
      <c r="S267" s="6">
        <v>5604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37210.559999999998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0</v>
      </c>
      <c r="K274" s="9">
        <v>10</v>
      </c>
      <c r="L274" s="100">
        <v>2.25</v>
      </c>
      <c r="M274" s="10">
        <v>0</v>
      </c>
      <c r="N274" s="100">
        <v>2.25</v>
      </c>
      <c r="O274" s="100">
        <v>0</v>
      </c>
      <c r="P274" s="10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1578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4008.12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3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358.79999999999995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5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177.15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0</v>
      </c>
      <c r="K287" s="9">
        <v>-108</v>
      </c>
      <c r="L287" s="100">
        <v>-16.524000000000001</v>
      </c>
      <c r="M287" s="10">
        <v>0</v>
      </c>
      <c r="N287" s="100">
        <v>16.524000000000001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-600</v>
      </c>
      <c r="L292" s="100">
        <v>-54</v>
      </c>
      <c r="M292" s="10">
        <v>0</v>
      </c>
      <c r="N292" s="100">
        <v>54</v>
      </c>
      <c r="O292" s="100">
        <v>0</v>
      </c>
      <c r="P292" s="10">
        <v>0</v>
      </c>
      <c r="Q292" s="6">
        <v>25950</v>
      </c>
      <c r="R292" s="6">
        <v>0</v>
      </c>
      <c r="S292" s="6">
        <v>25950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47488.5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0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397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6228.9299999999994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60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126.6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2</v>
      </c>
      <c r="L310" s="100">
        <v>0.156</v>
      </c>
      <c r="M310" s="10">
        <v>0</v>
      </c>
      <c r="N310" s="100">
        <v>0.156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136</v>
      </c>
      <c r="R321" s="6">
        <v>0</v>
      </c>
      <c r="S321" s="6">
        <v>136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456.96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0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8</v>
      </c>
      <c r="L329" s="100">
        <v>1.44</v>
      </c>
      <c r="M329" s="10">
        <v>0</v>
      </c>
      <c r="N329" s="100">
        <v>1.44</v>
      </c>
      <c r="O329" s="100">
        <v>0</v>
      </c>
      <c r="P329" s="10">
        <v>0</v>
      </c>
      <c r="Q329" s="6">
        <v>987</v>
      </c>
      <c r="R329" s="6">
        <v>18</v>
      </c>
      <c r="S329" s="6">
        <v>969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3682.2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28</v>
      </c>
      <c r="L359" s="100">
        <v>3.024</v>
      </c>
      <c r="M359" s="10">
        <v>0</v>
      </c>
      <c r="N359" s="100">
        <v>3.024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643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1183.1200000000001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0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0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0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1</v>
      </c>
      <c r="L381" s="100">
        <v>0.2</v>
      </c>
      <c r="M381" s="10">
        <v>0</v>
      </c>
      <c r="N381" s="100">
        <v>0.2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22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33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2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117.14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2</v>
      </c>
      <c r="L471" s="100">
        <v>0.6</v>
      </c>
      <c r="M471" s="10">
        <v>0</v>
      </c>
      <c r="N471" s="100">
        <v>0.6</v>
      </c>
      <c r="O471" s="100">
        <v>0</v>
      </c>
      <c r="P471" s="10">
        <v>0</v>
      </c>
      <c r="Q471" s="6">
        <v>156</v>
      </c>
      <c r="R471" s="6">
        <v>0</v>
      </c>
      <c r="S471" s="6">
        <v>156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2748.7200000000003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9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26.19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2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8.7799999999999994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0</v>
      </c>
      <c r="K504" s="9">
        <v>44</v>
      </c>
      <c r="L504" s="100">
        <v>33</v>
      </c>
      <c r="M504" s="10">
        <v>0</v>
      </c>
      <c r="N504" s="100">
        <v>33</v>
      </c>
      <c r="O504" s="100">
        <v>0</v>
      </c>
      <c r="P504" s="10">
        <v>0</v>
      </c>
      <c r="Q504" s="6">
        <v>6</v>
      </c>
      <c r="R504" s="6">
        <v>0</v>
      </c>
      <c r="S504" s="6">
        <v>6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42.480000000000004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6</v>
      </c>
      <c r="L507" s="100">
        <v>5.0999999999999996</v>
      </c>
      <c r="M507" s="10">
        <v>0</v>
      </c>
      <c r="N507" s="100">
        <v>5.0999999999999996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2" t="s">
        <v>308</v>
      </c>
      <c r="E515" s="182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2" t="s">
        <v>396</v>
      </c>
      <c r="E516" s="182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2" t="s">
        <v>308</v>
      </c>
      <c r="E517" s="182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2" t="s">
        <v>308</v>
      </c>
      <c r="E518" s="182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2" t="s">
        <v>308</v>
      </c>
      <c r="E519" s="182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2" t="s">
        <v>396</v>
      </c>
      <c r="E520" s="182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2" t="s">
        <v>308</v>
      </c>
      <c r="E521" s="182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2" t="s">
        <v>318</v>
      </c>
      <c r="E522" s="182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2" t="s">
        <v>308</v>
      </c>
      <c r="E523" s="182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2" t="s">
        <v>308</v>
      </c>
      <c r="E524" s="182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2" t="s">
        <v>308</v>
      </c>
      <c r="E525" s="182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2" t="s">
        <v>318</v>
      </c>
      <c r="E526" s="182" t="s">
        <v>319</v>
      </c>
      <c r="F526" s="183">
        <v>1072625</v>
      </c>
      <c r="G526" s="184" t="s">
        <v>623</v>
      </c>
      <c r="H526" s="129">
        <v>0</v>
      </c>
      <c r="I526" s="129">
        <v>0</v>
      </c>
      <c r="J526" s="9">
        <v>0</v>
      </c>
      <c r="K526" s="9">
        <v>32</v>
      </c>
      <c r="L526" s="100">
        <v>25.6</v>
      </c>
      <c r="M526" s="10">
        <v>0</v>
      </c>
      <c r="N526" s="100">
        <v>25.6</v>
      </c>
      <c r="O526" s="100">
        <v>0</v>
      </c>
      <c r="P526" s="10">
        <v>0</v>
      </c>
      <c r="Q526" s="6">
        <v>21</v>
      </c>
      <c r="R526" s="6">
        <v>21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2" t="s">
        <v>318</v>
      </c>
      <c r="E527" s="182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2" t="s">
        <v>306</v>
      </c>
      <c r="E528" s="185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18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55.08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2" t="s">
        <v>306</v>
      </c>
      <c r="E529" s="185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2" t="s">
        <v>306</v>
      </c>
      <c r="E530" s="185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2" t="s">
        <v>306</v>
      </c>
      <c r="E531" s="185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2" t="s">
        <v>306</v>
      </c>
      <c r="E532" s="185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2" t="s">
        <v>318</v>
      </c>
      <c r="E533" s="185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0</v>
      </c>
      <c r="K533" s="9">
        <v>54</v>
      </c>
      <c r="L533" s="100">
        <v>24.3</v>
      </c>
      <c r="M533" s="10">
        <v>0</v>
      </c>
      <c r="N533" s="100">
        <v>24.3</v>
      </c>
      <c r="O533" s="100">
        <v>0</v>
      </c>
      <c r="P533" s="10">
        <v>0</v>
      </c>
      <c r="Q533" s="6">
        <v>416</v>
      </c>
      <c r="R533" s="6">
        <v>30</v>
      </c>
      <c r="S533" s="6">
        <v>386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3226.9599999999996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2" t="s">
        <v>318</v>
      </c>
      <c r="E534" s="185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2" t="s">
        <v>318</v>
      </c>
      <c r="E535" s="185" t="s">
        <v>319</v>
      </c>
      <c r="F535" s="186">
        <v>1072517</v>
      </c>
      <c r="G535" s="187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2" t="s">
        <v>306</v>
      </c>
      <c r="E536" s="185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4</v>
      </c>
      <c r="L536" s="100">
        <v>0.16</v>
      </c>
      <c r="M536" s="10">
        <v>0</v>
      </c>
      <c r="N536" s="100">
        <v>0.16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2" t="s">
        <v>308</v>
      </c>
      <c r="E537" s="185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22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157.74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2" t="s">
        <v>308</v>
      </c>
      <c r="E538" s="185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2" t="s">
        <v>312</v>
      </c>
      <c r="E539" s="185" t="s">
        <v>313</v>
      </c>
      <c r="F539" s="188">
        <v>1082951</v>
      </c>
      <c r="G539" s="189" t="s">
        <v>783</v>
      </c>
      <c r="H539" s="176">
        <v>0</v>
      </c>
      <c r="I539" s="138">
        <v>0</v>
      </c>
      <c r="J539" s="104">
        <v>0</v>
      </c>
      <c r="K539" s="104">
        <v>10</v>
      </c>
      <c r="L539" s="164">
        <v>3.4200000000000004</v>
      </c>
      <c r="M539" s="177">
        <v>0</v>
      </c>
      <c r="N539" s="164">
        <v>3.4200000000000004</v>
      </c>
      <c r="O539" s="164">
        <v>0</v>
      </c>
      <c r="P539" s="177">
        <v>0</v>
      </c>
      <c r="Q539" s="116">
        <v>30615</v>
      </c>
      <c r="R539" s="116">
        <v>2170</v>
      </c>
      <c r="S539" s="116">
        <v>28445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171807.8</v>
      </c>
      <c r="AC539" s="190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1"/>
    </row>
    <row r="540" spans="2:62" ht="14.5" x14ac:dyDescent="0.35">
      <c r="B540" s="137" t="s">
        <v>27</v>
      </c>
      <c r="C540" s="116" t="s">
        <v>5</v>
      </c>
      <c r="D540" s="182" t="s">
        <v>312</v>
      </c>
      <c r="E540" s="185" t="s">
        <v>313</v>
      </c>
      <c r="F540" s="188">
        <v>1083041</v>
      </c>
      <c r="G540" s="189" t="s">
        <v>784</v>
      </c>
      <c r="H540" s="176">
        <v>0</v>
      </c>
      <c r="I540" s="138">
        <v>0</v>
      </c>
      <c r="J540" s="104">
        <v>0</v>
      </c>
      <c r="K540" s="104">
        <v>846</v>
      </c>
      <c r="L540" s="164">
        <v>1157.3280000000002</v>
      </c>
      <c r="M540" s="177">
        <v>0</v>
      </c>
      <c r="N540" s="164">
        <v>1157.3280000000002</v>
      </c>
      <c r="O540" s="164">
        <v>0</v>
      </c>
      <c r="P540" s="177">
        <v>0</v>
      </c>
      <c r="Q540" s="116">
        <v>633</v>
      </c>
      <c r="R540" s="116">
        <v>67</v>
      </c>
      <c r="S540" s="116">
        <v>566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15349.92</v>
      </c>
      <c r="AC540" s="190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1"/>
    </row>
    <row r="541" spans="2:62" ht="14.5" x14ac:dyDescent="0.35">
      <c r="B541" s="30" t="s">
        <v>15</v>
      </c>
      <c r="C541" s="6" t="s">
        <v>5</v>
      </c>
      <c r="D541" s="182" t="s">
        <v>308</v>
      </c>
      <c r="E541" s="185" t="s">
        <v>315</v>
      </c>
      <c r="F541" s="188">
        <v>1083117</v>
      </c>
      <c r="G541" s="189" t="s">
        <v>779</v>
      </c>
      <c r="H541" s="176">
        <v>0</v>
      </c>
      <c r="I541" s="129">
        <v>0</v>
      </c>
      <c r="J541" s="9">
        <v>0</v>
      </c>
      <c r="K541" s="9">
        <v>5</v>
      </c>
      <c r="L541" s="100">
        <v>1.1200000000000001</v>
      </c>
      <c r="M541" s="10">
        <v>0</v>
      </c>
      <c r="N541" s="100">
        <v>1.1200000000000001</v>
      </c>
      <c r="O541" s="164">
        <v>0</v>
      </c>
      <c r="P541" s="177">
        <v>0</v>
      </c>
      <c r="Q541" s="6">
        <v>0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1"/>
    </row>
    <row r="542" spans="2:62" ht="14.5" x14ac:dyDescent="0.35">
      <c r="B542" s="30" t="s">
        <v>15</v>
      </c>
      <c r="C542" s="6" t="s">
        <v>5</v>
      </c>
      <c r="D542" s="182" t="s">
        <v>308</v>
      </c>
      <c r="E542" s="185" t="s">
        <v>315</v>
      </c>
      <c r="F542" s="188">
        <v>1083253</v>
      </c>
      <c r="G542" s="189" t="s">
        <v>780</v>
      </c>
      <c r="H542" s="176">
        <v>0</v>
      </c>
      <c r="I542" s="129">
        <v>0</v>
      </c>
      <c r="J542" s="9">
        <v>0</v>
      </c>
      <c r="K542" s="9">
        <v>792</v>
      </c>
      <c r="L542" s="100">
        <v>210.67200000000003</v>
      </c>
      <c r="M542" s="10">
        <v>0</v>
      </c>
      <c r="N542" s="100">
        <v>210.67200000000003</v>
      </c>
      <c r="O542" s="164">
        <v>0</v>
      </c>
      <c r="P542" s="177">
        <v>0</v>
      </c>
      <c r="Q542" s="6">
        <v>7107</v>
      </c>
      <c r="R542" s="6">
        <v>144</v>
      </c>
      <c r="S542" s="6">
        <v>6963</v>
      </c>
      <c r="T542" s="6">
        <v>0</v>
      </c>
      <c r="U542" s="6">
        <v>0</v>
      </c>
      <c r="V542" s="6">
        <v>0</v>
      </c>
      <c r="W542" s="6">
        <v>8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65387.98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1"/>
    </row>
    <row r="543" spans="2:62" x14ac:dyDescent="0.3">
      <c r="B543" s="30">
        <v>0</v>
      </c>
      <c r="C543" s="6" t="s">
        <v>5</v>
      </c>
      <c r="D543" s="182" t="s">
        <v>308</v>
      </c>
      <c r="E543" s="185" t="s">
        <v>315</v>
      </c>
      <c r="F543" s="192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4">
        <v>0</v>
      </c>
      <c r="P543" s="177">
        <v>0</v>
      </c>
      <c r="Q543" s="6">
        <v>672</v>
      </c>
      <c r="R543" s="6">
        <v>450</v>
      </c>
      <c r="S543" s="6">
        <v>222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490.62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1"/>
    </row>
    <row r="544" spans="2:62" x14ac:dyDescent="0.3">
      <c r="B544" s="30">
        <v>0</v>
      </c>
      <c r="C544" s="6" t="s">
        <v>5</v>
      </c>
      <c r="D544" s="182" t="s">
        <v>308</v>
      </c>
      <c r="E544" s="185" t="s">
        <v>315</v>
      </c>
      <c r="F544" s="192">
        <v>1083108</v>
      </c>
      <c r="G544" s="80" t="s">
        <v>778</v>
      </c>
      <c r="H544" s="176">
        <v>0</v>
      </c>
      <c r="I544" s="129">
        <v>0</v>
      </c>
      <c r="J544" s="9">
        <v>0</v>
      </c>
      <c r="K544" s="9">
        <v>-273</v>
      </c>
      <c r="L544" s="100">
        <v>-43.68</v>
      </c>
      <c r="M544" s="10">
        <v>0</v>
      </c>
      <c r="N544" s="100">
        <v>43.68</v>
      </c>
      <c r="O544" s="164">
        <v>0</v>
      </c>
      <c r="P544" s="177">
        <v>0</v>
      </c>
      <c r="Q544" s="6">
        <v>12994</v>
      </c>
      <c r="R544" s="6">
        <v>9</v>
      </c>
      <c r="S544" s="6">
        <v>12985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44798.25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1"/>
    </row>
    <row r="545" spans="2:62" x14ac:dyDescent="0.3">
      <c r="B545" s="30" t="s">
        <v>27</v>
      </c>
      <c r="C545" s="6" t="s">
        <v>5</v>
      </c>
      <c r="D545" s="182" t="s">
        <v>312</v>
      </c>
      <c r="E545" s="185" t="s">
        <v>313</v>
      </c>
      <c r="F545" s="192">
        <v>1083381</v>
      </c>
      <c r="G545" s="193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1"/>
    </row>
    <row r="546" spans="2:62" ht="14.5" x14ac:dyDescent="0.35">
      <c r="B546" s="137" t="s">
        <v>31</v>
      </c>
      <c r="C546" s="116" t="s">
        <v>5</v>
      </c>
      <c r="D546" s="182" t="s">
        <v>306</v>
      </c>
      <c r="E546" s="185" t="s">
        <v>307</v>
      </c>
      <c r="F546" s="192">
        <v>1083416</v>
      </c>
      <c r="G546" s="194" t="s">
        <v>835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0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1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6" priority="136"/>
  </conditionalFormatting>
  <conditionalFormatting sqref="F18">
    <cfRule type="duplicateValues" dxfId="125" priority="364"/>
  </conditionalFormatting>
  <conditionalFormatting sqref="M18:O18">
    <cfRule type="expression" dxfId="97" priority="270" stopIfTrue="1">
      <formula>"g4&gt;1"</formula>
    </cfRule>
  </conditionalFormatting>
  <conditionalFormatting sqref="P18">
    <cfRule type="expression" dxfId="96" priority="269" stopIfTrue="1">
      <formula>"g4&gt;1"</formula>
    </cfRule>
  </conditionalFormatting>
  <conditionalFormatting sqref="Y508:Y514 Y19:Y479">
    <cfRule type="cellIs" dxfId="93" priority="7" operator="between">
      <formula>5</formula>
      <formula>10</formula>
    </cfRule>
    <cfRule type="cellIs" dxfId="92" priority="8" operator="lessThan">
      <formula>5</formula>
    </cfRule>
  </conditionalFormatting>
  <conditionalFormatting sqref="Y480">
    <cfRule type="cellIs" dxfId="91" priority="4" operator="between">
      <formula>5</formula>
      <formula>10</formula>
    </cfRule>
    <cfRule type="cellIs" dxfId="90" priority="5" operator="lessThan">
      <formula>5</formula>
    </cfRule>
  </conditionalFormatting>
  <conditionalFormatting sqref="Y481:Y507">
    <cfRule type="cellIs" dxfId="89" priority="2" operator="between">
      <formula>5</formula>
      <formula>10</formula>
    </cfRule>
    <cfRule type="cellIs" dxfId="88" priority="3" operator="lessThan">
      <formula>5</formula>
    </cfRule>
  </conditionalFormatting>
  <conditionalFormatting sqref="G45">
    <cfRule type="duplicateValues" dxfId="87" priority="1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86" priority="11"/>
  </conditionalFormatting>
  <conditionalFormatting sqref="F315">
    <cfRule type="duplicateValues" dxfId="85" priority="12"/>
  </conditionalFormatting>
  <conditionalFormatting sqref="F226">
    <cfRule type="duplicateValues" dxfId="84" priority="13"/>
  </conditionalFormatting>
  <conditionalFormatting sqref="F389">
    <cfRule type="duplicateValues" dxfId="83" priority="14"/>
  </conditionalFormatting>
  <conditionalFormatting sqref="F473">
    <cfRule type="duplicateValues" dxfId="82" priority="15"/>
  </conditionalFormatting>
  <conditionalFormatting sqref="F483">
    <cfRule type="duplicateValues" dxfId="81" priority="16"/>
  </conditionalFormatting>
  <conditionalFormatting sqref="F484">
    <cfRule type="duplicateValues" dxfId="80" priority="17"/>
  </conditionalFormatting>
  <conditionalFormatting sqref="F300">
    <cfRule type="duplicateValues" dxfId="79" priority="18"/>
  </conditionalFormatting>
  <conditionalFormatting sqref="F302">
    <cfRule type="duplicateValues" dxfId="78" priority="19"/>
  </conditionalFormatting>
  <conditionalFormatting sqref="F252">
    <cfRule type="duplicateValues" dxfId="77" priority="20"/>
  </conditionalFormatting>
  <conditionalFormatting sqref="F237">
    <cfRule type="duplicateValues" dxfId="76" priority="21"/>
  </conditionalFormatting>
  <conditionalFormatting sqref="F208">
    <cfRule type="duplicateValues" dxfId="75" priority="22"/>
  </conditionalFormatting>
  <conditionalFormatting sqref="F352">
    <cfRule type="duplicateValues" dxfId="74" priority="23"/>
  </conditionalFormatting>
  <conditionalFormatting sqref="F425">
    <cfRule type="duplicateValues" dxfId="73" priority="24"/>
  </conditionalFormatting>
  <conditionalFormatting sqref="F521">
    <cfRule type="duplicateValues" dxfId="72" priority="25"/>
  </conditionalFormatting>
  <conditionalFormatting sqref="F28:F34">
    <cfRule type="duplicateValues" dxfId="71" priority="26"/>
  </conditionalFormatting>
  <conditionalFormatting sqref="F25">
    <cfRule type="duplicateValues" dxfId="70" priority="27"/>
  </conditionalFormatting>
  <conditionalFormatting sqref="F523:F524">
    <cfRule type="duplicateValues" dxfId="69" priority="28"/>
  </conditionalFormatting>
  <conditionalFormatting sqref="F522">
    <cfRule type="duplicateValues" dxfId="68" priority="29"/>
  </conditionalFormatting>
  <conditionalFormatting sqref="F126">
    <cfRule type="duplicateValues" dxfId="67" priority="30"/>
  </conditionalFormatting>
  <conditionalFormatting sqref="F215">
    <cfRule type="duplicateValues" dxfId="66" priority="31"/>
  </conditionalFormatting>
  <conditionalFormatting sqref="F59">
    <cfRule type="duplicateValues" dxfId="65" priority="32"/>
  </conditionalFormatting>
  <conditionalFormatting sqref="F99">
    <cfRule type="duplicateValues" dxfId="64" priority="33"/>
  </conditionalFormatting>
  <conditionalFormatting sqref="F117">
    <cfRule type="duplicateValues" dxfId="63" priority="34"/>
  </conditionalFormatting>
  <conditionalFormatting sqref="F260">
    <cfRule type="duplicateValues" dxfId="62" priority="35"/>
  </conditionalFormatting>
  <conditionalFormatting sqref="F19">
    <cfRule type="duplicateValues" dxfId="61" priority="36"/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1956A83D-72A9-4870-BD12-891081AC0B7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  <x14:conditionalFormatting xmlns:xm="http://schemas.microsoft.com/office/excel/2006/main">
          <x14:cfRule type="iconSet" priority="6" id="{28698E39-F29A-40AC-A902-60E8A6A6721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5A8AFCF4-B381-4654-BCB8-13AEE341513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2026-04-10T14:35:59Z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