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B6EABDA4-2662-485F-83E6-C7B16B77B52A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<sst xmlns="http://schemas.openxmlformats.org/spreadsheetml/2006/main" count="4547" uniqueCount="870">
  <si>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</si>
  <si>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</si>
  <si>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</si>
  <si>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</si>
  <si>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</si>
  <si>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</si>
  <si>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</si>
  <si>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</si>
  <si>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</si>
  <si>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</si>
  <si>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</si>
  <si>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</si>
  <si>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</si>
  <si>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</si>
  <si>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</si>
  <si>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</si>
  <si>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</si>
  <si>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</si>
  <si>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</si>
  <si>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</si>
  <si>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</si>
  <si>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</si>
  <si>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</si>
  <si>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</si>
  <si>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</si>
  <si>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</si>
  <si>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</si>
  <si>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</si>
  <si>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</si>
  <si>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</si>
  <si>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</si>
  <si>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</si>
  <si>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</si>
  <si>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</si>
  <si>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</si>
  <si>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</si>
  <si>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</si>
  <si>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</si>
  <si>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</si>
  <si>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</si>
  <si>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</si>
  <si>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</si>
  <si>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</si>
  <si>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</si>
  <si>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</si>
  <si>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</si>
  <si>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</si>
  <si>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</si>
  <si>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</si>
  <si>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</si>
  <si>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</si>
  <si>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</si>
  <si>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</si>
  <si>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</si>
  <si>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</si>
  <si>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</si>
  <si>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</si>
  <si>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</si>
  <si>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</si>
  <si>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</si>
  <si>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</si>
  <si>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</si>
  <si>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</si>
  <si>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</si>
  <si>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</si>
  <si>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</si>
  <si>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</si>
  <si>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</si>
  <si>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</si>
  <si>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</si>
  <si>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</si>
  <si>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</si>
  <si>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</si>
  <si>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</si>
  <si>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</si>
  <si>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</si>
  <si>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</si>
  <si>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</si>
  <si>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</si>
  <si>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</si>
  <si>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</si>
  <si>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</si>
  <si>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</si>
  <si>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</si>
  <si>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</si>
  <si>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</si>
  <si>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</si>
  <si>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</si>
  <si>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</si>
  <si>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</si>
  <si>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</si>
  <si>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</si>
  <si>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</si>
  <si>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</si>
  <si>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</si>
  <si>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</si>
  <si>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</si>
  <si>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</si>
  <si>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</si>
  <si>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</si>
  <si>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</si>
  <si>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</si>
  <si>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</si>
  <si>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</si>
  <si>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</si>
  <si>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</si>
  <si>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</si>
  <si>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</si>
  <si>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</si>
  <si>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</si>
  <si>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</si>
  <si>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</si>
  <si>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</si>
  <si>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</si>
  <si>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</si>
  <si>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</si>
  <si>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</si>
  <si>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</si>
  <si>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</si>
  <si>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</si>
  <si>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</si>
  <si>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</si>
  <si>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</si>
  <si>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</si>
  <si>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</si>
  <si>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</si>
  <si>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</si>
  <si>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</si>
  <si>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</si>
  <si>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</si>
  <si>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</si>
  <si>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</si>
  <si>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</si>
  <si>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</si>
  <si>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</si>
  <si>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</si>
  <si>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</si>
  <si>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</si>
  <si>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</si>
  <si>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</si>
  <si>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</si>
  <si>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</si>
  <si>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</si>
  <si>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</si>
  <si>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</si>
  <si>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</si>
  <si>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</si>
  <si>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</si>
  <si>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</si>
  <si>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</si>
  <si>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</si>
  <si>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</si>
  <si>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</si>
  <si>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</si>
  <si>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</si>
  <si>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</si>
  <si>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</si>
  <si>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</si>
  <si>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</si>
  <si>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</si>
  <si>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</si>
  <si>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</si>
  <si>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</si>
  <si>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</si>
  <si>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</si>
  <si>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</si>
  <si>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</si>
  <si>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</si>
  <si>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</si>
  <si>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</si>
  <si>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</si>
  <si>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</si>
  <si>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</si>
  <si>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</si>
  <si>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</si>
  <si>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</si>
  <si>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</si>
  <si>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</si>
  <si>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</si>
  <si>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</si>
  <si>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</si>
  <si>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</si>
  <si>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</si>
  <si>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</si>
  <si>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</si>
  <si>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</si>
  <si>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</si>
  <si>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</si>
  <si>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</si>
  <si>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</si>
  <si>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</si>
  <si>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</si>
  <si>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</si>
  <si>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</si>
  <si>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</si>
  <si>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</si>
  <si>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</si>
  <si>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</si>
  <si>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</si>
  <si>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</si>
  <si>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</si>
  <si>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</si>
  <si>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</si>
  <si>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</si>
  <si>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</si>
  <si>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</si>
  <si>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</si>
  <si>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</si>
  <si>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</si>
  <si>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</si>
  <si>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</si>
  <si>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</si>
  <si>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</si>
  <si>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</si>
  <si>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</si>
  <si>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</si>
  <si>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</si>
  <si>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</si>
  <si>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</si>
  <si>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</si>
  <si>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</si>
  <si>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</si>
  <si>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</si>
  <si>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</si>
  <si>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</si>
  <si>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</si>
  <si>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</si>
  <si>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</si>
  <si>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</si>
  <si>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</si>
  <si>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</si>
  <si>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</si>
  <si>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</si>
  <si>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</si>
  <si>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</si>
  <si>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</si>
  <si>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</si>
  <si>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</si>
  <si>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</si>
  <si>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</si>
  <si>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</si>
  <si>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</si>
  <si>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</si>
  <si>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</si>
  <si>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</si>
  <si>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</si>
  <si>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</si>
  <si>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</si>
  <si>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</si>
  <si>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</si>
  <si>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</si>
  <si>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</si>
  <si>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</si>
  <si>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</si>
  <si>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</si>
  <si>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</si>
  <si>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</si>
  <si>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</si>
  <si>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</si>
  <si>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</si>
  <si>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</si>
  <si>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</si>
  <si>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</si>
  <si>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</si>
  <si>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</si>
  <si>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</si>
  <si>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</si>
  <si>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</si>
  <si>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</si>
  <si>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</si>
  <si>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</si>
  <si>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</si>
  <si>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</si>
  <si>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</si>
  <si>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</si>
  <si>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</si>
  <si>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</si>
  <si>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</si>
  <si>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</si>
  <si>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</si>
  <si>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</si>
  <si>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</si>
  <si>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</si>
  <si>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</si>
  <si>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</si>
  <si>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</si>
  <si>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</si>
  <si>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</si>
  <si>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</si>
  <si>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</si>
  <si>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</si>
  <si>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</si>
  <si>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</si>
  <si>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</si>
  <si>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</si>
  <si>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</si>
  <si>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</si>
  <si>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</si>
  <si>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</si>
  <si>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</si>
  <si>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</si>
  <si>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</si>
  <si>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</si>
  <si>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</si>
  <si>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</si>
  <si>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</si>
  <si>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</si>
  <si>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</si>
  <si>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</si>
  <si>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</si>
  <si>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</si>
  <si>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</si>
  <si>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</si>
  <si>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</si>
  <si>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</si>
  <si>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</si>
  <si>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</si>
  <si>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</si>
  <si>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</si>
  <si>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</si>
  <si>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</si>
  <si>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</si>
  <si>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</si>
  <si>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</si>
  <si>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</si>
  <si>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</si>
  <si>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</si>
  <si>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</si>
  <si>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</si>
  <si>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</si>
  <si>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</si>
  <si>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</si>
  <si>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</si>
  <si>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</si>
  <si>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</si>
  <si>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</si>
  <si>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</si>
  <si>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</si>
  <si>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</si>
  <si>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</si>
  <si>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</si>
  <si>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</si>
  <si>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</si>
  <si>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</si>
  <si>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</si>
  <si>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</si>
  <si>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</si>
  <si>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</si>
  <si>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</si>
  <si>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</si>
  <si>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</si>
  <si>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</si>
  <si>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</si>
  <si>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</si>
  <si>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</si>
  <si>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</si>
  <si>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</si>
  <si>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</si>
  <si>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</si>
  <si>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</si>
  <si>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</si>
  <si>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</si>
  <si>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</si>
  <si>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</si>
  <si>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</si>
  <si>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</si>
  <si>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</si>
  <si>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</si>
  <si>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</si>
  <si>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</si>
  <si>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</si>
  <si>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</si>
  <si>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</si>
  <si>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</si>
  <si>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</si>
  <si>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</si>
  <si>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</si>
  <si>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</si>
  <si>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</si>
  <si>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</si>
  <si>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</si>
  <si>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</si>
  <si>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</si>
  <si>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</si>
  <si>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</si>
  <si>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</si>
  <si>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</si>
  <si>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</si>
  <si>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</si>
  <si>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</si>
  <si>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</si>
  <si>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</si>
  <si>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</si>
  <si>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</si>
  <si>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</si>
  <si>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</si>
  <si>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</si>
  <si>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</si>
  <si>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</si>
  <si>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</si>
  <si>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</si>
  <si>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</si>
  <si>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</si>
  <si>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</si>
  <si>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</si>
  <si>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</si>
  <si>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</si>
  <si>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</si>
  <si>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</si>
  <si>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</si>
  <si>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</si>
  <si>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</si>
  <si>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</si>
  <si>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</si>
  <si>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</si>
  <si>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</si>
  <si>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</si>
  <si>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</si>
  <si>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</si>
  <si>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</si>
  <si>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</si>
  <si>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</si>
  <si>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</si>
  <si>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</si>
  <si>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</si>
  <si>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</si>
  <si>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</si>
  <si>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</si>
  <si>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</si>
  <si>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</si>
  <si>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</si>
  <si>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</si>
  <si>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</si>
  <si>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</si>
  <si>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</si>
  <si>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</si>
  <si>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</si>
  <si>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</si>
  <si>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</si>
  <si>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</si>
  <si>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</si>
  <si>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</si>
  <si>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</si>
  <si>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</si>
  <si>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</si>
  <si>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</si>
  <si>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</si>
  <si>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</si>
  <si>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</si>
  <si>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</si>
  <si>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</si>
  <si>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</si>
  <si>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</si>
  <si>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</si>
  <si>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</si>
  <si>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</si>
  <si>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</si>
  <si>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</si>
  <si>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</si>
  <si>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</si>
  <si>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</si>
  <si>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</si>
  <si>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</si>
  <si>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</si>
  <si>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</si>
  <si>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</si>
  <si>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</si>
  <si>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</si>
  <si>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</si>
  <si>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</si>
  <si>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</si>
  <si>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</si>
  <si>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</si>
  <si>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</si>
  <si>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</si>
  <si>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</si>
  <si>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</si>
  <si>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</si>
  <si>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</si>
  <si>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</si>
  <si>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</si>
  <si>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</si>
  <si>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</si>
  <si>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</si>
  <si>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</si>
  <si>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</si>
  <si>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</si>
  <si>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</si>
  <si>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</si>
  <si>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</si>
  <si>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</si>
  <si>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</si>
  <si>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</si>
  <si>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</si>
  <si>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</si>
  <si>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</si>
  <si>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</si>
  <si>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</si>
  <si>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</si>
  <si>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</si>
  <si>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</si>
  <si>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</si>
  <si>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</si>
  <si>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</si>
  <si>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</si>
  <si>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</si>
  <si>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</si>
  <si>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</si>
  <si>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</si>
  <si>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</si>
  <si>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</si>
  <si>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</si>
  <si>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</si>
  <si>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</si>
  <si>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</si>
  <si>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</si>
  <si>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</si>
  <si>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</si>
  <si>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</si>
  <si>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</si>
  <si>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</si>
  <si>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</si>
  <si>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</si>
  <si>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</si>
  <si>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</si>
  <si>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</si>
  <si>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</si>
  <si>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</si>
  <si>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</si>
  <si>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</si>
  <si>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</si>
  <si>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</si>
  <si>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</si>
  <si>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</si>
  <si>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</si>
  <si>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</si>
  <si>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</si>
  <si>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</si>
  <si>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</si>
  <si>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</si>
  <si>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</si>
  <si>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</si>
  <si>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</si>
  <si>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</si>
  <si>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</si>
  <si>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</si>
  <si>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</si>
  <si>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</si>
  <si>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</si>
  <si>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</si>
  <si>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</si>
  <si>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</si>
  <si>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</si>
  <si>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</si>
  <si>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</si>
  <si>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</si>
  <si>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</si>
  <si>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</si>
  <si>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</si>
  <si>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</si>
  <si>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</si>
  <si>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</si>
  <si>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</si>
  <si>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</si>
  <si>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</si>
  <si>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</si>
  <si>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</si>
  <si>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</si>
  <si>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</si>
  <si>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</si>
  <si>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</si>
  <si>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</si>
  <si>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</si>
  <si>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</si>
  <si>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</si>
  <si>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</si>
  <si>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</si>
  <si>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</si>
  <si>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</si>
  <si>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</si>
  <si>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</si>
  <si>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</si>
  <si>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</si>
  <si>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</si>
  <si>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</si>
  <si>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</si>
  <si>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</si>
  <si>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</si>
  <si>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</si>
  <si>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</si>
  <si>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</si>
  <si>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</si>
  <si>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</si>
  <si>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</si>
  <si>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</si>
  <si>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</si>
  <si>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</si>
  <si>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</si>
  <si>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</si>
  <si>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</si>
  <si>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</si>
  <si>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</si>
  <si>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</si>
  <si>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</si>
  <si>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</si>
  <si>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</si>
  <si>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</si>
  <si>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</si>
  <si>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</si>
  <si>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</si>
  <si>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</si>
  <si>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</si>
  <si>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</si>
  <si>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</si>
  <si>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</si>
  <si>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</si>
  <si>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</si>
  <si>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</si>
  <si>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</si>
  <si>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</si>
  <si>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</si>
  <si>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</si>
  <si>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</si>
  <si>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</si>
  <si>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</si>
  <si>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</si>
  <si>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</si>
  <si>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</si>
  <si>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</si>
  <si>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</si>
  <si>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</si>
  <si>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</si>
  <si>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</si>
  <si>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</si>
  <si>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</si>
  <si>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</si>
  <si>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</si>
  <si>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</si>
  <si>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</si>
  <si>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</si>
  <si>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</si>
  <si>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</si>
  <si>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</si>
  <si>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</si>
  <si>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</si>
  <si>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</si>
  <si>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</si>
  <si>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</si>
  <si>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</si>
  <si>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</si>
  <si>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</si>
  <si>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</si>
  <si>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</si>
  <si>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</si>
  <si>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</si>
  <si>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</si>
  <si>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</si>
  <si>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</si>
  <si>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</si>
  <si>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</si>
  <si>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</si>
  <si>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</si>
  <si>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</si>
  <si>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</si>
  <si>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</si>
  <si>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</si>
  <si>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</si>
  <si>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</si>
  <si>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</si>
  <si>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</si>
  <si>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</si>
  <si>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</si>
  <si>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</si>
  <si>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</si>
  <si>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</si>
  <si>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</si>
  <si>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</si>
  <si>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</si>
  <si>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</si>
  <si>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</si>
  <si>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</si>
  <si>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</si>
  <si>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</si>
  <si>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</si>
  <si>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</si>
  <si>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</si>
  <si>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</si>
  <si>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</si>
  <si>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</si>
  <si>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</si>
  <si>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</si>
  <si>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</si>
  <si>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</si>
  <si>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</si>
  <si>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</si>
  <si>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</si>
  <si>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</si>
  <si>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</si>
  <si>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</si>
  <si>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</si>
  <si>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</si>
  <si>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</si>
  <si>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</si>
  <si>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</si>
  <si>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</si>
  <si>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</si>
  <si>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</si>
  <si>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</si>
  <si>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</si>
  <si>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</si>
  <si>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</si>
  <si>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</si>
  <si>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</si>
  <si>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</si>
  <si>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</si>
  <si>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</si>
  <si>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</si>
  <si>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</si>
  <si>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</si>
  <si>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</si>
  <si>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</si>
  <si>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</si>
  <si>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</si>
  <si>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</si>
  <si>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</si>
  <si>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</si>
  <si>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</si>
  <si>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</si>
  <si>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</si>
  <si>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</si>
  <si>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</si>
  <si>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</si>
  <si>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</si>
  <si>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</si>
  <si>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</si>
  <si>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</si>
  <si>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</si>
  <si>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</si>
  <si>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</si>
  <si>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</si>
  <si>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</si>
  <si>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</si>
  <si>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</si>
  <si>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</si>
  <si>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</si>
  <si>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</si>
  <si>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</si>
  <si>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</si>
  <si>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</si>
  <si>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</si>
  <si>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</si>
  <si>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</si>
  <si>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</si>
  <si>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</si>
  <si>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</si>
  <si>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</si>
  <si>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</si>
  <si>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</si>
  <si>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</si>
  <si>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</si>
  <si>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</si>
  <si>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</si>
  <si>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</si>
  <si>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</si>
  <si>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</si>
  <si>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</si>
  <si>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</si>
  <si>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</si>
  <si>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</si>
  <si>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</si>
  <si>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</si>
  <si>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</si>
  <si>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</si>
  <si>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</si>
  <si>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</si>
  <si>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</si>
  <si>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</si>
  <si>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</si>
  <si>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</si>
  <si>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</si>
  <si>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</si>
  <si>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</si>
  <si>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</si>
  <si>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</si>
  <si>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</si>
  <si>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</si>
  <si>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</si>
  <si>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</si>
  <si>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</si>
  <si>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</si>
  <si>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</si>
  <si>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</si>
  <si>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</si>
  <si>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</si>
  <si>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</si>
  <si>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</si>
  <si>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</si>
  <si>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</si>
  <si>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</si>
  <si>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</si>
  <si>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</si>
  <si>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</si>
  <si>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</si>
  <si>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</si>
  <si>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</si>
  <si>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</si>
  <si>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</si>
  <si>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</si>
  <si>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</si>
  <si>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</si>
  <si>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Existirá ingreso de 13,464 und que brinda una cobertura de 5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</si>
  <si>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</si>
  <si>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</si>
  <si>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</si>
  <si>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</si>
  <si>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</si>
  <si>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</si>
  <si>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</si>
  <si>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</si>
  <si>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</si>
  <si>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</si>
  <si>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</si>
  <si>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</si>
  <si>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</si>
  <si>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</si>
  <si>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</si>
  <si>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</si>
  <si>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</si>
  <si>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</si>
  <si>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</si>
  <si>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</si>
  <si>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</si>
  <si>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</si>
  <si>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</si>
  <si>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</si>
  <si>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</si>
  <si>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</si>
  <si>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</si>
  <si>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</si>
  <si>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</si>
  <si>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</si>
  <si>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</si>
  <si>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</si>
  <si>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</si>
  <si>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</si>
  <si>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</si>
  <si>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</si>
  <si>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</si>
  <si>
    <t>Existirá ingreso de 1440und de Calidad al CEDI el 18.05</t>
  </si>
  <si>
    <t>Existirá ingreso de 20,556 und que brinda cobertura de 61 dias e ingresará el 21.05</t>
  </si>
  <si>
    <t>Exisirá ingreso de 18616und que brinda una cobertura de 19 dias - ingreso estimado el 27.05</t>
  </si>
  <si>
    <t>Esta demanda se ha asignado para otro cliente para el mes de Junio</t>
  </si>
  <si>
    <t>Se coordinó con calidad para su liberación y ya se encuentra disponible en CEDI - Cobertura de 19 días</t>
  </si>
  <si>
    <t>Posible ingreso 15.06 al CEDI</t>
  </si>
  <si>
    <t>Posible ingreso 05.06 al CEDI - 33080 und - CME2-9605</t>
  </si>
  <si>
    <t>Posible ingreso entre 08.06 - 12.06  -  19416und  -  CHE33181</t>
  </si>
  <si>
    <t>Posible ingreso 04.06 al CEDI - 95520 und</t>
  </si>
  <si>
    <t>Posible ingreso 02.06 a CEDI - 1920und que brinda una cobertura de 2 días</t>
  </si>
  <si>
    <t>Posible embarque 12.06 - 5784und</t>
  </si>
  <si>
    <t>Posible ingreso 10.06 al CEDI - 40518 und -  CHE3-3183</t>
  </si>
  <si>
    <t>Existirá ingreso de 20032 und que brinda una cobertura de 32 días e ingresará entre el 01.06</t>
  </si>
  <si>
    <t>Existirá ingreso de 14363 und que brinda una cobertura de 22 días e ingresará entre el 01.06 - 0.06</t>
  </si>
  <si>
    <t>Existirá ingreso de 9,955 und que brinda una cobertura de 13 días e ingresará entre el 01.06 - 0.06</t>
  </si>
  <si>
    <t>En proceso de desontinuacion - Cambio de gramaje a 40g</t>
  </si>
  <si>
    <t xml:space="preserve">Fecha estimada de llegada 04.06 - 4000und </t>
  </si>
  <si>
    <t>En proceso de desontinuacion</t>
  </si>
  <si>
    <t>Se desbloquea 20624und de CEDI el 26.05</t>
  </si>
  <si>
    <t>En produccion 177und para semana 24</t>
  </si>
  <si>
    <t>Producto sin PVO</t>
  </si>
  <si>
    <t>En produccion 5000und para seman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</si>
</sst>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6" fillId="0" borderId="48" xfId="0" applyNumberFormat="1" applyFont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1" fontId="1" fillId="0" borderId="3" xfId="0" applyNumberFormat="1" applyFont="1" applyBorder="1" applyAlignment="1">
      <alignment vertical="center"/>
    </xf>
    <xf numFmtId="1" fontId="1" fillId="0" borderId="14" xfId="0" applyNumberFormat="1" applyFont="1" applyBorder="1" applyAlignment="1">
      <alignment vertical="center"/>
    </xf>
    <xf numFmtId="0" fontId="5" fillId="13" borderId="0" xfId="0" applyFont="1" applyFill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58" quotePrefix="1" applyNumberFormat="1" applyFont="1" applyFill="1" applyBorder="1" applyAlignment="1">
      <alignment horizontal="center" vertical="center"/>
    </xf>
    <xf numFmtId="14" fontId="2" fillId="0" borderId="14" xfId="58" applyNumberFormat="1" applyFont="1" applyFill="1" applyBorder="1" applyAlignment="1">
      <alignment vertical="center"/>
    </xf>
    <xf numFmtId="14" fontId="2" fillId="0" borderId="3" xfId="58" applyNumberFormat="1" applyFont="1" applyFill="1" applyBorder="1" applyAlignment="1">
      <alignment horizontal="center" vertical="center"/>
    </xf>
    <xf numFmtId="14" fontId="2" fillId="0" borderId="3" xfId="58" applyNumberFormat="1" applyFont="1" applyFill="1" applyBorder="1" applyAlignment="1">
      <alignment vertical="center"/>
    </xf>
    <xf numFmtId="14" fontId="2" fillId="0" borderId="0" xfId="58" applyNumberFormat="1" applyFont="1" applyFill="1" applyBorder="1" applyAlignment="1">
      <alignment vertical="center"/>
    </xf>
    <xf numFmtId="14" fontId="2" fillId="0" borderId="21" xfId="58" applyNumberFormat="1" applyFont="1" applyFill="1" applyBorder="1" applyAlignment="1">
      <alignment horizontal="center" vertical="center"/>
    </xf>
    <xf numFmtId="14" fontId="2" fillId="0" borderId="21" xfId="58" quotePrefix="1" applyNumberFormat="1" applyFont="1" applyFill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45" dataDxfId="0" tableBorderDxfId="144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 2"/>
    <tableColumn id="52" xr3:uid="{00000000-0010-0000-0000-000034000000}" name="Causal / Observado" dataDxfId="1" dataCellStyle="Millares 10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E24" sqref="E2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3" t="s">
        <v>341</v>
      </c>
      <c r="C2" s="194"/>
      <c r="D2" s="194"/>
      <c r="E2" s="194"/>
      <c r="F2" s="194"/>
      <c r="G2" s="197">
        <v>46171</v>
      </c>
    </row>
    <row r="3" spans="1:62" ht="13.5" customHeight="1" thickBot="1" x14ac:dyDescent="0.4">
      <c r="A3" s="108"/>
      <c r="B3" s="195"/>
      <c r="C3" s="196"/>
      <c r="D3" s="196"/>
      <c r="E3" s="196"/>
      <c r="F3" s="196"/>
      <c r="G3" s="198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9" t="s">
        <v>342</v>
      </c>
      <c r="R17" s="200"/>
      <c r="S17" s="201"/>
      <c r="T17" s="199" t="s">
        <v>497</v>
      </c>
      <c r="U17" s="200"/>
      <c r="V17" s="200"/>
      <c r="W17" s="200"/>
      <c r="X17" s="25"/>
      <c r="Y17" s="25"/>
      <c r="Z17" s="23"/>
      <c r="AA17" s="23"/>
      <c r="AB17" s="23"/>
      <c r="AC17" s="192" t="s">
        <v>331</v>
      </c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2"/>
      <c r="BG17" s="192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148</v>
      </c>
      <c r="C19" s="5" t="s">
        <v>5</v>
      </c>
      <c r="D19" s="5" t="s">
        <v>318</v>
      </c>
      <c r="E19" s="5" t="s">
        <v>307</v>
      </c>
      <c r="F19" s="132">
        <v>1072129</v>
      </c>
      <c r="G19" s="133" t="s">
        <v>603</v>
      </c>
      <c r="H19" s="139">
        <v>3000</v>
      </c>
      <c r="I19" s="139">
        <v>1500</v>
      </c>
      <c r="J19" s="125">
        <v>0</v>
      </c>
      <c r="K19" s="125">
        <v>0</v>
      </c>
      <c r="L19" s="130">
        <v>0</v>
      </c>
      <c r="M19" s="123">
        <v>0</v>
      </c>
      <c r="N19" s="130">
        <v>1500</v>
      </c>
      <c r="O19" s="130">
        <v>0</v>
      </c>
      <c r="P19" s="123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5">
        <v>3000</v>
      </c>
      <c r="Y19" s="125">
        <v>0</v>
      </c>
      <c r="Z19" s="125">
        <v>3000</v>
      </c>
      <c r="AA19" s="112">
        <v>26370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202" t="s">
        <v>1</v>
      </c>
      <c r="BJ19" s="203" t="s">
        <v>851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1072127</v>
      </c>
      <c r="G20" s="133" t="s">
        <v>762</v>
      </c>
      <c r="H20" s="139">
        <v>8000</v>
      </c>
      <c r="I20" s="139">
        <v>4000</v>
      </c>
      <c r="J20" s="125">
        <v>0</v>
      </c>
      <c r="K20" s="125">
        <v>0</v>
      </c>
      <c r="L20" s="130">
        <v>0</v>
      </c>
      <c r="M20" s="123">
        <v>0</v>
      </c>
      <c r="N20" s="130">
        <v>4000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8000</v>
      </c>
      <c r="Y20" s="125">
        <v>0</v>
      </c>
      <c r="Z20" s="125">
        <v>8000</v>
      </c>
      <c r="AA20" s="112">
        <v>51520</v>
      </c>
      <c r="AB20" s="112">
        <v>0</v>
      </c>
      <c r="AC20" s="8">
        <v>0</v>
      </c>
      <c r="AD20" s="66"/>
      <c r="AE20" s="66">
        <v>45.489298158287703</v>
      </c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202" t="s">
        <v>1</v>
      </c>
      <c r="BJ20" s="203" t="s">
        <v>851</v>
      </c>
    </row>
    <row r="21" spans="1:62" ht="12.75" customHeight="1" x14ac:dyDescent="0.35">
      <c r="A21" s="108"/>
      <c r="B21" s="126">
        <v>0</v>
      </c>
      <c r="C21" s="5" t="s">
        <v>2</v>
      </c>
      <c r="D21" s="5" t="s">
        <v>308</v>
      </c>
      <c r="E21" s="5" t="s">
        <v>395</v>
      </c>
      <c r="F21" s="164">
        <v>1080732</v>
      </c>
      <c r="G21" s="169" t="s">
        <v>787</v>
      </c>
      <c r="H21" s="139">
        <v>1008.0001299999999</v>
      </c>
      <c r="I21" s="139">
        <v>94.248012154999984</v>
      </c>
      <c r="J21" s="125">
        <v>0</v>
      </c>
      <c r="K21" s="125">
        <v>1784</v>
      </c>
      <c r="L21" s="130">
        <v>166.804</v>
      </c>
      <c r="M21" s="123">
        <v>1.7698410415879611</v>
      </c>
      <c r="N21" s="130">
        <v>72.555987845000018</v>
      </c>
      <c r="O21" s="130">
        <v>25.595231222837267</v>
      </c>
      <c r="P21" s="123">
        <v>1.1927386501280508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1939.1304347826087</v>
      </c>
      <c r="Y21" s="125">
        <v>0</v>
      </c>
      <c r="Z21" s="125">
        <v>-775.9998700000001</v>
      </c>
      <c r="AA21" s="112">
        <v>11067.84</v>
      </c>
      <c r="AB21" s="112">
        <v>0</v>
      </c>
      <c r="AC21" s="8">
        <v>1.7698410415879611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204" t="s">
        <v>1</v>
      </c>
      <c r="BJ21" s="189" t="s">
        <v>853</v>
      </c>
    </row>
    <row r="22" spans="1:62" ht="12.75" customHeight="1" x14ac:dyDescent="0.35">
      <c r="A22" s="108"/>
      <c r="B22" s="126">
        <v>0</v>
      </c>
      <c r="C22" s="5" t="s">
        <v>2</v>
      </c>
      <c r="D22" s="5" t="s">
        <v>308</v>
      </c>
      <c r="E22" s="5" t="s">
        <v>395</v>
      </c>
      <c r="F22" s="164">
        <v>1080731</v>
      </c>
      <c r="G22" s="169" t="s">
        <v>786</v>
      </c>
      <c r="H22" s="139">
        <v>2210.0003600000005</v>
      </c>
      <c r="I22" s="139">
        <v>180.55702941200002</v>
      </c>
      <c r="J22" s="125">
        <v>0</v>
      </c>
      <c r="K22" s="125">
        <v>581</v>
      </c>
      <c r="L22" s="130">
        <v>47.467699999999994</v>
      </c>
      <c r="M22" s="123">
        <v>0.26289588477714088</v>
      </c>
      <c r="N22" s="130">
        <v>133.08932941200004</v>
      </c>
      <c r="O22" s="130">
        <v>23.809946800189646</v>
      </c>
      <c r="P22" s="123">
        <v>1.3431141621803111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11</v>
      </c>
      <c r="X22" s="125">
        <v>2210.0003600000005</v>
      </c>
      <c r="Y22" s="125">
        <v>0</v>
      </c>
      <c r="Z22" s="125">
        <v>1629.0003600000005</v>
      </c>
      <c r="AA22" s="112">
        <v>27426.1</v>
      </c>
      <c r="AB22" s="112">
        <v>136.51</v>
      </c>
      <c r="AC22" s="8">
        <v>0.26289588477714088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204" t="s">
        <v>1</v>
      </c>
      <c r="BJ22" s="189" t="s">
        <v>853</v>
      </c>
    </row>
    <row r="23" spans="1:62" ht="12.75" customHeight="1" x14ac:dyDescent="0.35">
      <c r="A23" s="108"/>
      <c r="B23" s="126" t="s">
        <v>1</v>
      </c>
      <c r="C23" s="5" t="s">
        <v>24</v>
      </c>
      <c r="D23" s="5" t="s">
        <v>316</v>
      </c>
      <c r="E23" s="5" t="s">
        <v>400</v>
      </c>
      <c r="F23" s="56">
        <v>1024998</v>
      </c>
      <c r="G23" s="65" t="s">
        <v>321</v>
      </c>
      <c r="H23" s="139">
        <v>16148.74525684091</v>
      </c>
      <c r="I23" s="139">
        <v>6863.2167341573868</v>
      </c>
      <c r="J23" s="125">
        <v>0</v>
      </c>
      <c r="K23" s="125">
        <v>8786</v>
      </c>
      <c r="L23" s="130">
        <v>3734.0499999999997</v>
      </c>
      <c r="M23" s="123">
        <v>0.54468628120032114</v>
      </c>
      <c r="N23" s="130">
        <v>3129.1667341573871</v>
      </c>
      <c r="O23" s="130">
        <v>9.601014694127846</v>
      </c>
      <c r="P23" s="123">
        <v>1.3905835243638709</v>
      </c>
      <c r="Q23" s="5">
        <v>10</v>
      </c>
      <c r="R23" s="5">
        <v>10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25">
        <v>16148.74525684091</v>
      </c>
      <c r="Y23" s="125">
        <v>0</v>
      </c>
      <c r="Z23" s="125">
        <v>7352.7452568409099</v>
      </c>
      <c r="AA23" s="112">
        <v>149052.92000000001</v>
      </c>
      <c r="AB23" s="112">
        <v>0</v>
      </c>
      <c r="AC23" s="8">
        <v>0.54468628120032114</v>
      </c>
      <c r="AD23" s="66"/>
      <c r="AE23" s="66">
        <v>9.9603550295857985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202" t="s">
        <v>1</v>
      </c>
      <c r="BJ23" s="189" t="s">
        <v>854</v>
      </c>
    </row>
    <row r="24" spans="1:62" ht="12.75" customHeight="1" x14ac:dyDescent="0.35">
      <c r="A24" s="108"/>
      <c r="B24" s="126" t="s">
        <v>1</v>
      </c>
      <c r="C24" s="5" t="s">
        <v>2</v>
      </c>
      <c r="D24" s="5" t="s">
        <v>310</v>
      </c>
      <c r="E24" s="5" t="s">
        <v>311</v>
      </c>
      <c r="F24" s="5">
        <v>1078887</v>
      </c>
      <c r="G24" s="7" t="s">
        <v>721</v>
      </c>
      <c r="H24" s="139">
        <v>10700</v>
      </c>
      <c r="I24" s="139">
        <v>1070</v>
      </c>
      <c r="J24" s="125">
        <v>0</v>
      </c>
      <c r="K24" s="125">
        <v>2979</v>
      </c>
      <c r="L24" s="130">
        <v>297.90000000000003</v>
      </c>
      <c r="M24" s="123">
        <v>0.27841121495327104</v>
      </c>
      <c r="N24" s="130">
        <v>772.09999999999991</v>
      </c>
      <c r="O24" s="130">
        <v>16.214018691588784</v>
      </c>
      <c r="P24" s="123">
        <v>1.5614563106796115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1289</v>
      </c>
      <c r="X24" s="125">
        <v>10700</v>
      </c>
      <c r="Y24" s="125">
        <v>0</v>
      </c>
      <c r="Z24" s="125">
        <v>7721</v>
      </c>
      <c r="AA24" s="112">
        <v>23326</v>
      </c>
      <c r="AB24" s="112">
        <v>2810.02</v>
      </c>
      <c r="AC24" s="8">
        <v>0.27841121495327104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202" t="s">
        <v>1</v>
      </c>
      <c r="BJ24" s="189" t="s">
        <v>855</v>
      </c>
    </row>
    <row r="25" spans="1:62" ht="12.75" customHeight="1" x14ac:dyDescent="0.35">
      <c r="A25" s="108"/>
      <c r="B25" s="126" t="s">
        <v>1</v>
      </c>
      <c r="C25" s="5" t="s">
        <v>24</v>
      </c>
      <c r="D25" s="127" t="s">
        <v>316</v>
      </c>
      <c r="E25" s="5" t="s">
        <v>400</v>
      </c>
      <c r="F25" s="5">
        <v>1024997</v>
      </c>
      <c r="G25" s="7" t="s">
        <v>62</v>
      </c>
      <c r="H25" s="139">
        <v>87703.535517053999</v>
      </c>
      <c r="I25" s="139">
        <v>18593.149529615446</v>
      </c>
      <c r="J25" s="125">
        <v>0</v>
      </c>
      <c r="K25" s="125">
        <v>50695</v>
      </c>
      <c r="L25" s="130">
        <v>10747.34</v>
      </c>
      <c r="M25" s="123">
        <v>0.5803072783776595</v>
      </c>
      <c r="N25" s="130">
        <v>7845.8095296154461</v>
      </c>
      <c r="O25" s="130">
        <v>12.2626949075434</v>
      </c>
      <c r="P25" s="123">
        <v>1.5583442252243833</v>
      </c>
      <c r="Q25" s="5">
        <v>199</v>
      </c>
      <c r="R25" s="5">
        <v>200</v>
      </c>
      <c r="S25" s="5">
        <v>0</v>
      </c>
      <c r="T25" s="5">
        <v>0</v>
      </c>
      <c r="U25" s="5">
        <v>0</v>
      </c>
      <c r="V25" s="5">
        <v>0</v>
      </c>
      <c r="W25" s="5">
        <v>4</v>
      </c>
      <c r="X25" s="125">
        <v>87703.535517053999</v>
      </c>
      <c r="Y25" s="125">
        <v>0</v>
      </c>
      <c r="Z25" s="125">
        <v>36809.535517053999</v>
      </c>
      <c r="AA25" s="112">
        <v>444656.93</v>
      </c>
      <c r="AB25" s="112">
        <v>20.28</v>
      </c>
      <c r="AC25" s="8">
        <v>0.58029587632876711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204" t="s">
        <v>1</v>
      </c>
      <c r="BJ25" s="189" t="s">
        <v>856</v>
      </c>
    </row>
    <row r="26" spans="1:62" ht="12.75" customHeight="1" x14ac:dyDescent="0.35">
      <c r="A26" s="108"/>
      <c r="B26" s="126" t="s">
        <v>1</v>
      </c>
      <c r="C26" s="5" t="s">
        <v>2</v>
      </c>
      <c r="D26" s="5" t="s">
        <v>306</v>
      </c>
      <c r="E26" s="5" t="s">
        <v>401</v>
      </c>
      <c r="F26" s="5">
        <v>1075854</v>
      </c>
      <c r="G26" s="7" t="s">
        <v>689</v>
      </c>
      <c r="H26" s="139">
        <v>17340.688388045539</v>
      </c>
      <c r="I26" s="139">
        <v>6242.6478196963935</v>
      </c>
      <c r="J26" s="125">
        <v>0</v>
      </c>
      <c r="K26" s="125">
        <v>27514</v>
      </c>
      <c r="L26" s="130">
        <v>9905.0399999999991</v>
      </c>
      <c r="M26" s="123">
        <v>1.5908249651160018</v>
      </c>
      <c r="N26" s="130">
        <v>3662.3921803036055</v>
      </c>
      <c r="O26" s="130">
        <v>13.382584097564999</v>
      </c>
      <c r="P26" s="123">
        <v>1.3659398246994874</v>
      </c>
      <c r="Q26" s="5">
        <v>72</v>
      </c>
      <c r="R26" s="5">
        <v>72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25">
        <v>29984.782608695652</v>
      </c>
      <c r="Y26" s="125">
        <v>0</v>
      </c>
      <c r="Z26" s="125">
        <v>-10245.311611954461</v>
      </c>
      <c r="AA26" s="112">
        <v>78379.91</v>
      </c>
      <c r="AB26" s="112">
        <v>0</v>
      </c>
      <c r="AC26" s="8">
        <v>1.5908249651160018</v>
      </c>
      <c r="AD26" s="66"/>
      <c r="AE26" s="66">
        <v>31.309116809116805</v>
      </c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202" t="s">
        <v>1</v>
      </c>
      <c r="BJ26" s="203" t="s">
        <v>857</v>
      </c>
    </row>
    <row r="27" spans="1:62" ht="12.75" customHeight="1" x14ac:dyDescent="0.35">
      <c r="A27" s="108"/>
      <c r="B27" s="126" t="s">
        <v>1</v>
      </c>
      <c r="C27" s="5" t="s">
        <v>24</v>
      </c>
      <c r="D27" s="5" t="s">
        <v>316</v>
      </c>
      <c r="E27" s="5" t="s">
        <v>317</v>
      </c>
      <c r="F27" s="5">
        <v>1070721</v>
      </c>
      <c r="G27" s="7" t="s">
        <v>683</v>
      </c>
      <c r="H27" s="139">
        <v>2965.9138083211847</v>
      </c>
      <c r="I27" s="139">
        <v>320.31869129868795</v>
      </c>
      <c r="J27" s="125">
        <v>0</v>
      </c>
      <c r="K27" s="125">
        <v>3241</v>
      </c>
      <c r="L27" s="130">
        <v>350.02800000000002</v>
      </c>
      <c r="M27" s="123">
        <v>1.1419751951312318</v>
      </c>
      <c r="N27" s="130">
        <v>29.709308701312068</v>
      </c>
      <c r="O27" s="130">
        <v>26.300867442102213</v>
      </c>
      <c r="P27" s="123">
        <v>1.8484098557674757</v>
      </c>
      <c r="Q27" s="5">
        <v>146</v>
      </c>
      <c r="R27" s="5">
        <v>146</v>
      </c>
      <c r="S27" s="5">
        <v>0</v>
      </c>
      <c r="T27" s="5">
        <v>0</v>
      </c>
      <c r="U27" s="5">
        <v>0</v>
      </c>
      <c r="V27" s="5">
        <v>0</v>
      </c>
      <c r="W27" s="5">
        <v>1475</v>
      </c>
      <c r="X27" s="125">
        <v>3681.521739130435</v>
      </c>
      <c r="Y27" s="125">
        <v>0</v>
      </c>
      <c r="Z27" s="125">
        <v>-421.08619167881534</v>
      </c>
      <c r="AA27" s="112">
        <v>15689.68</v>
      </c>
      <c r="AB27" s="112">
        <v>7802.75</v>
      </c>
      <c r="AC27" s="8">
        <v>1.141975195131232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202" t="s">
        <v>1</v>
      </c>
      <c r="BJ27" s="189" t="s">
        <v>858</v>
      </c>
    </row>
    <row r="28" spans="1:62" ht="12.75" customHeight="1" x14ac:dyDescent="0.35">
      <c r="A28" s="108"/>
      <c r="B28" s="126" t="s">
        <v>1</v>
      </c>
      <c r="C28" s="5" t="s">
        <v>50</v>
      </c>
      <c r="D28" s="5" t="s">
        <v>320</v>
      </c>
      <c r="E28" s="5" t="s">
        <v>402</v>
      </c>
      <c r="F28" s="5">
        <v>1060796</v>
      </c>
      <c r="G28" s="7" t="s">
        <v>433</v>
      </c>
      <c r="H28" s="139">
        <v>24855.339074512787</v>
      </c>
      <c r="I28" s="139">
        <v>4473.9610334123017</v>
      </c>
      <c r="J28" s="125">
        <v>0</v>
      </c>
      <c r="K28" s="125">
        <v>13007</v>
      </c>
      <c r="L28" s="130">
        <v>2341.2599999999998</v>
      </c>
      <c r="M28" s="123">
        <v>0.52950394120736743</v>
      </c>
      <c r="N28" s="130">
        <v>2132.701033412302</v>
      </c>
      <c r="O28" s="130">
        <v>6.0507176942866732</v>
      </c>
      <c r="P28" s="123">
        <v>1.1221961913676468</v>
      </c>
      <c r="Q28" s="5">
        <v>154</v>
      </c>
      <c r="R28" s="5">
        <v>154</v>
      </c>
      <c r="S28" s="5">
        <v>0</v>
      </c>
      <c r="T28" s="5">
        <v>0</v>
      </c>
      <c r="U28" s="5">
        <v>32</v>
      </c>
      <c r="V28" s="5">
        <v>0</v>
      </c>
      <c r="W28" s="5">
        <v>0</v>
      </c>
      <c r="X28" s="125">
        <v>24855.339074512787</v>
      </c>
      <c r="Y28" s="125">
        <v>0</v>
      </c>
      <c r="Z28" s="125">
        <v>11694.339074512787</v>
      </c>
      <c r="AA28" s="112">
        <v>170010.52</v>
      </c>
      <c r="AB28" s="112">
        <v>218.88</v>
      </c>
      <c r="AC28" s="8">
        <v>0.52950394120736743</v>
      </c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202" t="s">
        <v>1</v>
      </c>
      <c r="BJ28" s="205" t="s">
        <v>850</v>
      </c>
    </row>
    <row r="29" spans="1:62" ht="12.75" customHeight="1" x14ac:dyDescent="0.35">
      <c r="A29" s="108"/>
      <c r="B29" s="126" t="s">
        <v>15</v>
      </c>
      <c r="C29" s="5" t="s">
        <v>5</v>
      </c>
      <c r="D29" s="5" t="s">
        <v>308</v>
      </c>
      <c r="E29" s="5" t="s">
        <v>315</v>
      </c>
      <c r="F29" s="5">
        <v>1074340</v>
      </c>
      <c r="G29" s="7" t="s">
        <v>650</v>
      </c>
      <c r="H29" s="139">
        <v>20374.291186952585</v>
      </c>
      <c r="I29" s="139">
        <v>4889.82988486862</v>
      </c>
      <c r="J29" s="125">
        <v>0</v>
      </c>
      <c r="K29" s="125">
        <v>12046</v>
      </c>
      <c r="L29" s="130">
        <v>2891.04</v>
      </c>
      <c r="M29" s="123">
        <v>0.63128576508402157</v>
      </c>
      <c r="N29" s="130">
        <v>1998.78988486862</v>
      </c>
      <c r="O29" s="130">
        <v>0</v>
      </c>
      <c r="P29" s="123">
        <v>0.90252013126400299</v>
      </c>
      <c r="Q29" s="5">
        <v>816</v>
      </c>
      <c r="R29" s="5">
        <v>816</v>
      </c>
      <c r="S29" s="5">
        <v>0</v>
      </c>
      <c r="T29" s="5">
        <v>0</v>
      </c>
      <c r="U29" s="5">
        <v>0</v>
      </c>
      <c r="V29" s="5">
        <v>0</v>
      </c>
      <c r="W29" s="5">
        <v>120</v>
      </c>
      <c r="X29" s="125">
        <v>20374.291186952585</v>
      </c>
      <c r="Y29" s="125">
        <v>0</v>
      </c>
      <c r="Z29" s="125">
        <v>7512.2911869525851</v>
      </c>
      <c r="AA29" s="112">
        <v>99222.8</v>
      </c>
      <c r="AB29" s="112">
        <v>584.4</v>
      </c>
      <c r="AC29" s="8">
        <v>0.63128576508402157</v>
      </c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204"/>
      <c r="BJ29" s="203" t="s">
        <v>862</v>
      </c>
    </row>
    <row r="30" spans="1:62" ht="12.75" customHeight="1" x14ac:dyDescent="0.35">
      <c r="A30" s="108"/>
      <c r="B30" s="126" t="s">
        <v>148</v>
      </c>
      <c r="C30" s="5" t="s">
        <v>5</v>
      </c>
      <c r="D30" s="5" t="s">
        <v>318</v>
      </c>
      <c r="E30" s="5" t="s">
        <v>319</v>
      </c>
      <c r="F30" s="142">
        <v>1091732</v>
      </c>
      <c r="G30" s="143" t="s">
        <v>803</v>
      </c>
      <c r="H30" s="139">
        <v>15920</v>
      </c>
      <c r="I30" s="139">
        <v>11940</v>
      </c>
      <c r="J30" s="125">
        <v>0</v>
      </c>
      <c r="K30" s="125">
        <v>8424</v>
      </c>
      <c r="L30" s="130">
        <v>6318</v>
      </c>
      <c r="M30" s="123">
        <v>1.43178391959799</v>
      </c>
      <c r="N30" s="130">
        <v>5622</v>
      </c>
      <c r="O30" s="130">
        <v>0</v>
      </c>
      <c r="P30" s="123">
        <v>1</v>
      </c>
      <c r="Q30" s="5">
        <v>14370</v>
      </c>
      <c r="R30" s="5">
        <v>14370</v>
      </c>
      <c r="S30" s="5">
        <v>0</v>
      </c>
      <c r="T30" s="5">
        <v>2310</v>
      </c>
      <c r="U30" s="5">
        <v>0</v>
      </c>
      <c r="V30" s="5">
        <v>0</v>
      </c>
      <c r="W30" s="5">
        <v>0</v>
      </c>
      <c r="X30" s="125">
        <v>24776.08695652174</v>
      </c>
      <c r="Y30" s="125">
        <v>0</v>
      </c>
      <c r="Z30" s="125">
        <v>-9184</v>
      </c>
      <c r="AA30" s="112">
        <v>93450.4</v>
      </c>
      <c r="AB30" s="112">
        <v>13559.7</v>
      </c>
      <c r="AC30" s="8">
        <v>1.5768844221105529</v>
      </c>
      <c r="AD30" s="66"/>
      <c r="AE30" s="66">
        <v>3.0745629682483053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204" t="s">
        <v>1</v>
      </c>
      <c r="BJ30" s="203" t="s">
        <v>860</v>
      </c>
    </row>
    <row r="31" spans="1:62" ht="12.75" customHeight="1" x14ac:dyDescent="0.35">
      <c r="A31" s="108"/>
      <c r="B31" s="126" t="s">
        <v>1</v>
      </c>
      <c r="C31" s="5" t="s">
        <v>50</v>
      </c>
      <c r="D31" s="5" t="s">
        <v>316</v>
      </c>
      <c r="E31" s="5" t="s">
        <v>408</v>
      </c>
      <c r="F31" s="5">
        <v>1060670</v>
      </c>
      <c r="G31" s="7" t="s">
        <v>518</v>
      </c>
      <c r="H31" s="139">
        <v>6150</v>
      </c>
      <c r="I31" s="139">
        <v>1537.5</v>
      </c>
      <c r="J31" s="125">
        <v>0</v>
      </c>
      <c r="K31" s="125">
        <v>4280</v>
      </c>
      <c r="L31" s="130">
        <v>1070</v>
      </c>
      <c r="M31" s="123">
        <v>1.6773983739837399</v>
      </c>
      <c r="N31" s="130">
        <v>467.5</v>
      </c>
      <c r="O31" s="130">
        <v>0</v>
      </c>
      <c r="P31" s="123">
        <v>0.37658536585365854</v>
      </c>
      <c r="Q31" s="5">
        <v>6036</v>
      </c>
      <c r="R31" s="5">
        <v>6036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125">
        <v>11213.04347826087</v>
      </c>
      <c r="Y31" s="125">
        <v>0</v>
      </c>
      <c r="Z31" s="125">
        <v>-4166</v>
      </c>
      <c r="AA31" s="112">
        <v>121278</v>
      </c>
      <c r="AB31" s="112">
        <v>0</v>
      </c>
      <c r="AC31" s="8">
        <v>1.6773983739837397</v>
      </c>
      <c r="AD31" s="66"/>
      <c r="AE31" s="66">
        <v>14.586349534643228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202" t="s">
        <v>1</v>
      </c>
      <c r="BJ31" s="190" t="s">
        <v>864</v>
      </c>
    </row>
    <row r="32" spans="1:62" ht="12.75" customHeight="1" x14ac:dyDescent="0.35">
      <c r="A32" s="108"/>
      <c r="B32" s="126" t="s">
        <v>15</v>
      </c>
      <c r="C32" s="5" t="s">
        <v>5</v>
      </c>
      <c r="D32" s="5" t="s">
        <v>308</v>
      </c>
      <c r="E32" s="5" t="s">
        <v>315</v>
      </c>
      <c r="F32" s="5">
        <v>1074225</v>
      </c>
      <c r="G32" s="7" t="s">
        <v>632</v>
      </c>
      <c r="H32" s="139">
        <v>436.95793607066634</v>
      </c>
      <c r="I32" s="139">
        <v>327.71845205299974</v>
      </c>
      <c r="J32" s="125">
        <v>0</v>
      </c>
      <c r="K32" s="125">
        <v>780</v>
      </c>
      <c r="L32" s="130">
        <v>585</v>
      </c>
      <c r="M32" s="123">
        <v>3.0437712425136221</v>
      </c>
      <c r="N32" s="130">
        <v>257.28154794700026</v>
      </c>
      <c r="O32" s="130">
        <v>17.611402552084432</v>
      </c>
      <c r="P32" s="123">
        <v>1.4844605788833471</v>
      </c>
      <c r="Q32" s="5">
        <v>550</v>
      </c>
      <c r="R32" s="5">
        <v>550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125">
        <v>1445.6521739130435</v>
      </c>
      <c r="Y32" s="125">
        <v>0</v>
      </c>
      <c r="Z32" s="125">
        <v>-893.04206392933361</v>
      </c>
      <c r="AA32" s="112">
        <v>3770.95</v>
      </c>
      <c r="AB32" s="112">
        <v>0</v>
      </c>
      <c r="AC32" s="8">
        <v>3.0437712425136221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202" t="s">
        <v>1</v>
      </c>
      <c r="BJ32" s="203" t="s">
        <v>867</v>
      </c>
    </row>
    <row r="33" spans="1:62" ht="12.75" customHeight="1" x14ac:dyDescent="0.35">
      <c r="A33" s="108"/>
      <c r="B33" s="126" t="s">
        <v>31</v>
      </c>
      <c r="C33" s="5" t="s">
        <v>5</v>
      </c>
      <c r="D33" s="5" t="s">
        <v>306</v>
      </c>
      <c r="E33" s="5" t="s">
        <v>307</v>
      </c>
      <c r="F33" s="5">
        <v>1058893</v>
      </c>
      <c r="G33" s="7" t="s">
        <v>261</v>
      </c>
      <c r="H33" s="139">
        <v>4.2996107277754866E-4</v>
      </c>
      <c r="I33" s="139">
        <v>1.2898832183326459E-4</v>
      </c>
      <c r="J33" s="125">
        <v>0</v>
      </c>
      <c r="K33" s="125">
        <v>1440</v>
      </c>
      <c r="L33" s="130">
        <v>432</v>
      </c>
      <c r="M33" s="123">
        <v>5302805.6360339774</v>
      </c>
      <c r="N33" s="130">
        <v>431.99987101167818</v>
      </c>
      <c r="O33" s="130">
        <v>0</v>
      </c>
      <c r="P33" s="123">
        <v>0.88169442894946759</v>
      </c>
      <c r="Q33" s="5">
        <v>848</v>
      </c>
      <c r="R33" s="5">
        <v>840</v>
      </c>
      <c r="S33" s="5">
        <v>8</v>
      </c>
      <c r="T33" s="5">
        <v>0</v>
      </c>
      <c r="U33" s="5">
        <v>0</v>
      </c>
      <c r="V33" s="5">
        <v>0</v>
      </c>
      <c r="W33" s="5">
        <v>0</v>
      </c>
      <c r="X33" s="125">
        <v>2478.2608695652175</v>
      </c>
      <c r="Y33" s="125">
        <v>9.6842105263157896E-2</v>
      </c>
      <c r="Z33" s="125">
        <v>-2287.9995700389272</v>
      </c>
      <c r="AA33" s="112">
        <v>0</v>
      </c>
      <c r="AB33" s="112">
        <v>58.56</v>
      </c>
      <c r="AC33" s="8">
        <v>5321411.9715990089</v>
      </c>
      <c r="AD33" s="66"/>
      <c r="AE33" s="66">
        <v>26.635199999999998</v>
      </c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202" t="s">
        <v>1</v>
      </c>
      <c r="BJ33" s="203" t="s">
        <v>868</v>
      </c>
    </row>
    <row r="34" spans="1:62" ht="12.75" customHeight="1" x14ac:dyDescent="0.35">
      <c r="A34" s="108"/>
      <c r="B34" s="126" t="s">
        <v>1</v>
      </c>
      <c r="C34" s="5" t="s">
        <v>50</v>
      </c>
      <c r="D34" s="5" t="s">
        <v>320</v>
      </c>
      <c r="E34" s="5" t="s">
        <v>402</v>
      </c>
      <c r="F34" s="157">
        <v>1060791</v>
      </c>
      <c r="G34" s="158" t="s">
        <v>428</v>
      </c>
      <c r="H34" s="139">
        <v>4356.3363468516809</v>
      </c>
      <c r="I34" s="139">
        <v>784.14054243330258</v>
      </c>
      <c r="J34" s="125">
        <v>0</v>
      </c>
      <c r="K34" s="125">
        <v>4240</v>
      </c>
      <c r="L34" s="130">
        <v>763.19999999999993</v>
      </c>
      <c r="M34" s="123">
        <v>1.3717949038344681</v>
      </c>
      <c r="N34" s="130">
        <v>20.940542433302653</v>
      </c>
      <c r="O34" s="130">
        <v>26.900488760306917</v>
      </c>
      <c r="P34" s="123">
        <v>1.3891562912478188</v>
      </c>
      <c r="Q34" s="5">
        <v>1760</v>
      </c>
      <c r="R34" s="5">
        <v>1736</v>
      </c>
      <c r="S34" s="5">
        <v>24</v>
      </c>
      <c r="T34" s="5">
        <v>0</v>
      </c>
      <c r="U34" s="5">
        <v>0</v>
      </c>
      <c r="V34" s="5">
        <v>0</v>
      </c>
      <c r="W34" s="5">
        <v>400</v>
      </c>
      <c r="X34" s="125">
        <v>6495.652173913043</v>
      </c>
      <c r="Y34" s="125">
        <v>0.11084337349397591</v>
      </c>
      <c r="Z34" s="125">
        <v>-1643.6636531483191</v>
      </c>
      <c r="AA34" s="112">
        <v>29884.47</v>
      </c>
      <c r="AB34" s="112">
        <v>2908.64</v>
      </c>
      <c r="AC34" s="8">
        <v>1.377304120315731</v>
      </c>
      <c r="AD34" s="66"/>
      <c r="AE34" s="66">
        <v>5.2400270453008789E-2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202" t="s">
        <v>1</v>
      </c>
      <c r="BJ34" s="203" t="s">
        <v>811</v>
      </c>
    </row>
    <row r="35" spans="1:62" ht="12.75" customHeight="1" x14ac:dyDescent="0.35">
      <c r="A35" s="108"/>
      <c r="B35" s="126" t="s">
        <v>31</v>
      </c>
      <c r="C35" s="5" t="s">
        <v>5</v>
      </c>
      <c r="D35" s="5" t="s">
        <v>306</v>
      </c>
      <c r="E35" s="5" t="s">
        <v>307</v>
      </c>
      <c r="F35" s="142">
        <v>1076008</v>
      </c>
      <c r="G35" s="143" t="s">
        <v>654</v>
      </c>
      <c r="H35" s="139">
        <v>58293.087738524882</v>
      </c>
      <c r="I35" s="139">
        <v>29146.543869262441</v>
      </c>
      <c r="J35" s="125">
        <v>0</v>
      </c>
      <c r="K35" s="125">
        <v>34872</v>
      </c>
      <c r="L35" s="130">
        <v>17436</v>
      </c>
      <c r="M35" s="123">
        <v>0.82795408293500239</v>
      </c>
      <c r="N35" s="130">
        <v>11710.543869262441</v>
      </c>
      <c r="O35" s="130">
        <v>1.0678786686123569</v>
      </c>
      <c r="P35" s="123">
        <v>1.0400540119792074</v>
      </c>
      <c r="Q35" s="5">
        <v>13789</v>
      </c>
      <c r="R35" s="5">
        <v>13392</v>
      </c>
      <c r="S35" s="5">
        <v>397</v>
      </c>
      <c r="T35" s="5">
        <v>0</v>
      </c>
      <c r="U35" s="5">
        <v>0</v>
      </c>
      <c r="V35" s="5">
        <v>0</v>
      </c>
      <c r="W35" s="5">
        <v>840</v>
      </c>
      <c r="X35" s="125">
        <v>58293.087738524882</v>
      </c>
      <c r="Y35" s="125">
        <v>0.20431238869044999</v>
      </c>
      <c r="Z35" s="125">
        <v>9632.0877385248823</v>
      </c>
      <c r="AA35" s="112">
        <v>683777.92</v>
      </c>
      <c r="AB35" s="112">
        <v>14510.01</v>
      </c>
      <c r="AC35" s="8">
        <v>0.83476449589135071</v>
      </c>
      <c r="AD35" s="66"/>
      <c r="AE35" s="66">
        <v>20.181318524705016</v>
      </c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202" t="s">
        <v>1</v>
      </c>
      <c r="BJ35" s="203" t="s">
        <v>825</v>
      </c>
    </row>
    <row r="36" spans="1:62" ht="12.75" customHeight="1" x14ac:dyDescent="0.35">
      <c r="A36" s="108"/>
      <c r="B36" s="126" t="s">
        <v>1</v>
      </c>
      <c r="C36" s="5" t="s">
        <v>2</v>
      </c>
      <c r="D36" s="5" t="s">
        <v>310</v>
      </c>
      <c r="E36" s="5" t="s">
        <v>311</v>
      </c>
      <c r="F36" s="137">
        <v>1068804</v>
      </c>
      <c r="G36" s="138" t="s">
        <v>563</v>
      </c>
      <c r="H36" s="139">
        <v>4514.7927981083203</v>
      </c>
      <c r="I36" s="139">
        <v>2708.8756788649921</v>
      </c>
      <c r="J36" s="125">
        <v>0</v>
      </c>
      <c r="K36" s="125">
        <v>4237</v>
      </c>
      <c r="L36" s="130">
        <v>2542.1999999999998</v>
      </c>
      <c r="M36" s="123">
        <v>1.0660511379429478</v>
      </c>
      <c r="N36" s="130">
        <v>166.67567886499228</v>
      </c>
      <c r="O36" s="130">
        <v>5.974190824647442</v>
      </c>
      <c r="P36" s="123">
        <v>1.2014089277083864</v>
      </c>
      <c r="Q36" s="5">
        <v>651</v>
      </c>
      <c r="R36" s="5">
        <v>576</v>
      </c>
      <c r="S36" s="5">
        <v>75</v>
      </c>
      <c r="T36" s="5">
        <v>0</v>
      </c>
      <c r="U36" s="5">
        <v>0</v>
      </c>
      <c r="V36" s="5">
        <v>0</v>
      </c>
      <c r="W36" s="5">
        <v>160</v>
      </c>
      <c r="X36" s="125">
        <v>5231.521739130435</v>
      </c>
      <c r="Y36" s="125">
        <v>0.43008518595470596</v>
      </c>
      <c r="Z36" s="125">
        <v>-373.20720189167969</v>
      </c>
      <c r="AA36" s="112">
        <v>35666.86</v>
      </c>
      <c r="AB36" s="112">
        <v>1856.5</v>
      </c>
      <c r="AC36" s="8">
        <v>1.0826631959827817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204" t="s">
        <v>1</v>
      </c>
      <c r="BJ36" s="189" t="s">
        <v>863</v>
      </c>
    </row>
    <row r="37" spans="1:62" ht="12.75" customHeight="1" x14ac:dyDescent="0.35">
      <c r="A37" s="108"/>
      <c r="B37" s="126" t="s">
        <v>1</v>
      </c>
      <c r="C37" s="5" t="s">
        <v>17</v>
      </c>
      <c r="D37" s="5" t="s">
        <v>312</v>
      </c>
      <c r="E37" s="5" t="s">
        <v>398</v>
      </c>
      <c r="F37" s="5">
        <v>1067656</v>
      </c>
      <c r="G37" s="7" t="s">
        <v>536</v>
      </c>
      <c r="H37" s="139">
        <v>13935.977857518501</v>
      </c>
      <c r="I37" s="139">
        <v>1672.3173429022202</v>
      </c>
      <c r="J37" s="125">
        <v>0</v>
      </c>
      <c r="K37" s="125">
        <v>12870</v>
      </c>
      <c r="L37" s="130">
        <v>1544.3999999999999</v>
      </c>
      <c r="M37" s="123">
        <v>1.2541638755956093</v>
      </c>
      <c r="N37" s="130">
        <v>127.9173429022203</v>
      </c>
      <c r="O37" s="130">
        <v>29.956857994930925</v>
      </c>
      <c r="P37" s="123">
        <v>2.0458342921882888</v>
      </c>
      <c r="Q37" s="5">
        <v>5504</v>
      </c>
      <c r="R37" s="5">
        <v>4608</v>
      </c>
      <c r="S37" s="5">
        <v>896</v>
      </c>
      <c r="T37" s="5">
        <v>0</v>
      </c>
      <c r="U37" s="5">
        <v>0</v>
      </c>
      <c r="V37" s="5">
        <v>0</v>
      </c>
      <c r="W37" s="5">
        <v>0</v>
      </c>
      <c r="X37" s="125">
        <v>18997.82608695652</v>
      </c>
      <c r="Y37" s="125">
        <v>1.4148987298317885</v>
      </c>
      <c r="Z37" s="125">
        <v>-4438.022142481499</v>
      </c>
      <c r="AA37" s="112">
        <v>17419.97</v>
      </c>
      <c r="AB37" s="112">
        <v>1120</v>
      </c>
      <c r="AC37" s="8">
        <v>1.3184578927905783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202" t="s">
        <v>1</v>
      </c>
      <c r="BJ37" s="203" t="s">
        <v>805</v>
      </c>
    </row>
    <row r="38" spans="1:62" ht="12.75" customHeight="1" x14ac:dyDescent="0.35">
      <c r="A38" s="108"/>
      <c r="B38" s="126" t="s">
        <v>9</v>
      </c>
      <c r="C38" s="5" t="s">
        <v>5</v>
      </c>
      <c r="D38" s="127" t="s">
        <v>308</v>
      </c>
      <c r="E38" s="5" t="s">
        <v>397</v>
      </c>
      <c r="F38" s="56">
        <v>1074164</v>
      </c>
      <c r="G38" s="65" t="s">
        <v>700</v>
      </c>
      <c r="H38" s="139">
        <v>5976.205846883262</v>
      </c>
      <c r="I38" s="139">
        <v>5976.205846883262</v>
      </c>
      <c r="J38" s="125">
        <v>0</v>
      </c>
      <c r="K38" s="125">
        <v>7499</v>
      </c>
      <c r="L38" s="130">
        <v>7499</v>
      </c>
      <c r="M38" s="123">
        <v>1.3255902160953035</v>
      </c>
      <c r="N38" s="130">
        <v>1522.794153116738</v>
      </c>
      <c r="O38" s="130">
        <v>15.226878438098673</v>
      </c>
      <c r="P38" s="123">
        <v>1.4202582684273939</v>
      </c>
      <c r="Q38" s="5">
        <v>896</v>
      </c>
      <c r="R38" s="5">
        <v>423</v>
      </c>
      <c r="S38" s="5">
        <v>417</v>
      </c>
      <c r="T38" s="5">
        <v>0</v>
      </c>
      <c r="U38" s="5">
        <v>5</v>
      </c>
      <c r="V38" s="5">
        <v>4950</v>
      </c>
      <c r="W38" s="5">
        <v>21</v>
      </c>
      <c r="X38" s="125">
        <v>8610.8695652173919</v>
      </c>
      <c r="Y38" s="125">
        <v>1.4528149457207775</v>
      </c>
      <c r="Z38" s="125">
        <v>-2418.794153116738</v>
      </c>
      <c r="AA38" s="112">
        <v>64662.55</v>
      </c>
      <c r="AB38" s="112">
        <v>58352.26</v>
      </c>
      <c r="AC38" s="8">
        <v>1.4047374228881688</v>
      </c>
      <c r="AD38" s="67"/>
      <c r="AE38" s="66">
        <v>3.8736178813458575</v>
      </c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202" t="s">
        <v>1</v>
      </c>
      <c r="BJ38" s="203" t="s">
        <v>869</v>
      </c>
    </row>
    <row r="39" spans="1:62" ht="12.75" customHeight="1" x14ac:dyDescent="0.35">
      <c r="A39" s="108"/>
      <c r="B39" s="126" t="s">
        <v>1</v>
      </c>
      <c r="C39" s="5" t="s">
        <v>2</v>
      </c>
      <c r="D39" s="127" t="s">
        <v>310</v>
      </c>
      <c r="E39" s="5" t="s">
        <v>311</v>
      </c>
      <c r="F39" s="5">
        <v>1068805</v>
      </c>
      <c r="G39" s="3" t="s">
        <v>564</v>
      </c>
      <c r="H39" s="139">
        <v>104118.45851353162</v>
      </c>
      <c r="I39" s="139">
        <v>18741.32253243569</v>
      </c>
      <c r="J39" s="125">
        <v>0</v>
      </c>
      <c r="K39" s="125">
        <v>138730</v>
      </c>
      <c r="L39" s="130">
        <v>24971.399999999998</v>
      </c>
      <c r="M39" s="123">
        <v>1.3381296841029675</v>
      </c>
      <c r="N39" s="130">
        <v>6230.0774675643079</v>
      </c>
      <c r="O39" s="130">
        <v>11.907400020130657</v>
      </c>
      <c r="P39" s="123">
        <v>2.425034564222349</v>
      </c>
      <c r="Q39" s="5">
        <v>8788</v>
      </c>
      <c r="R39" s="5">
        <v>594</v>
      </c>
      <c r="S39" s="5">
        <v>8194</v>
      </c>
      <c r="T39" s="5">
        <v>0</v>
      </c>
      <c r="U39" s="5">
        <v>0</v>
      </c>
      <c r="V39" s="5">
        <v>0</v>
      </c>
      <c r="W39" s="5">
        <v>6710</v>
      </c>
      <c r="X39" s="125">
        <v>151439.13043478259</v>
      </c>
      <c r="Y39" s="125">
        <v>1.6232264362206081</v>
      </c>
      <c r="Z39" s="125">
        <v>-43399.541486468384</v>
      </c>
      <c r="AA39" s="112">
        <v>196783.89</v>
      </c>
      <c r="AB39" s="112">
        <v>28168.560000000001</v>
      </c>
      <c r="AC39" s="8">
        <v>1.4168285057814991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204"/>
      <c r="BJ39" s="190" t="s">
        <v>859</v>
      </c>
    </row>
    <row r="40" spans="1:62" ht="12.75" customHeight="1" x14ac:dyDescent="0.35">
      <c r="A40" s="108"/>
      <c r="B40" s="126" t="s">
        <v>1</v>
      </c>
      <c r="C40" s="5" t="s">
        <v>2</v>
      </c>
      <c r="D40" s="127" t="s">
        <v>396</v>
      </c>
      <c r="E40" s="5" t="s">
        <v>397</v>
      </c>
      <c r="F40" s="56">
        <v>1043304</v>
      </c>
      <c r="G40" s="65" t="s">
        <v>123</v>
      </c>
      <c r="H40" s="139">
        <v>601</v>
      </c>
      <c r="I40" s="139">
        <v>601</v>
      </c>
      <c r="J40" s="125">
        <v>0</v>
      </c>
      <c r="K40" s="125">
        <v>1149</v>
      </c>
      <c r="L40" s="130">
        <v>1149</v>
      </c>
      <c r="M40" s="123">
        <v>2.1963394342762061</v>
      </c>
      <c r="N40" s="130">
        <v>548</v>
      </c>
      <c r="O40" s="130">
        <v>0</v>
      </c>
      <c r="P40" s="123">
        <v>0.81105169340463457</v>
      </c>
      <c r="Q40" s="5">
        <v>271</v>
      </c>
      <c r="R40" s="5">
        <v>171</v>
      </c>
      <c r="S40" s="5">
        <v>100</v>
      </c>
      <c r="T40" s="5">
        <v>0</v>
      </c>
      <c r="U40" s="5">
        <v>0</v>
      </c>
      <c r="V40" s="5">
        <v>0</v>
      </c>
      <c r="W40" s="5">
        <v>18</v>
      </c>
      <c r="X40" s="125">
        <v>1434.7826086956518</v>
      </c>
      <c r="Y40" s="125">
        <v>2.0909090909090913</v>
      </c>
      <c r="Z40" s="125">
        <v>-819</v>
      </c>
      <c r="AA40" s="112">
        <v>20584.25</v>
      </c>
      <c r="AB40" s="112">
        <v>4041.5</v>
      </c>
      <c r="AC40" s="8">
        <v>2.3627287853577368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204" t="s">
        <v>1</v>
      </c>
      <c r="BJ40" s="205"/>
    </row>
    <row r="41" spans="1:62" ht="12.75" customHeight="1" x14ac:dyDescent="0.35">
      <c r="A41" s="108"/>
      <c r="B41" s="126" t="s">
        <v>4</v>
      </c>
      <c r="C41" s="5" t="s">
        <v>5</v>
      </c>
      <c r="D41" s="127" t="s">
        <v>308</v>
      </c>
      <c r="E41" s="5" t="s">
        <v>315</v>
      </c>
      <c r="F41" s="5">
        <v>1071156</v>
      </c>
      <c r="G41" s="7" t="s">
        <v>616</v>
      </c>
      <c r="H41" s="139">
        <v>20791.460951874975</v>
      </c>
      <c r="I41" s="139">
        <v>3742.4629713374952</v>
      </c>
      <c r="J41" s="125">
        <v>0</v>
      </c>
      <c r="K41" s="125">
        <v>19901</v>
      </c>
      <c r="L41" s="130">
        <v>3582.18</v>
      </c>
      <c r="M41" s="123">
        <v>1.2238197238229847</v>
      </c>
      <c r="N41" s="130">
        <v>160.28297133749538</v>
      </c>
      <c r="O41" s="130">
        <v>0</v>
      </c>
      <c r="P41" s="123">
        <v>0.85116539478833553</v>
      </c>
      <c r="Q41" s="5">
        <v>7934</v>
      </c>
      <c r="R41" s="5">
        <v>5544</v>
      </c>
      <c r="S41" s="5">
        <v>2390</v>
      </c>
      <c r="T41" s="5">
        <v>0</v>
      </c>
      <c r="U41" s="5">
        <v>0</v>
      </c>
      <c r="V41" s="5">
        <v>0</v>
      </c>
      <c r="W41" s="5">
        <v>1440</v>
      </c>
      <c r="X41" s="125">
        <v>27657.608695652179</v>
      </c>
      <c r="Y41" s="125">
        <v>2.5924150127726464</v>
      </c>
      <c r="Z41" s="125">
        <v>-7043.5390481250251</v>
      </c>
      <c r="AA41" s="112">
        <v>80047.12</v>
      </c>
      <c r="AB41" s="112">
        <v>14745.5</v>
      </c>
      <c r="AC41" s="8">
        <v>1.338770760959433</v>
      </c>
      <c r="AD41" s="67"/>
      <c r="AE41" s="66">
        <v>25.413523318326849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202" t="s">
        <v>1</v>
      </c>
      <c r="BJ41" s="203"/>
    </row>
    <row r="42" spans="1:62" ht="12.75" customHeight="1" x14ac:dyDescent="0.35">
      <c r="A42" s="108"/>
      <c r="B42" s="126" t="s">
        <v>31</v>
      </c>
      <c r="C42" s="5" t="s">
        <v>5</v>
      </c>
      <c r="D42" s="5" t="s">
        <v>306</v>
      </c>
      <c r="E42" s="5" t="s">
        <v>307</v>
      </c>
      <c r="F42" s="5">
        <v>1077101</v>
      </c>
      <c r="G42" s="7" t="s">
        <v>677</v>
      </c>
      <c r="H42" s="139">
        <v>75671.119383450496</v>
      </c>
      <c r="I42" s="139">
        <v>3026.8447753380201</v>
      </c>
      <c r="J42" s="125">
        <v>0</v>
      </c>
      <c r="K42" s="125">
        <v>108900</v>
      </c>
      <c r="L42" s="130">
        <v>4356</v>
      </c>
      <c r="M42" s="123">
        <v>1.439122361176763</v>
      </c>
      <c r="N42" s="130">
        <v>1329.1552246619799</v>
      </c>
      <c r="O42" s="130">
        <v>0</v>
      </c>
      <c r="P42" s="123">
        <v>0.96853634681396561</v>
      </c>
      <c r="Q42" s="5">
        <v>12390</v>
      </c>
      <c r="R42" s="5">
        <v>0</v>
      </c>
      <c r="S42" s="5">
        <v>12390</v>
      </c>
      <c r="T42" s="5">
        <v>0</v>
      </c>
      <c r="U42" s="5">
        <v>0</v>
      </c>
      <c r="V42" s="5">
        <v>0</v>
      </c>
      <c r="W42" s="5">
        <v>0</v>
      </c>
      <c r="X42" s="125">
        <v>118369.56521739128</v>
      </c>
      <c r="Y42" s="125">
        <v>3.1401652892561991</v>
      </c>
      <c r="Z42" s="125">
        <v>-45618.880616549504</v>
      </c>
      <c r="AA42" s="112">
        <v>67347.3</v>
      </c>
      <c r="AB42" s="112">
        <v>11027.1</v>
      </c>
      <c r="AC42" s="8">
        <v>1.6028572193492159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204" t="s">
        <v>1</v>
      </c>
      <c r="BJ42" s="203"/>
    </row>
    <row r="43" spans="1:62" ht="12.5" customHeight="1" x14ac:dyDescent="0.35">
      <c r="A43" s="108"/>
      <c r="B43" s="126" t="s">
        <v>31</v>
      </c>
      <c r="C43" s="5" t="s">
        <v>5</v>
      </c>
      <c r="D43" s="5" t="s">
        <v>306</v>
      </c>
      <c r="E43" s="5" t="s">
        <v>307</v>
      </c>
      <c r="F43" s="5">
        <v>1071168</v>
      </c>
      <c r="G43" s="141" t="s">
        <v>594</v>
      </c>
      <c r="H43" s="139">
        <v>272616.78999639739</v>
      </c>
      <c r="I43" s="139">
        <v>10904.671599855896</v>
      </c>
      <c r="J43" s="125">
        <v>0</v>
      </c>
      <c r="K43" s="125">
        <v>217379</v>
      </c>
      <c r="L43" s="130">
        <v>8695.16</v>
      </c>
      <c r="M43" s="123">
        <v>1.0421184990247825</v>
      </c>
      <c r="N43" s="130">
        <v>2209.5115998558958</v>
      </c>
      <c r="O43" s="130">
        <v>1.4395472413800994</v>
      </c>
      <c r="P43" s="123">
        <v>1.0496855739583215</v>
      </c>
      <c r="Q43" s="5">
        <v>102275</v>
      </c>
      <c r="R43" s="5">
        <v>66720</v>
      </c>
      <c r="S43" s="5">
        <v>35555</v>
      </c>
      <c r="T43" s="5">
        <v>0</v>
      </c>
      <c r="U43" s="5">
        <v>0</v>
      </c>
      <c r="V43" s="5">
        <v>0</v>
      </c>
      <c r="W43" s="5">
        <v>13200</v>
      </c>
      <c r="X43" s="125">
        <v>308803.26086956525</v>
      </c>
      <c r="Y43" s="125">
        <v>3.4541409860647168</v>
      </c>
      <c r="Z43" s="125">
        <v>-47037.21000360261</v>
      </c>
      <c r="AA43" s="112">
        <v>234450.44</v>
      </c>
      <c r="AB43" s="112">
        <v>41929.300000000003</v>
      </c>
      <c r="AC43" s="8">
        <v>1.1725396664094834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204"/>
      <c r="BJ43" s="203" t="s">
        <v>819</v>
      </c>
    </row>
    <row r="44" spans="1:62" ht="12.5" customHeight="1" x14ac:dyDescent="0.35">
      <c r="A44" s="108"/>
      <c r="B44" s="126" t="s">
        <v>1</v>
      </c>
      <c r="C44" s="5" t="s">
        <v>2</v>
      </c>
      <c r="D44" s="5" t="s">
        <v>306</v>
      </c>
      <c r="E44" s="5" t="s">
        <v>401</v>
      </c>
      <c r="F44" s="5">
        <v>1077615</v>
      </c>
      <c r="G44" s="7" t="s">
        <v>725</v>
      </c>
      <c r="H44" s="139">
        <v>1965.6255445056102</v>
      </c>
      <c r="I44" s="139">
        <v>1081.0940494780857</v>
      </c>
      <c r="J44" s="125">
        <v>0</v>
      </c>
      <c r="K44" s="125">
        <v>5004</v>
      </c>
      <c r="L44" s="130">
        <v>2752.2000000000003</v>
      </c>
      <c r="M44" s="123">
        <v>3.2905555272618403</v>
      </c>
      <c r="N44" s="130">
        <v>1671.1059505219146</v>
      </c>
      <c r="O44" s="130">
        <v>0</v>
      </c>
      <c r="P44" s="123">
        <v>0.79817852978532255</v>
      </c>
      <c r="Q44" s="5">
        <v>2472</v>
      </c>
      <c r="R44" s="5">
        <v>1464</v>
      </c>
      <c r="S44" s="5">
        <v>1008</v>
      </c>
      <c r="T44" s="5">
        <v>0</v>
      </c>
      <c r="U44" s="5">
        <v>0</v>
      </c>
      <c r="V44" s="5">
        <v>0</v>
      </c>
      <c r="W44" s="5">
        <v>12</v>
      </c>
      <c r="X44" s="125">
        <v>7030.434782608696</v>
      </c>
      <c r="Y44" s="125">
        <v>4.3012987012987018</v>
      </c>
      <c r="Z44" s="125">
        <v>-5510.3744554943896</v>
      </c>
      <c r="AA44" s="112">
        <v>12501.38</v>
      </c>
      <c r="AB44" s="112">
        <v>6487.2</v>
      </c>
      <c r="AC44" s="8">
        <v>3.803369375666283</v>
      </c>
      <c r="AD44" s="66"/>
      <c r="AE44" s="66">
        <v>532.11500000000001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202" t="s">
        <v>1</v>
      </c>
      <c r="BJ44" s="203" t="s">
        <v>831</v>
      </c>
    </row>
    <row r="45" spans="1:62" ht="12.75" customHeight="1" x14ac:dyDescent="0.35">
      <c r="A45" s="108"/>
      <c r="B45" s="126" t="s">
        <v>4</v>
      </c>
      <c r="C45" s="5" t="s">
        <v>5</v>
      </c>
      <c r="D45" s="5" t="s">
        <v>308</v>
      </c>
      <c r="E45" s="5" t="s">
        <v>314</v>
      </c>
      <c r="F45" s="5">
        <v>1075503</v>
      </c>
      <c r="G45" s="7" t="s">
        <v>643</v>
      </c>
      <c r="H45" s="139">
        <v>202763</v>
      </c>
      <c r="I45" s="139">
        <v>40552.600000000006</v>
      </c>
      <c r="J45" s="125">
        <v>0</v>
      </c>
      <c r="K45" s="125">
        <v>240318</v>
      </c>
      <c r="L45" s="130">
        <v>48063.600000000006</v>
      </c>
      <c r="M45" s="123">
        <v>1.6247195001060351</v>
      </c>
      <c r="N45" s="130">
        <v>7511</v>
      </c>
      <c r="O45" s="130">
        <v>5.2169281377766143</v>
      </c>
      <c r="P45" s="123">
        <v>1.176954732510288</v>
      </c>
      <c r="Q45" s="5">
        <v>156021</v>
      </c>
      <c r="R45" s="5">
        <v>89115</v>
      </c>
      <c r="S45" s="5">
        <v>66906</v>
      </c>
      <c r="T45" s="5">
        <v>0</v>
      </c>
      <c r="U45" s="5">
        <v>2520</v>
      </c>
      <c r="V45" s="5">
        <v>0</v>
      </c>
      <c r="W45" s="5">
        <v>1</v>
      </c>
      <c r="X45" s="125">
        <v>358079.34782608697</v>
      </c>
      <c r="Y45" s="125">
        <v>5.6054056515285353</v>
      </c>
      <c r="Z45" s="125">
        <v>-193576</v>
      </c>
      <c r="AA45" s="112">
        <v>470410.16</v>
      </c>
      <c r="AB45" s="112">
        <v>161070.64000000001</v>
      </c>
      <c r="AC45" s="8">
        <v>1.9546909446003462</v>
      </c>
      <c r="AD45" s="66"/>
      <c r="AE45" s="66">
        <v>70.03012048192771</v>
      </c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202" t="s">
        <v>1</v>
      </c>
      <c r="BJ45" s="205" t="s">
        <v>817</v>
      </c>
    </row>
    <row r="46" spans="1:62" ht="12.75" customHeight="1" x14ac:dyDescent="0.35">
      <c r="A46" s="108"/>
      <c r="B46" s="126" t="s">
        <v>21</v>
      </c>
      <c r="C46" s="5" t="s">
        <v>5</v>
      </c>
      <c r="D46" s="5" t="s">
        <v>396</v>
      </c>
      <c r="E46" s="5" t="s">
        <v>307</v>
      </c>
      <c r="F46" s="5">
        <v>1082268</v>
      </c>
      <c r="G46" s="7" t="s">
        <v>773</v>
      </c>
      <c r="H46" s="139">
        <v>7039.3264876644344</v>
      </c>
      <c r="I46" s="139">
        <v>1407.8652975328869</v>
      </c>
      <c r="J46" s="125">
        <v>0</v>
      </c>
      <c r="K46" s="125">
        <v>7744</v>
      </c>
      <c r="L46" s="130">
        <v>1548.8000000000002</v>
      </c>
      <c r="M46" s="123">
        <v>1.2046607036710359</v>
      </c>
      <c r="N46" s="130">
        <v>140.93470246711331</v>
      </c>
      <c r="O46" s="130">
        <v>8.4375791281848027</v>
      </c>
      <c r="P46" s="123">
        <v>1.2478451170772349</v>
      </c>
      <c r="Q46" s="5">
        <v>2460</v>
      </c>
      <c r="R46" s="5">
        <v>736</v>
      </c>
      <c r="S46" s="5">
        <v>1724</v>
      </c>
      <c r="T46" s="5">
        <v>0</v>
      </c>
      <c r="U46" s="5">
        <v>0</v>
      </c>
      <c r="V46" s="5">
        <v>0</v>
      </c>
      <c r="W46" s="5">
        <v>0</v>
      </c>
      <c r="X46" s="125">
        <v>9217.391304347826</v>
      </c>
      <c r="Y46" s="125">
        <v>5.6111320754716987</v>
      </c>
      <c r="Z46" s="125">
        <v>-3164.6735123355656</v>
      </c>
      <c r="AA46" s="112">
        <v>16964.78</v>
      </c>
      <c r="AB46" s="112">
        <v>4154.84</v>
      </c>
      <c r="AC46" s="8">
        <v>1.4495704976720816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202" t="s">
        <v>1</v>
      </c>
      <c r="BJ46" s="203"/>
    </row>
    <row r="47" spans="1:62" ht="12.5" customHeight="1" x14ac:dyDescent="0.35">
      <c r="A47" s="108"/>
      <c r="B47" s="126">
        <v>0</v>
      </c>
      <c r="C47" s="5" t="s">
        <v>2</v>
      </c>
      <c r="D47" s="5" t="s">
        <v>310</v>
      </c>
      <c r="E47" s="5" t="s">
        <v>311</v>
      </c>
      <c r="F47" s="164">
        <v>1080745</v>
      </c>
      <c r="G47" s="169" t="s">
        <v>788</v>
      </c>
      <c r="H47" s="139">
        <v>2233.2553376057795</v>
      </c>
      <c r="I47" s="139">
        <v>1071.9625620507741</v>
      </c>
      <c r="J47" s="125">
        <v>0</v>
      </c>
      <c r="K47" s="125">
        <v>2671</v>
      </c>
      <c r="L47" s="130">
        <v>1282.08</v>
      </c>
      <c r="M47" s="123">
        <v>1.4216914414291035</v>
      </c>
      <c r="N47" s="130">
        <v>210.11743794922586</v>
      </c>
      <c r="O47" s="130">
        <v>0</v>
      </c>
      <c r="P47" s="123">
        <v>0.20136375723566322</v>
      </c>
      <c r="Q47" s="5">
        <v>1206</v>
      </c>
      <c r="R47" s="5">
        <v>504</v>
      </c>
      <c r="S47" s="5">
        <v>702</v>
      </c>
      <c r="T47" s="5">
        <v>0</v>
      </c>
      <c r="U47" s="5">
        <v>0</v>
      </c>
      <c r="V47" s="5">
        <v>0</v>
      </c>
      <c r="W47" s="5">
        <v>0</v>
      </c>
      <c r="X47" s="125">
        <v>3451.0869565217386</v>
      </c>
      <c r="Y47" s="125">
        <v>6.1024251968503949</v>
      </c>
      <c r="Z47" s="125">
        <v>-1643.7446623942205</v>
      </c>
      <c r="AA47" s="112">
        <v>51119.21</v>
      </c>
      <c r="AB47" s="112">
        <v>16068.78</v>
      </c>
      <c r="AC47" s="8">
        <v>1.7360307774553179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204" t="s">
        <v>1</v>
      </c>
      <c r="BJ47" s="203" t="s">
        <v>837</v>
      </c>
    </row>
    <row r="48" spans="1:62" ht="12.5" customHeight="1" x14ac:dyDescent="0.35">
      <c r="A48" s="108"/>
      <c r="B48" s="126" t="s">
        <v>15</v>
      </c>
      <c r="C48" s="5" t="s">
        <v>5</v>
      </c>
      <c r="D48" s="5" t="s">
        <v>308</v>
      </c>
      <c r="E48" s="5" t="s">
        <v>315</v>
      </c>
      <c r="F48" s="5">
        <v>1073436</v>
      </c>
      <c r="G48" s="7" t="s">
        <v>635</v>
      </c>
      <c r="H48" s="139">
        <v>16498.144551109086</v>
      </c>
      <c r="I48" s="139">
        <v>3695.5843794484354</v>
      </c>
      <c r="J48" s="125">
        <v>0</v>
      </c>
      <c r="K48" s="125">
        <v>27232</v>
      </c>
      <c r="L48" s="130">
        <v>6099.9679999999998</v>
      </c>
      <c r="M48" s="123">
        <v>1.6845530667951194</v>
      </c>
      <c r="N48" s="130">
        <v>2404.3836205515645</v>
      </c>
      <c r="O48" s="130">
        <v>1.520170524063567</v>
      </c>
      <c r="P48" s="123">
        <v>1.0614163792276177</v>
      </c>
      <c r="Q48" s="5">
        <v>6858</v>
      </c>
      <c r="R48" s="5">
        <v>560</v>
      </c>
      <c r="S48" s="5">
        <v>6298</v>
      </c>
      <c r="T48" s="5">
        <v>0</v>
      </c>
      <c r="U48" s="5">
        <v>0</v>
      </c>
      <c r="V48" s="5">
        <v>0</v>
      </c>
      <c r="W48" s="5">
        <v>0</v>
      </c>
      <c r="X48" s="125">
        <v>30208.695652173912</v>
      </c>
      <c r="Y48" s="125">
        <v>6.2544905008635583</v>
      </c>
      <c r="Z48" s="125">
        <v>-17591.855448890914</v>
      </c>
      <c r="AA48" s="112">
        <v>73251.759999999995</v>
      </c>
      <c r="AB48" s="112">
        <v>27963.119999999999</v>
      </c>
      <c r="AC48" s="8">
        <v>2.0662929636962302</v>
      </c>
      <c r="AD48" s="66"/>
      <c r="AE48" s="66">
        <v>24.623909411546315</v>
      </c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202" t="s">
        <v>1</v>
      </c>
      <c r="BJ48" s="206" t="s">
        <v>861</v>
      </c>
    </row>
    <row r="49" spans="1:62" ht="12.75" customHeight="1" x14ac:dyDescent="0.3">
      <c r="A49" s="108"/>
      <c r="B49" s="126" t="s">
        <v>27</v>
      </c>
      <c r="C49" s="5" t="s">
        <v>5</v>
      </c>
      <c r="D49" s="5" t="s">
        <v>312</v>
      </c>
      <c r="E49" s="5" t="s">
        <v>313</v>
      </c>
      <c r="F49" s="135">
        <v>1083381</v>
      </c>
      <c r="G49" s="188" t="s">
        <v>790</v>
      </c>
      <c r="H49" s="139">
        <v>64087.669628116921</v>
      </c>
      <c r="I49" s="139">
        <v>14611.988675210658</v>
      </c>
      <c r="J49" s="125">
        <v>0</v>
      </c>
      <c r="K49" s="125">
        <v>0</v>
      </c>
      <c r="L49" s="130">
        <v>0</v>
      </c>
      <c r="M49" s="123">
        <v>0</v>
      </c>
      <c r="N49" s="130">
        <v>14611.988675210658</v>
      </c>
      <c r="O49" s="130">
        <v>0</v>
      </c>
      <c r="P49" s="123">
        <v>0</v>
      </c>
      <c r="Q49" s="5">
        <v>13968</v>
      </c>
      <c r="R49" s="5">
        <v>0</v>
      </c>
      <c r="S49" s="5">
        <v>13968</v>
      </c>
      <c r="T49" s="5">
        <v>0</v>
      </c>
      <c r="U49" s="5">
        <v>0</v>
      </c>
      <c r="V49" s="5">
        <v>0</v>
      </c>
      <c r="W49" s="5">
        <v>0</v>
      </c>
      <c r="X49" s="125">
        <v>64087.669628116921</v>
      </c>
      <c r="Y49" s="125">
        <v>6.5385432553808496</v>
      </c>
      <c r="Z49" s="125">
        <v>50119.669628116921</v>
      </c>
      <c r="AA49" s="112">
        <v>228152.1</v>
      </c>
      <c r="AB49" s="112">
        <v>49726.080000000002</v>
      </c>
      <c r="AC49" s="8">
        <v>0.21795144184602833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204" t="s">
        <v>1</v>
      </c>
      <c r="BJ49" s="203" t="s">
        <v>810</v>
      </c>
    </row>
    <row r="50" spans="1:62" ht="12.75" customHeight="1" x14ac:dyDescent="0.35">
      <c r="A50" s="108"/>
      <c r="B50" s="126" t="s">
        <v>27</v>
      </c>
      <c r="C50" s="5" t="s">
        <v>5</v>
      </c>
      <c r="D50" s="5" t="s">
        <v>312</v>
      </c>
      <c r="E50" s="5" t="s">
        <v>313</v>
      </c>
      <c r="F50" s="157">
        <v>1072351</v>
      </c>
      <c r="G50" s="158" t="s">
        <v>595</v>
      </c>
      <c r="H50" s="139">
        <v>276977.30337988958</v>
      </c>
      <c r="I50" s="139">
        <v>63150.825170614829</v>
      </c>
      <c r="J50" s="125">
        <v>0</v>
      </c>
      <c r="K50" s="125">
        <v>330681</v>
      </c>
      <c r="L50" s="130">
        <v>75395.267999999996</v>
      </c>
      <c r="M50" s="123">
        <v>1.2533554040847288</v>
      </c>
      <c r="N50" s="130">
        <v>12244.442829385167</v>
      </c>
      <c r="O50" s="130">
        <v>0</v>
      </c>
      <c r="P50" s="123">
        <v>0.66012105764044438</v>
      </c>
      <c r="Q50" s="5">
        <v>101668</v>
      </c>
      <c r="R50" s="5">
        <v>16470</v>
      </c>
      <c r="S50" s="5">
        <v>85198</v>
      </c>
      <c r="T50" s="5">
        <v>5394</v>
      </c>
      <c r="U50" s="5">
        <v>0</v>
      </c>
      <c r="V50" s="5">
        <v>0</v>
      </c>
      <c r="W50" s="5">
        <v>7500</v>
      </c>
      <c r="X50" s="125">
        <v>377338.04347826086</v>
      </c>
      <c r="Y50" s="125">
        <v>6.7736080264783913</v>
      </c>
      <c r="Z50" s="125">
        <v>-160765.69662011042</v>
      </c>
      <c r="AA50" s="112">
        <v>531796.42000000004</v>
      </c>
      <c r="AB50" s="112">
        <v>188336.64000000001</v>
      </c>
      <c r="AC50" s="8">
        <v>1.5804291350169275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204"/>
      <c r="BJ50" s="203"/>
    </row>
    <row r="51" spans="1:62" ht="12.5" customHeight="1" x14ac:dyDescent="0.35">
      <c r="A51" s="108"/>
      <c r="B51" s="126" t="s">
        <v>8</v>
      </c>
      <c r="C51" s="5" t="s">
        <v>5</v>
      </c>
      <c r="D51" s="5" t="s">
        <v>308</v>
      </c>
      <c r="E51" s="5" t="s">
        <v>309</v>
      </c>
      <c r="F51" s="5">
        <v>1079778</v>
      </c>
      <c r="G51" s="7" t="s">
        <v>749</v>
      </c>
      <c r="H51" s="139">
        <v>3659.2680447107432</v>
      </c>
      <c r="I51" s="139">
        <v>1053.8691968766939</v>
      </c>
      <c r="J51" s="125">
        <v>0</v>
      </c>
      <c r="K51" s="125">
        <v>4615</v>
      </c>
      <c r="L51" s="130">
        <v>1329.12</v>
      </c>
      <c r="M51" s="123">
        <v>1.5366461082641147</v>
      </c>
      <c r="N51" s="130">
        <v>275.25080312330601</v>
      </c>
      <c r="O51" s="130">
        <v>0</v>
      </c>
      <c r="P51" s="123">
        <v>0.94454963410328419</v>
      </c>
      <c r="Q51" s="5">
        <v>2391</v>
      </c>
      <c r="R51" s="5">
        <v>1008</v>
      </c>
      <c r="S51" s="5">
        <v>1383</v>
      </c>
      <c r="T51" s="5">
        <v>0</v>
      </c>
      <c r="U51" s="5">
        <v>0</v>
      </c>
      <c r="V51" s="5">
        <v>0</v>
      </c>
      <c r="W51" s="5">
        <v>270</v>
      </c>
      <c r="X51" s="125">
        <v>6111.95652173913</v>
      </c>
      <c r="Y51" s="125">
        <v>6.7883336297350176</v>
      </c>
      <c r="Z51" s="125">
        <v>-3346.7319552892568</v>
      </c>
      <c r="AA51" s="112">
        <v>39483.5</v>
      </c>
      <c r="AB51" s="112">
        <v>17835.87</v>
      </c>
      <c r="AC51" s="8">
        <v>1.9145905449934888</v>
      </c>
      <c r="AD51" s="66"/>
      <c r="AE51" s="66">
        <v>10.101209577882004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202" t="s">
        <v>1</v>
      </c>
      <c r="BJ51" s="203"/>
    </row>
    <row r="52" spans="1:62" ht="12.5" customHeight="1" x14ac:dyDescent="0.35">
      <c r="A52" s="108"/>
      <c r="B52" s="126" t="s">
        <v>1</v>
      </c>
      <c r="C52" s="5" t="s">
        <v>2</v>
      </c>
      <c r="D52" s="5" t="s">
        <v>310</v>
      </c>
      <c r="E52" s="5" t="s">
        <v>311</v>
      </c>
      <c r="F52" s="5">
        <v>1078888</v>
      </c>
      <c r="G52" s="7" t="s">
        <v>717</v>
      </c>
      <c r="H52" s="139">
        <v>12360</v>
      </c>
      <c r="I52" s="139">
        <v>1236</v>
      </c>
      <c r="J52" s="125">
        <v>0</v>
      </c>
      <c r="K52" s="125">
        <v>17064</v>
      </c>
      <c r="L52" s="130">
        <v>1706.4</v>
      </c>
      <c r="M52" s="123">
        <v>1.5825242718446602</v>
      </c>
      <c r="N52" s="130">
        <v>470.40000000000009</v>
      </c>
      <c r="O52" s="130">
        <v>12.832524271844658</v>
      </c>
      <c r="P52" s="123">
        <v>1.4051340996168582</v>
      </c>
      <c r="Q52" s="5">
        <v>7343</v>
      </c>
      <c r="R52" s="5">
        <v>2496</v>
      </c>
      <c r="S52" s="5">
        <v>4847</v>
      </c>
      <c r="T52" s="5">
        <v>0</v>
      </c>
      <c r="U52" s="5">
        <v>0</v>
      </c>
      <c r="V52" s="5">
        <v>0</v>
      </c>
      <c r="W52" s="5">
        <v>19579</v>
      </c>
      <c r="X52" s="125">
        <v>21260.869565217396</v>
      </c>
      <c r="Y52" s="125">
        <v>6.8393251533742312</v>
      </c>
      <c r="Z52" s="125">
        <v>-12047</v>
      </c>
      <c r="AA52" s="112">
        <v>17427.599999999999</v>
      </c>
      <c r="AB52" s="112">
        <v>34440.660000000003</v>
      </c>
      <c r="AC52" s="8">
        <v>1.9746763754045307</v>
      </c>
      <c r="AD52" s="66"/>
      <c r="AE52" s="66">
        <v>109.37333145988478</v>
      </c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202" t="s">
        <v>1</v>
      </c>
      <c r="BJ52" s="203"/>
    </row>
    <row r="53" spans="1:62" ht="12.75" customHeight="1" x14ac:dyDescent="0.35">
      <c r="A53" s="108"/>
      <c r="B53" s="126" t="s">
        <v>27</v>
      </c>
      <c r="C53" s="5" t="s">
        <v>5</v>
      </c>
      <c r="D53" s="5" t="s">
        <v>312</v>
      </c>
      <c r="E53" s="5" t="s">
        <v>313</v>
      </c>
      <c r="F53" s="137">
        <v>1080361</v>
      </c>
      <c r="G53" s="138" t="s">
        <v>741</v>
      </c>
      <c r="H53" s="139">
        <v>6623.2240815562354</v>
      </c>
      <c r="I53" s="139">
        <v>3046.6830775158683</v>
      </c>
      <c r="J53" s="125">
        <v>0</v>
      </c>
      <c r="K53" s="125">
        <v>5148</v>
      </c>
      <c r="L53" s="130">
        <v>2368.08</v>
      </c>
      <c r="M53" s="123">
        <v>0.78390825013126453</v>
      </c>
      <c r="N53" s="130">
        <v>678.60307751586834</v>
      </c>
      <c r="O53" s="130">
        <v>0</v>
      </c>
      <c r="P53" s="123">
        <v>0.64673980424268851</v>
      </c>
      <c r="Q53" s="5">
        <v>1583</v>
      </c>
      <c r="R53" s="5">
        <v>44</v>
      </c>
      <c r="S53" s="5">
        <v>1539</v>
      </c>
      <c r="T53" s="5">
        <v>0</v>
      </c>
      <c r="U53" s="5">
        <v>0</v>
      </c>
      <c r="V53" s="5">
        <v>0</v>
      </c>
      <c r="W53" s="5">
        <v>0</v>
      </c>
      <c r="X53" s="125">
        <v>6623.2240815562354</v>
      </c>
      <c r="Y53" s="125">
        <v>6.9709252520339913</v>
      </c>
      <c r="Z53" s="125">
        <v>-107.77591844376457</v>
      </c>
      <c r="AA53" s="112">
        <v>3377.84</v>
      </c>
      <c r="AB53" s="112">
        <v>784.89</v>
      </c>
      <c r="AC53" s="8">
        <v>1.0162724251990642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202"/>
      <c r="BJ53" s="190" t="s">
        <v>865</v>
      </c>
    </row>
    <row r="54" spans="1:62" ht="12.75" customHeight="1" x14ac:dyDescent="0.35">
      <c r="A54" s="108"/>
      <c r="B54" s="126" t="s">
        <v>1</v>
      </c>
      <c r="C54" s="5" t="s">
        <v>17</v>
      </c>
      <c r="D54" s="5" t="s">
        <v>312</v>
      </c>
      <c r="E54" s="5" t="s">
        <v>398</v>
      </c>
      <c r="F54" s="5">
        <v>1058451</v>
      </c>
      <c r="G54" s="7" t="s">
        <v>268</v>
      </c>
      <c r="H54" s="139">
        <v>720198.08723379998</v>
      </c>
      <c r="I54" s="139">
        <v>173567.73902334578</v>
      </c>
      <c r="J54" s="125">
        <v>0</v>
      </c>
      <c r="K54" s="125">
        <v>619371</v>
      </c>
      <c r="L54" s="130">
        <v>149268.41099999999</v>
      </c>
      <c r="M54" s="123">
        <v>0.96343910418460743</v>
      </c>
      <c r="N54" s="130">
        <v>24299.328023345792</v>
      </c>
      <c r="O54" s="130">
        <v>2.5192384713724145</v>
      </c>
      <c r="P54" s="123">
        <v>1.0818527624471845</v>
      </c>
      <c r="Q54" s="5">
        <v>264210</v>
      </c>
      <c r="R54" s="5">
        <v>74496</v>
      </c>
      <c r="S54" s="5">
        <v>189714</v>
      </c>
      <c r="T54" s="5">
        <v>0</v>
      </c>
      <c r="U54" s="5">
        <v>23</v>
      </c>
      <c r="V54" s="5">
        <v>0</v>
      </c>
      <c r="W54" s="5">
        <v>2256</v>
      </c>
      <c r="X54" s="125">
        <v>754203.26086956519</v>
      </c>
      <c r="Y54" s="125">
        <v>7.5462680888412335</v>
      </c>
      <c r="Z54" s="125">
        <v>-163382.91276620002</v>
      </c>
      <c r="AA54" s="112">
        <v>1865313.05</v>
      </c>
      <c r="AB54" s="112">
        <v>497261.87</v>
      </c>
      <c r="AC54" s="8">
        <v>1.2268582986574366</v>
      </c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202" t="s">
        <v>1</v>
      </c>
      <c r="BJ54" s="203" t="s">
        <v>815</v>
      </c>
    </row>
    <row r="55" spans="1:62" ht="12.75" customHeight="1" x14ac:dyDescent="0.35">
      <c r="A55" s="108"/>
      <c r="B55" s="126" t="s">
        <v>4</v>
      </c>
      <c r="C55" s="5" t="s">
        <v>5</v>
      </c>
      <c r="D55" s="5" t="s">
        <v>308</v>
      </c>
      <c r="E55" s="5" t="s">
        <v>314</v>
      </c>
      <c r="F55" s="5">
        <v>1075243</v>
      </c>
      <c r="G55" s="3" t="s">
        <v>662</v>
      </c>
      <c r="H55" s="139">
        <v>14404.698155984024</v>
      </c>
      <c r="I55" s="139">
        <v>3457.1275574361657</v>
      </c>
      <c r="J55" s="125">
        <v>0</v>
      </c>
      <c r="K55" s="125">
        <v>23394</v>
      </c>
      <c r="L55" s="130">
        <v>5614.5599999999995</v>
      </c>
      <c r="M55" s="123">
        <v>1.7573433143744157</v>
      </c>
      <c r="N55" s="130">
        <v>2157.4324425638338</v>
      </c>
      <c r="O55" s="130">
        <v>25.973404737054747</v>
      </c>
      <c r="P55" s="123">
        <v>1.9234787553167083</v>
      </c>
      <c r="Q55" s="5">
        <v>8843</v>
      </c>
      <c r="R55" s="5">
        <v>1920</v>
      </c>
      <c r="S55" s="5">
        <v>6923</v>
      </c>
      <c r="T55" s="5">
        <v>2592</v>
      </c>
      <c r="U55" s="5">
        <v>0</v>
      </c>
      <c r="V55" s="5">
        <v>0</v>
      </c>
      <c r="W55" s="5">
        <v>0</v>
      </c>
      <c r="X55" s="125">
        <v>27515.217391304348</v>
      </c>
      <c r="Y55" s="125">
        <v>7.5481867741170889</v>
      </c>
      <c r="Z55" s="125">
        <v>-20424.301844015976</v>
      </c>
      <c r="AA55" s="112">
        <v>49984.3</v>
      </c>
      <c r="AB55" s="112">
        <v>33017.050000000003</v>
      </c>
      <c r="AC55" s="8">
        <v>2.4178916921998312</v>
      </c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202"/>
      <c r="BJ55" s="203" t="s">
        <v>816</v>
      </c>
    </row>
    <row r="56" spans="1:62" ht="12.5" customHeight="1" x14ac:dyDescent="0.35">
      <c r="A56" s="108"/>
      <c r="B56" s="126" t="s">
        <v>4</v>
      </c>
      <c r="C56" s="5" t="s">
        <v>5</v>
      </c>
      <c r="D56" s="5" t="s">
        <v>308</v>
      </c>
      <c r="E56" s="5" t="s">
        <v>314</v>
      </c>
      <c r="F56" s="5">
        <v>1075137</v>
      </c>
      <c r="G56" s="7" t="s">
        <v>652</v>
      </c>
      <c r="H56" s="139">
        <v>10423.112164370817</v>
      </c>
      <c r="I56" s="139">
        <v>1500.9281516693975</v>
      </c>
      <c r="J56" s="125">
        <v>0</v>
      </c>
      <c r="K56" s="125">
        <v>9838</v>
      </c>
      <c r="L56" s="130">
        <v>1416.6719999999998</v>
      </c>
      <c r="M56" s="123">
        <v>1.0233028131904254</v>
      </c>
      <c r="N56" s="130">
        <v>84.256151669397696</v>
      </c>
      <c r="O56" s="130">
        <v>0</v>
      </c>
      <c r="P56" s="123">
        <v>0.83500147599009755</v>
      </c>
      <c r="Q56" s="5">
        <v>3863</v>
      </c>
      <c r="R56" s="5">
        <v>828</v>
      </c>
      <c r="S56" s="5">
        <v>3035</v>
      </c>
      <c r="T56" s="5">
        <v>0</v>
      </c>
      <c r="U56" s="5">
        <v>0</v>
      </c>
      <c r="V56" s="5">
        <v>0</v>
      </c>
      <c r="W56" s="5">
        <v>600</v>
      </c>
      <c r="X56" s="125">
        <v>11593.478260869568</v>
      </c>
      <c r="Y56" s="125">
        <v>7.8535533470841914</v>
      </c>
      <c r="Z56" s="125">
        <v>-3277.8878356291825</v>
      </c>
      <c r="AA56" s="112">
        <v>26891.63</v>
      </c>
      <c r="AB56" s="112">
        <v>9378.2999999999993</v>
      </c>
      <c r="AC56" s="8">
        <v>1.3144826404952199</v>
      </c>
      <c r="AD56" s="66"/>
      <c r="AE56" s="66">
        <v>14.604715532689871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202" t="s">
        <v>1</v>
      </c>
      <c r="BJ56" s="203"/>
    </row>
    <row r="57" spans="1:62" ht="14" customHeight="1" x14ac:dyDescent="0.35">
      <c r="A57" s="108"/>
      <c r="B57" s="126" t="s">
        <v>15</v>
      </c>
      <c r="C57" s="5" t="s">
        <v>5</v>
      </c>
      <c r="D57" s="5" t="s">
        <v>308</v>
      </c>
      <c r="E57" s="5" t="s">
        <v>315</v>
      </c>
      <c r="F57" s="5">
        <v>1073438</v>
      </c>
      <c r="G57" s="7" t="s">
        <v>634</v>
      </c>
      <c r="H57" s="139">
        <v>45784.866989038477</v>
      </c>
      <c r="I57" s="139">
        <v>17581.388923790775</v>
      </c>
      <c r="J57" s="125">
        <v>0</v>
      </c>
      <c r="K57" s="125">
        <v>39513</v>
      </c>
      <c r="L57" s="130">
        <v>15172.992</v>
      </c>
      <c r="M57" s="123">
        <v>1.3190602915688039</v>
      </c>
      <c r="N57" s="130">
        <v>2408.396923790775</v>
      </c>
      <c r="O57" s="130">
        <v>12.800158164138754</v>
      </c>
      <c r="P57" s="123">
        <v>1.425093419927068</v>
      </c>
      <c r="Q57" s="5">
        <v>40341</v>
      </c>
      <c r="R57" s="5">
        <v>20880</v>
      </c>
      <c r="S57" s="5">
        <v>19461</v>
      </c>
      <c r="T57" s="5">
        <v>0</v>
      </c>
      <c r="U57" s="5">
        <v>0</v>
      </c>
      <c r="V57" s="5">
        <v>0</v>
      </c>
      <c r="W57" s="5">
        <v>2160</v>
      </c>
      <c r="X57" s="125">
        <v>65644.565217391297</v>
      </c>
      <c r="Y57" s="125">
        <v>8.8938055734936192</v>
      </c>
      <c r="Z57" s="125">
        <v>-34069.133010961523</v>
      </c>
      <c r="AA57" s="112">
        <v>285697.57</v>
      </c>
      <c r="AB57" s="112">
        <v>134915.04</v>
      </c>
      <c r="AC57" s="8">
        <v>1.7441133992836135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204"/>
      <c r="BJ57" s="203" t="s">
        <v>824</v>
      </c>
    </row>
    <row r="58" spans="1:62" ht="12.75" customHeight="1" x14ac:dyDescent="0.35">
      <c r="A58" s="108"/>
      <c r="B58" s="126" t="s">
        <v>1</v>
      </c>
      <c r="C58" s="5" t="s">
        <v>5</v>
      </c>
      <c r="D58" s="5" t="s">
        <v>308</v>
      </c>
      <c r="E58" s="5" t="s">
        <v>307</v>
      </c>
      <c r="F58" s="142">
        <v>1082266</v>
      </c>
      <c r="G58" s="191" t="s">
        <v>756</v>
      </c>
      <c r="H58" s="139">
        <v>75110.894534268562</v>
      </c>
      <c r="I58" s="139">
        <v>0</v>
      </c>
      <c r="J58" s="125">
        <v>0</v>
      </c>
      <c r="K58" s="125">
        <v>71466</v>
      </c>
      <c r="L58" s="130">
        <v>0</v>
      </c>
      <c r="M58" s="123">
        <v>1.3138972796412993</v>
      </c>
      <c r="N58" s="130">
        <v>0</v>
      </c>
      <c r="O58" s="130">
        <v>0</v>
      </c>
      <c r="P58" s="123">
        <v>0.55460359143421212</v>
      </c>
      <c r="Q58" s="5">
        <v>60875</v>
      </c>
      <c r="R58" s="5">
        <v>27222</v>
      </c>
      <c r="S58" s="5">
        <v>33653</v>
      </c>
      <c r="T58" s="5">
        <v>0</v>
      </c>
      <c r="U58" s="5">
        <v>540</v>
      </c>
      <c r="V58" s="5">
        <v>0</v>
      </c>
      <c r="W58" s="5">
        <v>560</v>
      </c>
      <c r="X58" s="125">
        <v>107269.56521739131</v>
      </c>
      <c r="Y58" s="125">
        <v>9.4117096303501953</v>
      </c>
      <c r="Z58" s="125">
        <v>-57230.105465731438</v>
      </c>
      <c r="AA58" s="112">
        <v>564082.81999999995</v>
      </c>
      <c r="AB58" s="112">
        <v>260995.03</v>
      </c>
      <c r="AC58" s="8">
        <v>1.761941470948942</v>
      </c>
      <c r="AD58" s="66"/>
      <c r="AE58" s="66" t="s">
        <v>574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202" t="s">
        <v>1</v>
      </c>
      <c r="BJ58" s="203"/>
    </row>
    <row r="59" spans="1:62" ht="12.5" customHeight="1" x14ac:dyDescent="0.35">
      <c r="A59" s="108"/>
      <c r="B59" s="126" t="s">
        <v>27</v>
      </c>
      <c r="C59" s="5" t="s">
        <v>5</v>
      </c>
      <c r="D59" s="5" t="s">
        <v>312</v>
      </c>
      <c r="E59" s="5" t="s">
        <v>313</v>
      </c>
      <c r="F59" s="5">
        <v>1052770</v>
      </c>
      <c r="G59" s="3" t="s">
        <v>183</v>
      </c>
      <c r="H59" s="139">
        <v>7358.2629779861527</v>
      </c>
      <c r="I59" s="139">
        <v>2030.8805819241784</v>
      </c>
      <c r="J59" s="125">
        <v>0</v>
      </c>
      <c r="K59" s="125">
        <v>4538.9859999999999</v>
      </c>
      <c r="L59" s="130">
        <v>1252.7601360000001</v>
      </c>
      <c r="M59" s="123">
        <v>1.1077323580830762</v>
      </c>
      <c r="N59" s="130">
        <v>778.12044592417828</v>
      </c>
      <c r="O59" s="130">
        <v>6.4614656065788179</v>
      </c>
      <c r="P59" s="123">
        <v>1.1976314887301918</v>
      </c>
      <c r="Q59" s="5">
        <v>6575</v>
      </c>
      <c r="R59" s="5">
        <v>3612</v>
      </c>
      <c r="S59" s="5">
        <v>2963</v>
      </c>
      <c r="T59" s="5">
        <v>0</v>
      </c>
      <c r="U59" s="5">
        <v>0</v>
      </c>
      <c r="V59" s="5">
        <v>0</v>
      </c>
      <c r="W59" s="5">
        <v>0</v>
      </c>
      <c r="X59" s="125">
        <v>8859.7673913043473</v>
      </c>
      <c r="Y59" s="125">
        <v>10.032994781244872</v>
      </c>
      <c r="Z59" s="125">
        <v>-3755.7230220138472</v>
      </c>
      <c r="AA59" s="112">
        <v>27151.99</v>
      </c>
      <c r="AB59" s="112">
        <v>10933.47</v>
      </c>
      <c r="AC59" s="8">
        <v>1.5104089148824813</v>
      </c>
      <c r="AD59" s="66"/>
      <c r="AE59" s="66">
        <v>29.433634992458529</v>
      </c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202" t="s">
        <v>1</v>
      </c>
      <c r="BJ59" s="203" t="s">
        <v>822</v>
      </c>
    </row>
    <row r="60" spans="1:62" ht="12.75" customHeight="1" x14ac:dyDescent="0.35">
      <c r="A60" s="108"/>
      <c r="B60" s="126" t="s">
        <v>31</v>
      </c>
      <c r="C60" s="5" t="s">
        <v>5</v>
      </c>
      <c r="D60" s="5" t="s">
        <v>306</v>
      </c>
      <c r="E60" s="5" t="s">
        <v>307</v>
      </c>
      <c r="F60" s="5">
        <v>1074077</v>
      </c>
      <c r="G60" s="7" t="s">
        <v>696</v>
      </c>
      <c r="H60" s="139">
        <v>46225.523185335158</v>
      </c>
      <c r="I60" s="139">
        <v>8597.947312472339</v>
      </c>
      <c r="J60" s="125">
        <v>0</v>
      </c>
      <c r="K60" s="125">
        <v>13885</v>
      </c>
      <c r="L60" s="130">
        <v>2582.61</v>
      </c>
      <c r="M60" s="123">
        <v>0.32062373724959581</v>
      </c>
      <c r="N60" s="130">
        <v>6015.3373124723385</v>
      </c>
      <c r="O60" s="130">
        <v>0</v>
      </c>
      <c r="P60" s="123">
        <v>0.40089420330863484</v>
      </c>
      <c r="Q60" s="5">
        <v>16874</v>
      </c>
      <c r="R60" s="5">
        <v>936</v>
      </c>
      <c r="S60" s="5">
        <v>15938</v>
      </c>
      <c r="T60" s="5">
        <v>0</v>
      </c>
      <c r="U60" s="5">
        <v>0</v>
      </c>
      <c r="V60" s="5">
        <v>0</v>
      </c>
      <c r="W60" s="5">
        <v>240</v>
      </c>
      <c r="X60" s="125">
        <v>46225.523185335158</v>
      </c>
      <c r="Y60" s="125">
        <v>10.343636308516412</v>
      </c>
      <c r="Z60" s="125">
        <v>15466.523185335158</v>
      </c>
      <c r="AA60" s="112">
        <v>146997.16</v>
      </c>
      <c r="AB60" s="112">
        <v>51446.04</v>
      </c>
      <c r="AC60" s="8">
        <v>0.66541161420014294</v>
      </c>
      <c r="AD60" s="66"/>
      <c r="AE60" s="66" t="s">
        <v>574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204" t="s">
        <v>1</v>
      </c>
      <c r="BJ60" s="203" t="s">
        <v>828</v>
      </c>
    </row>
    <row r="61" spans="1:62" ht="12.75" customHeight="1" x14ac:dyDescent="0.35">
      <c r="A61" s="108"/>
      <c r="B61" s="126" t="s">
        <v>21</v>
      </c>
      <c r="C61" s="5" t="s">
        <v>5</v>
      </c>
      <c r="D61" s="5" t="s">
        <v>396</v>
      </c>
      <c r="E61" s="5" t="s">
        <v>307</v>
      </c>
      <c r="F61" s="5">
        <v>1063072</v>
      </c>
      <c r="G61" s="7" t="s">
        <v>448</v>
      </c>
      <c r="H61" s="139">
        <v>24866.141687606108</v>
      </c>
      <c r="I61" s="139">
        <v>12433.070843803054</v>
      </c>
      <c r="J61" s="125">
        <v>0</v>
      </c>
      <c r="K61" s="125">
        <v>21761</v>
      </c>
      <c r="L61" s="130">
        <v>10880.5</v>
      </c>
      <c r="M61" s="123">
        <v>1.2554018388610451</v>
      </c>
      <c r="N61" s="130">
        <v>1552.5708438030542</v>
      </c>
      <c r="O61" s="130">
        <v>1.9048484616327079</v>
      </c>
      <c r="P61" s="123">
        <v>1.063751368150786</v>
      </c>
      <c r="Q61" s="5">
        <v>21950</v>
      </c>
      <c r="R61" s="5">
        <v>9456</v>
      </c>
      <c r="S61" s="5">
        <v>12492</v>
      </c>
      <c r="T61" s="5">
        <v>0</v>
      </c>
      <c r="U61" s="5">
        <v>0</v>
      </c>
      <c r="V61" s="5">
        <v>0</v>
      </c>
      <c r="W61" s="5">
        <v>800</v>
      </c>
      <c r="X61" s="125">
        <v>33931.521739130432</v>
      </c>
      <c r="Y61" s="125">
        <v>11.044597494954672</v>
      </c>
      <c r="Z61" s="125">
        <v>-18844.858312393892</v>
      </c>
      <c r="AA61" s="112">
        <v>142234.32999999999</v>
      </c>
      <c r="AB61" s="112">
        <v>76030.240000000005</v>
      </c>
      <c r="AC61" s="8">
        <v>1.7578521247543051</v>
      </c>
      <c r="AD61" s="66"/>
      <c r="AE61" s="66">
        <v>0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202" t="s">
        <v>1</v>
      </c>
      <c r="BJ61" s="203"/>
    </row>
    <row r="62" spans="1:62" ht="12.75" customHeight="1" x14ac:dyDescent="0.35">
      <c r="A62" s="108"/>
      <c r="B62" s="126" t="s">
        <v>31</v>
      </c>
      <c r="C62" s="5" t="s">
        <v>5</v>
      </c>
      <c r="D62" s="5" t="s">
        <v>306</v>
      </c>
      <c r="E62" s="5" t="s">
        <v>307</v>
      </c>
      <c r="F62" s="56">
        <v>1075354</v>
      </c>
      <c r="G62" s="65" t="s">
        <v>670</v>
      </c>
      <c r="H62" s="139">
        <v>11221.446283962588</v>
      </c>
      <c r="I62" s="139">
        <v>1009.9301655566329</v>
      </c>
      <c r="J62" s="125">
        <v>0</v>
      </c>
      <c r="K62" s="125">
        <v>7964</v>
      </c>
      <c r="L62" s="130">
        <v>716.76</v>
      </c>
      <c r="M62" s="123">
        <v>0.87813992516125938</v>
      </c>
      <c r="N62" s="130">
        <v>293.17016555663292</v>
      </c>
      <c r="O62" s="130">
        <v>0</v>
      </c>
      <c r="P62" s="123">
        <v>0.52248322142702008</v>
      </c>
      <c r="Q62" s="5">
        <v>6036</v>
      </c>
      <c r="R62" s="5">
        <v>1890</v>
      </c>
      <c r="S62" s="5">
        <v>4146</v>
      </c>
      <c r="T62" s="5">
        <v>3360</v>
      </c>
      <c r="U62" s="5">
        <v>0</v>
      </c>
      <c r="V62" s="5">
        <v>0</v>
      </c>
      <c r="W62" s="5">
        <v>0</v>
      </c>
      <c r="X62" s="125">
        <v>11221.446283962588</v>
      </c>
      <c r="Y62" s="125">
        <v>11.0841327269695</v>
      </c>
      <c r="Z62" s="125">
        <v>-6138.5537160374115</v>
      </c>
      <c r="AA62" s="112">
        <v>19974.169999999998</v>
      </c>
      <c r="AB62" s="112">
        <v>13360.68</v>
      </c>
      <c r="AC62" s="8">
        <v>1.5470376599147011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204" t="s">
        <v>1</v>
      </c>
      <c r="BJ62" s="203"/>
    </row>
    <row r="63" spans="1:62" ht="12.75" customHeight="1" x14ac:dyDescent="0.35">
      <c r="A63" s="108"/>
      <c r="B63" s="126" t="s">
        <v>31</v>
      </c>
      <c r="C63" s="5" t="s">
        <v>5</v>
      </c>
      <c r="D63" s="5" t="s">
        <v>306</v>
      </c>
      <c r="E63" s="5" t="s">
        <v>307</v>
      </c>
      <c r="F63" s="142">
        <v>1076007</v>
      </c>
      <c r="G63" s="143" t="s">
        <v>653</v>
      </c>
      <c r="H63" s="139">
        <v>5562.8044472373122</v>
      </c>
      <c r="I63" s="139">
        <v>1668.8413341711937</v>
      </c>
      <c r="J63" s="125">
        <v>0</v>
      </c>
      <c r="K63" s="125">
        <v>220</v>
      </c>
      <c r="L63" s="130">
        <v>66</v>
      </c>
      <c r="M63" s="123">
        <v>5.0334323749068335E-2</v>
      </c>
      <c r="N63" s="130">
        <v>1602.8413341711937</v>
      </c>
      <c r="O63" s="130">
        <v>0</v>
      </c>
      <c r="P63" s="123">
        <v>0</v>
      </c>
      <c r="Q63" s="5">
        <v>2240</v>
      </c>
      <c r="R63" s="5">
        <v>60</v>
      </c>
      <c r="S63" s="5">
        <v>2180</v>
      </c>
      <c r="T63" s="5">
        <v>0</v>
      </c>
      <c r="U63" s="5">
        <v>0</v>
      </c>
      <c r="V63" s="5">
        <v>0</v>
      </c>
      <c r="W63" s="5">
        <v>0</v>
      </c>
      <c r="X63" s="125">
        <v>5562.8044472373122</v>
      </c>
      <c r="Y63" s="125">
        <v>11.756659904246677</v>
      </c>
      <c r="Z63" s="125">
        <v>3102.8044472373122</v>
      </c>
      <c r="AA63" s="112">
        <v>41220.379999999997</v>
      </c>
      <c r="AB63" s="112">
        <v>16153.8</v>
      </c>
      <c r="AC63" s="8">
        <v>0.44222298722395748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202"/>
      <c r="BJ63" s="203" t="s">
        <v>820</v>
      </c>
    </row>
    <row r="64" spans="1:62" ht="12" customHeight="1" x14ac:dyDescent="0.35">
      <c r="A64" s="108"/>
      <c r="B64" s="126" t="s">
        <v>27</v>
      </c>
      <c r="C64" s="5" t="s">
        <v>5</v>
      </c>
      <c r="D64" s="5" t="s">
        <v>312</v>
      </c>
      <c r="E64" s="5" t="s">
        <v>313</v>
      </c>
      <c r="F64" s="5">
        <v>1073737</v>
      </c>
      <c r="G64" s="7" t="s">
        <v>619</v>
      </c>
      <c r="H64" s="139">
        <v>44618.368414167053</v>
      </c>
      <c r="I64" s="139">
        <v>16954.979997383482</v>
      </c>
      <c r="J64" s="125">
        <v>0</v>
      </c>
      <c r="K64" s="125">
        <v>52179</v>
      </c>
      <c r="L64" s="130">
        <v>19828.02</v>
      </c>
      <c r="M64" s="123">
        <v>1.2224337630123139</v>
      </c>
      <c r="N64" s="130">
        <v>2873.0400026165189</v>
      </c>
      <c r="O64" s="130">
        <v>0</v>
      </c>
      <c r="P64" s="123">
        <v>0.78536763229984541</v>
      </c>
      <c r="Q64" s="5">
        <v>25764</v>
      </c>
      <c r="R64" s="5">
        <v>2364</v>
      </c>
      <c r="S64" s="5">
        <v>23400</v>
      </c>
      <c r="T64" s="5">
        <v>0</v>
      </c>
      <c r="U64" s="5">
        <v>0</v>
      </c>
      <c r="V64" s="5">
        <v>0</v>
      </c>
      <c r="W64" s="5">
        <v>0</v>
      </c>
      <c r="X64" s="125">
        <v>59285.869565217392</v>
      </c>
      <c r="Y64" s="125">
        <v>11.840932841977889</v>
      </c>
      <c r="Z64" s="125">
        <v>-33324.631585832947</v>
      </c>
      <c r="AA64" s="112">
        <v>175350.19</v>
      </c>
      <c r="AB64" s="112">
        <v>91962</v>
      </c>
      <c r="AC64" s="8">
        <v>1.7468814474903982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202" t="s">
        <v>1</v>
      </c>
      <c r="BJ64" s="203" t="s">
        <v>814</v>
      </c>
    </row>
    <row r="65" spans="1:62" ht="12.75" customHeight="1" x14ac:dyDescent="0.35">
      <c r="A65" s="108"/>
      <c r="B65" s="126">
        <v>0</v>
      </c>
      <c r="C65" s="5" t="s">
        <v>2</v>
      </c>
      <c r="D65" s="5" t="s">
        <v>310</v>
      </c>
      <c r="E65" s="5" t="s">
        <v>311</v>
      </c>
      <c r="F65" s="164">
        <v>1080746</v>
      </c>
      <c r="G65" s="169" t="s">
        <v>789</v>
      </c>
      <c r="H65" s="139">
        <v>8454.7221830171329</v>
      </c>
      <c r="I65" s="139">
        <v>4058.2666478482238</v>
      </c>
      <c r="J65" s="125">
        <v>0</v>
      </c>
      <c r="K65" s="125">
        <v>9763</v>
      </c>
      <c r="L65" s="130">
        <v>4686.24</v>
      </c>
      <c r="M65" s="123">
        <v>1.2575221006500168</v>
      </c>
      <c r="N65" s="130">
        <v>627.973352151776</v>
      </c>
      <c r="O65" s="130">
        <v>1.2531708818521448</v>
      </c>
      <c r="P65" s="123">
        <v>1.0435488640177302</v>
      </c>
      <c r="Q65" s="5">
        <v>5678</v>
      </c>
      <c r="R65" s="5">
        <v>869</v>
      </c>
      <c r="S65" s="5">
        <v>4809</v>
      </c>
      <c r="T65" s="5">
        <v>0</v>
      </c>
      <c r="U65" s="5">
        <v>0</v>
      </c>
      <c r="V65" s="5">
        <v>0</v>
      </c>
      <c r="W65" s="5">
        <v>0</v>
      </c>
      <c r="X65" s="125">
        <v>11556.521739130434</v>
      </c>
      <c r="Y65" s="125">
        <v>12.483860045146727</v>
      </c>
      <c r="Z65" s="125">
        <v>-6986.2778169828671</v>
      </c>
      <c r="AA65" s="112">
        <v>193528.59</v>
      </c>
      <c r="AB65" s="112">
        <v>110078.01</v>
      </c>
      <c r="AC65" s="8">
        <v>1.8263166625410938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204" t="s">
        <v>1</v>
      </c>
      <c r="BJ65" s="203" t="s">
        <v>835</v>
      </c>
    </row>
    <row r="66" spans="1:62" ht="12.75" customHeight="1" x14ac:dyDescent="0.35">
      <c r="A66" s="108"/>
      <c r="B66" s="126" t="s">
        <v>31</v>
      </c>
      <c r="C66" s="5" t="s">
        <v>5</v>
      </c>
      <c r="D66" s="5" t="s">
        <v>306</v>
      </c>
      <c r="E66" s="5" t="s">
        <v>307</v>
      </c>
      <c r="F66" s="5">
        <v>1076592</v>
      </c>
      <c r="G66" s="7" t="s">
        <v>676</v>
      </c>
      <c r="H66" s="139">
        <v>9327.0223546881261</v>
      </c>
      <c r="I66" s="139">
        <v>2798.1067064064378</v>
      </c>
      <c r="J66" s="125">
        <v>0</v>
      </c>
      <c r="K66" s="125">
        <v>3339</v>
      </c>
      <c r="L66" s="130">
        <v>1001.6999999999999</v>
      </c>
      <c r="M66" s="123">
        <v>0.37804133687185754</v>
      </c>
      <c r="N66" s="130">
        <v>1796.4067064064379</v>
      </c>
      <c r="O66" s="130">
        <v>0</v>
      </c>
      <c r="P66" s="123">
        <v>0.48433856228272254</v>
      </c>
      <c r="Q66" s="5">
        <v>4178</v>
      </c>
      <c r="R66" s="5">
        <v>187</v>
      </c>
      <c r="S66" s="5">
        <v>3891</v>
      </c>
      <c r="T66" s="5">
        <v>0</v>
      </c>
      <c r="U66" s="5">
        <v>0</v>
      </c>
      <c r="V66" s="5">
        <v>0</v>
      </c>
      <c r="W66" s="5">
        <v>0</v>
      </c>
      <c r="X66" s="125">
        <v>9327.0223546881261</v>
      </c>
      <c r="Y66" s="125">
        <v>12.515248228318756</v>
      </c>
      <c r="Z66" s="125">
        <v>1810.0223546881261</v>
      </c>
      <c r="AA66" s="112">
        <v>55029.43</v>
      </c>
      <c r="AB66" s="112">
        <v>22956.9</v>
      </c>
      <c r="AC66" s="8">
        <v>0.80593781317803548</v>
      </c>
      <c r="AD66" s="66"/>
      <c r="AE66" s="66">
        <v>10.813953488372093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202" t="s">
        <v>1</v>
      </c>
      <c r="BJ66" s="203"/>
    </row>
    <row r="67" spans="1:62" ht="12.5" customHeight="1" x14ac:dyDescent="0.35">
      <c r="A67" s="108"/>
      <c r="B67" s="126" t="s">
        <v>22</v>
      </c>
      <c r="C67" s="5" t="s">
        <v>5</v>
      </c>
      <c r="D67" s="5" t="s">
        <v>396</v>
      </c>
      <c r="E67" s="5" t="s">
        <v>397</v>
      </c>
      <c r="F67" s="5">
        <v>1051097</v>
      </c>
      <c r="G67" s="7" t="s">
        <v>187</v>
      </c>
      <c r="H67" s="139">
        <v>2059.1977044732344</v>
      </c>
      <c r="I67" s="139">
        <v>2059.1977044732344</v>
      </c>
      <c r="J67" s="125">
        <v>0</v>
      </c>
      <c r="K67" s="125">
        <v>2820</v>
      </c>
      <c r="L67" s="130">
        <v>2820</v>
      </c>
      <c r="M67" s="123">
        <v>1.5297219850027974</v>
      </c>
      <c r="N67" s="130">
        <v>760.80229552676565</v>
      </c>
      <c r="O67" s="130">
        <v>14.665285509461841</v>
      </c>
      <c r="P67" s="123">
        <v>1.57052698411863</v>
      </c>
      <c r="Q67" s="5">
        <v>1771</v>
      </c>
      <c r="R67" s="5">
        <v>330</v>
      </c>
      <c r="S67" s="5">
        <v>1441</v>
      </c>
      <c r="T67" s="5">
        <v>0</v>
      </c>
      <c r="U67" s="5">
        <v>0</v>
      </c>
      <c r="V67" s="5">
        <v>0</v>
      </c>
      <c r="W67" s="5">
        <v>0</v>
      </c>
      <c r="X67" s="125">
        <v>3423.913043478261</v>
      </c>
      <c r="Y67" s="125">
        <v>12.625904761904762</v>
      </c>
      <c r="Z67" s="125">
        <v>-2531.8022955267656</v>
      </c>
      <c r="AA67" s="112">
        <v>41925.269999999997</v>
      </c>
      <c r="AB67" s="112">
        <v>29338.76</v>
      </c>
      <c r="AC67" s="8">
        <v>2.2295090898882042</v>
      </c>
      <c r="AD67" s="66"/>
      <c r="AE67" s="66">
        <v>163.25564506978327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202" t="s">
        <v>1</v>
      </c>
      <c r="BJ67" s="203"/>
    </row>
    <row r="68" spans="1:62" ht="12.75" customHeight="1" x14ac:dyDescent="0.35">
      <c r="A68" s="108"/>
      <c r="B68" s="126" t="s">
        <v>4</v>
      </c>
      <c r="C68" s="5" t="s">
        <v>5</v>
      </c>
      <c r="D68" s="5" t="s">
        <v>308</v>
      </c>
      <c r="E68" s="5" t="s">
        <v>314</v>
      </c>
      <c r="F68" s="5">
        <v>1075138</v>
      </c>
      <c r="G68" s="7" t="s">
        <v>664</v>
      </c>
      <c r="H68" s="139">
        <v>2721.3864470982403</v>
      </c>
      <c r="I68" s="139">
        <v>65.313274730357762</v>
      </c>
      <c r="J68" s="125">
        <v>0</v>
      </c>
      <c r="K68" s="125">
        <v>4620</v>
      </c>
      <c r="L68" s="130">
        <v>110.88</v>
      </c>
      <c r="M68" s="123">
        <v>1.8299495851866514</v>
      </c>
      <c r="N68" s="130">
        <v>45.566725269642234</v>
      </c>
      <c r="O68" s="130">
        <v>32.174190725618764</v>
      </c>
      <c r="P68" s="123">
        <v>2.0724730241872922</v>
      </c>
      <c r="Q68" s="5">
        <v>2684</v>
      </c>
      <c r="R68" s="5">
        <v>360</v>
      </c>
      <c r="S68" s="5">
        <v>2324</v>
      </c>
      <c r="T68" s="5">
        <v>0</v>
      </c>
      <c r="U68" s="5">
        <v>0</v>
      </c>
      <c r="V68" s="5">
        <v>0</v>
      </c>
      <c r="W68" s="5">
        <v>0</v>
      </c>
      <c r="X68" s="125">
        <v>5413.0434782608691</v>
      </c>
      <c r="Y68" s="125">
        <v>12.880000000000003</v>
      </c>
      <c r="Z68" s="125">
        <v>-4582.6135529017592</v>
      </c>
      <c r="AA68" s="112">
        <v>1034.1300000000001</v>
      </c>
      <c r="AB68" s="112">
        <v>883.12</v>
      </c>
      <c r="AC68" s="8">
        <v>2.6839260582737552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202"/>
      <c r="BJ68" s="203"/>
    </row>
    <row r="69" spans="1:62" ht="12.75" customHeight="1" x14ac:dyDescent="0.35">
      <c r="A69" s="108"/>
      <c r="B69" s="126" t="s">
        <v>31</v>
      </c>
      <c r="C69" s="5" t="s">
        <v>5</v>
      </c>
      <c r="D69" s="5" t="s">
        <v>306</v>
      </c>
      <c r="E69" s="5" t="s">
        <v>307</v>
      </c>
      <c r="F69" s="5">
        <v>1071166</v>
      </c>
      <c r="G69" s="7" t="s">
        <v>605</v>
      </c>
      <c r="H69" s="139">
        <v>36703.994017595614</v>
      </c>
      <c r="I69" s="139">
        <v>5138.5591624633862</v>
      </c>
      <c r="J69" s="125">
        <v>0</v>
      </c>
      <c r="K69" s="125">
        <v>20100</v>
      </c>
      <c r="L69" s="130">
        <v>2814.0000000000005</v>
      </c>
      <c r="M69" s="123">
        <v>1.0543811657512672</v>
      </c>
      <c r="N69" s="130">
        <v>2324.5591624633857</v>
      </c>
      <c r="O69" s="130">
        <v>6.4646349172044859</v>
      </c>
      <c r="P69" s="123">
        <v>1.2622457986977702</v>
      </c>
      <c r="Q69" s="5">
        <v>36678</v>
      </c>
      <c r="R69" s="5">
        <v>18600</v>
      </c>
      <c r="S69" s="5">
        <v>18078</v>
      </c>
      <c r="T69" s="5">
        <v>0</v>
      </c>
      <c r="U69" s="5">
        <v>0</v>
      </c>
      <c r="V69" s="5">
        <v>0</v>
      </c>
      <c r="W69" s="5">
        <v>0</v>
      </c>
      <c r="X69" s="125">
        <v>42065.217391304344</v>
      </c>
      <c r="Y69" s="125">
        <v>12.892837209302327</v>
      </c>
      <c r="Z69" s="125">
        <v>-20074.005982404386</v>
      </c>
      <c r="AA69" s="112">
        <v>100201.9</v>
      </c>
      <c r="AB69" s="112">
        <v>49352.94</v>
      </c>
      <c r="AC69" s="8">
        <v>1.5469161196130607</v>
      </c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202" t="s">
        <v>1</v>
      </c>
      <c r="BJ69" s="203"/>
    </row>
    <row r="70" spans="1:62" ht="12.75" customHeight="1" x14ac:dyDescent="0.35">
      <c r="A70" s="108"/>
      <c r="B70" s="126" t="s">
        <v>22</v>
      </c>
      <c r="C70" s="5" t="s">
        <v>5</v>
      </c>
      <c r="D70" s="5" t="s">
        <v>396</v>
      </c>
      <c r="E70" s="5" t="s">
        <v>397</v>
      </c>
      <c r="F70" s="5">
        <v>1051099</v>
      </c>
      <c r="G70" s="7" t="s">
        <v>168</v>
      </c>
      <c r="H70" s="139">
        <v>494.24169382786033</v>
      </c>
      <c r="I70" s="139">
        <v>12356.042345696509</v>
      </c>
      <c r="J70" s="125">
        <v>0</v>
      </c>
      <c r="K70" s="125">
        <v>446</v>
      </c>
      <c r="L70" s="130">
        <v>11150</v>
      </c>
      <c r="M70" s="123">
        <v>0.92464882203800625</v>
      </c>
      <c r="N70" s="130">
        <v>1206.0423456965091</v>
      </c>
      <c r="O70" s="130">
        <v>13.949963098675322</v>
      </c>
      <c r="P70" s="123">
        <v>1.8666691382984448</v>
      </c>
      <c r="Q70" s="5">
        <v>231</v>
      </c>
      <c r="R70" s="5">
        <v>11</v>
      </c>
      <c r="S70" s="5">
        <v>220</v>
      </c>
      <c r="T70" s="5">
        <v>0</v>
      </c>
      <c r="U70" s="5">
        <v>0</v>
      </c>
      <c r="V70" s="5">
        <v>423</v>
      </c>
      <c r="W70" s="5">
        <v>0</v>
      </c>
      <c r="X70" s="125">
        <v>496.73913043478262</v>
      </c>
      <c r="Y70" s="125">
        <v>13.286652078774617</v>
      </c>
      <c r="Z70" s="125">
        <v>-182.75830617213967</v>
      </c>
      <c r="AA70" s="112">
        <v>216571.77</v>
      </c>
      <c r="AB70" s="112">
        <v>281756.17</v>
      </c>
      <c r="AC70" s="8">
        <v>1.3697751696274185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204" t="s">
        <v>1</v>
      </c>
      <c r="BJ70" s="203"/>
    </row>
    <row r="71" spans="1:62" ht="12.75" customHeight="1" x14ac:dyDescent="0.35">
      <c r="A71" s="108"/>
      <c r="B71" s="126" t="s">
        <v>1</v>
      </c>
      <c r="C71" s="5" t="s">
        <v>2</v>
      </c>
      <c r="D71" s="5" t="s">
        <v>310</v>
      </c>
      <c r="E71" s="5" t="s">
        <v>311</v>
      </c>
      <c r="F71" s="135">
        <v>1080748</v>
      </c>
      <c r="G71" s="136" t="s">
        <v>768</v>
      </c>
      <c r="H71" s="139">
        <v>3377.6484121340663</v>
      </c>
      <c r="I71" s="139">
        <v>2026.5890472804397</v>
      </c>
      <c r="J71" s="125">
        <v>0</v>
      </c>
      <c r="K71" s="125">
        <v>3409</v>
      </c>
      <c r="L71" s="130">
        <v>2045.3999999999999</v>
      </c>
      <c r="M71" s="123">
        <v>1.1587943807114773</v>
      </c>
      <c r="N71" s="130">
        <v>18.810952719560191</v>
      </c>
      <c r="O71" s="130">
        <v>5.9196428130636907</v>
      </c>
      <c r="P71" s="123">
        <v>1.2161435387939503</v>
      </c>
      <c r="Q71" s="5">
        <v>2414</v>
      </c>
      <c r="R71" s="5">
        <v>505</v>
      </c>
      <c r="S71" s="5">
        <v>1909</v>
      </c>
      <c r="T71" s="5">
        <v>0</v>
      </c>
      <c r="U71" s="5">
        <v>0</v>
      </c>
      <c r="V71" s="5">
        <v>0</v>
      </c>
      <c r="W71" s="5">
        <v>80</v>
      </c>
      <c r="X71" s="125">
        <v>4254.347826086957</v>
      </c>
      <c r="Y71" s="125">
        <v>13.461522738886048</v>
      </c>
      <c r="Z71" s="125">
        <v>-2445.3515878659337</v>
      </c>
      <c r="AA71" s="112">
        <v>48570.58</v>
      </c>
      <c r="AB71" s="112">
        <v>28601.82</v>
      </c>
      <c r="AC71" s="8">
        <v>1.7239805004810762</v>
      </c>
      <c r="AD71" s="66"/>
      <c r="AE71" s="66" t="s">
        <v>574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202" t="s">
        <v>1</v>
      </c>
      <c r="BJ71" s="203" t="s">
        <v>834</v>
      </c>
    </row>
    <row r="72" spans="1:62" ht="12.75" customHeight="1" x14ac:dyDescent="0.35">
      <c r="A72" s="108"/>
      <c r="B72" s="126" t="s">
        <v>21</v>
      </c>
      <c r="C72" s="5" t="s">
        <v>5</v>
      </c>
      <c r="D72" s="5" t="s">
        <v>396</v>
      </c>
      <c r="E72" s="5" t="s">
        <v>397</v>
      </c>
      <c r="F72" s="5">
        <v>1040796</v>
      </c>
      <c r="G72" s="7" t="s">
        <v>85</v>
      </c>
      <c r="H72" s="139">
        <v>7021.5136127605447</v>
      </c>
      <c r="I72" s="139">
        <v>70215.136127605452</v>
      </c>
      <c r="J72" s="125">
        <v>0</v>
      </c>
      <c r="K72" s="125">
        <v>7911</v>
      </c>
      <c r="L72" s="130">
        <v>79110</v>
      </c>
      <c r="M72" s="123">
        <v>1.1921930885082908</v>
      </c>
      <c r="N72" s="130">
        <v>8894.8638723945478</v>
      </c>
      <c r="O72" s="130">
        <v>13.525791299522904</v>
      </c>
      <c r="P72" s="123">
        <v>1.4187300711639192</v>
      </c>
      <c r="Q72" s="5">
        <v>4828</v>
      </c>
      <c r="R72" s="5">
        <v>460</v>
      </c>
      <c r="S72" s="5">
        <v>4368</v>
      </c>
      <c r="T72" s="5">
        <v>0</v>
      </c>
      <c r="U72" s="5">
        <v>930</v>
      </c>
      <c r="V72" s="5">
        <v>0</v>
      </c>
      <c r="W72" s="5">
        <v>200</v>
      </c>
      <c r="X72" s="125">
        <v>9098.9130434782619</v>
      </c>
      <c r="Y72" s="125">
        <v>14.401720224584874</v>
      </c>
      <c r="Z72" s="125">
        <v>-5717.4863872394553</v>
      </c>
      <c r="AA72" s="112">
        <v>77938.8</v>
      </c>
      <c r="AB72" s="112">
        <v>61027.8</v>
      </c>
      <c r="AC72" s="8">
        <v>1.814281179609021</v>
      </c>
      <c r="AD72" s="66"/>
      <c r="AE72" s="66">
        <v>35.095263157894735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202" t="s">
        <v>1</v>
      </c>
      <c r="BJ72" s="203"/>
    </row>
    <row r="73" spans="1:62" ht="12.75" customHeight="1" x14ac:dyDescent="0.35">
      <c r="A73" s="108"/>
      <c r="B73" s="126" t="s">
        <v>9</v>
      </c>
      <c r="C73" s="5" t="s">
        <v>5</v>
      </c>
      <c r="D73" s="5" t="s">
        <v>308</v>
      </c>
      <c r="E73" s="5" t="s">
        <v>315</v>
      </c>
      <c r="F73" s="132">
        <v>1082308</v>
      </c>
      <c r="G73" s="133" t="s">
        <v>757</v>
      </c>
      <c r="H73" s="139">
        <v>49584.646273987593</v>
      </c>
      <c r="I73" s="139">
        <v>13189.515908880701</v>
      </c>
      <c r="J73" s="125">
        <v>0</v>
      </c>
      <c r="K73" s="125">
        <v>34547</v>
      </c>
      <c r="L73" s="130">
        <v>9189.5020000000004</v>
      </c>
      <c r="M73" s="123">
        <v>0.91816728405066272</v>
      </c>
      <c r="N73" s="130">
        <v>4000.0139088807009</v>
      </c>
      <c r="O73" s="130">
        <v>0</v>
      </c>
      <c r="P73" s="123">
        <v>0.60700298151130927</v>
      </c>
      <c r="Q73" s="5">
        <v>35052</v>
      </c>
      <c r="R73" s="5">
        <v>10980</v>
      </c>
      <c r="S73" s="5">
        <v>24072</v>
      </c>
      <c r="T73" s="5">
        <v>0</v>
      </c>
      <c r="U73" s="5">
        <v>0</v>
      </c>
      <c r="V73" s="5">
        <v>0</v>
      </c>
      <c r="W73" s="5">
        <v>0</v>
      </c>
      <c r="X73" s="125">
        <v>49584.646273987593</v>
      </c>
      <c r="Y73" s="125">
        <v>14.564185776572728</v>
      </c>
      <c r="Z73" s="125">
        <v>-20014.353726012407</v>
      </c>
      <c r="AA73" s="112">
        <v>282136.64</v>
      </c>
      <c r="AB73" s="112">
        <v>136969.68</v>
      </c>
      <c r="AC73" s="8">
        <v>1.4036401432697536</v>
      </c>
      <c r="AD73" s="66"/>
      <c r="AE73" s="66">
        <v>56.781838316722038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202" t="s">
        <v>1</v>
      </c>
      <c r="BJ73" s="203"/>
    </row>
    <row r="74" spans="1:62" ht="12.75" customHeight="1" x14ac:dyDescent="0.35">
      <c r="A74" s="108"/>
      <c r="B74" s="126" t="s">
        <v>1</v>
      </c>
      <c r="C74" s="5" t="s">
        <v>2</v>
      </c>
      <c r="D74" s="5" t="s">
        <v>396</v>
      </c>
      <c r="E74" s="5" t="s">
        <v>397</v>
      </c>
      <c r="F74" s="5">
        <v>1043306</v>
      </c>
      <c r="G74" s="7" t="s">
        <v>10</v>
      </c>
      <c r="H74" s="139">
        <v>661</v>
      </c>
      <c r="I74" s="139">
        <v>661</v>
      </c>
      <c r="J74" s="125">
        <v>0</v>
      </c>
      <c r="K74" s="125">
        <v>949</v>
      </c>
      <c r="L74" s="130">
        <v>949</v>
      </c>
      <c r="M74" s="123">
        <v>1.6626323751891074</v>
      </c>
      <c r="N74" s="130">
        <v>288</v>
      </c>
      <c r="O74" s="130">
        <v>0.77155824508320947</v>
      </c>
      <c r="P74" s="123">
        <v>1.0265210608424338</v>
      </c>
      <c r="Q74" s="5">
        <v>743</v>
      </c>
      <c r="R74" s="5">
        <v>150</v>
      </c>
      <c r="S74" s="5">
        <v>593</v>
      </c>
      <c r="T74" s="5">
        <v>0</v>
      </c>
      <c r="U74" s="5">
        <v>0</v>
      </c>
      <c r="V74" s="5">
        <v>0</v>
      </c>
      <c r="W74" s="5">
        <v>9</v>
      </c>
      <c r="X74" s="125">
        <v>1194.5652173913045</v>
      </c>
      <c r="Y74" s="125">
        <v>14.892447679708823</v>
      </c>
      <c r="Z74" s="125">
        <v>-1031</v>
      </c>
      <c r="AA74" s="112">
        <v>19968.810000000001</v>
      </c>
      <c r="AB74" s="112">
        <v>18186.419999999998</v>
      </c>
      <c r="AC74" s="8">
        <v>2.5597579425113466</v>
      </c>
      <c r="AD74" s="66"/>
      <c r="AE74" s="66">
        <v>21.67148988350705</v>
      </c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202" t="s">
        <v>1</v>
      </c>
      <c r="BJ74" s="203"/>
    </row>
    <row r="75" spans="1:62" ht="12.75" customHeight="1" x14ac:dyDescent="0.35">
      <c r="B75" s="126" t="s">
        <v>8</v>
      </c>
      <c r="C75" s="5" t="s">
        <v>5</v>
      </c>
      <c r="D75" s="5" t="s">
        <v>308</v>
      </c>
      <c r="E75" s="5" t="s">
        <v>309</v>
      </c>
      <c r="F75" s="5">
        <v>1028943</v>
      </c>
      <c r="G75" s="7" t="s">
        <v>102</v>
      </c>
      <c r="H75" s="139">
        <v>4305.0000099999997</v>
      </c>
      <c r="I75" s="139">
        <v>301.35000070000001</v>
      </c>
      <c r="J75" s="125">
        <v>0</v>
      </c>
      <c r="K75" s="125">
        <v>5465</v>
      </c>
      <c r="L75" s="130">
        <v>382.55</v>
      </c>
      <c r="M75" s="123">
        <v>1.4032520292607387</v>
      </c>
      <c r="N75" s="130">
        <v>81.199999300000002</v>
      </c>
      <c r="O75" s="130">
        <v>5.1010452146317178</v>
      </c>
      <c r="P75" s="123">
        <v>1.1776699000541992</v>
      </c>
      <c r="Q75" s="5">
        <v>3855</v>
      </c>
      <c r="R75" s="5">
        <v>576</v>
      </c>
      <c r="S75" s="5">
        <v>3279</v>
      </c>
      <c r="T75" s="5">
        <v>0</v>
      </c>
      <c r="U75" s="5">
        <v>0</v>
      </c>
      <c r="V75" s="5">
        <v>0</v>
      </c>
      <c r="W75" s="5">
        <v>0</v>
      </c>
      <c r="X75" s="125">
        <v>6566.304347826087</v>
      </c>
      <c r="Y75" s="125">
        <v>14.981029630855819</v>
      </c>
      <c r="Z75" s="125">
        <v>-5014.9999900000003</v>
      </c>
      <c r="AA75" s="112">
        <v>10073.700000000001</v>
      </c>
      <c r="AB75" s="112">
        <v>7672.86</v>
      </c>
      <c r="AC75" s="8">
        <v>2.1649245013590606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204" t="s">
        <v>1</v>
      </c>
      <c r="BJ75" s="203"/>
    </row>
    <row r="76" spans="1:62" ht="12.75" customHeight="1" x14ac:dyDescent="0.35">
      <c r="A76" s="108"/>
      <c r="B76" s="126" t="s">
        <v>15</v>
      </c>
      <c r="C76" s="5" t="s">
        <v>5</v>
      </c>
      <c r="D76" s="5" t="s">
        <v>308</v>
      </c>
      <c r="E76" s="5" t="s">
        <v>315</v>
      </c>
      <c r="F76" s="135">
        <v>1082605</v>
      </c>
      <c r="G76" s="136" t="s">
        <v>771</v>
      </c>
      <c r="H76" s="139">
        <v>25963.117276686415</v>
      </c>
      <c r="I76" s="139">
        <v>9450.5746887138539</v>
      </c>
      <c r="J76" s="125">
        <v>0</v>
      </c>
      <c r="K76" s="125">
        <v>19458</v>
      </c>
      <c r="L76" s="130">
        <v>7082.7119999999995</v>
      </c>
      <c r="M76" s="123">
        <v>1.0226044783859825</v>
      </c>
      <c r="N76" s="130">
        <v>2367.8626887138544</v>
      </c>
      <c r="O76" s="130">
        <v>0</v>
      </c>
      <c r="P76" s="123">
        <v>0.76691155859045179</v>
      </c>
      <c r="Q76" s="5">
        <v>21568</v>
      </c>
      <c r="R76" s="5">
        <v>7092</v>
      </c>
      <c r="S76" s="5">
        <v>14476</v>
      </c>
      <c r="T76" s="5">
        <v>0</v>
      </c>
      <c r="U76" s="5">
        <v>234</v>
      </c>
      <c r="V76" s="5">
        <v>0</v>
      </c>
      <c r="W76" s="5">
        <v>90</v>
      </c>
      <c r="X76" s="125">
        <v>28858.695652173912</v>
      </c>
      <c r="Y76" s="125">
        <v>15.048497175141245</v>
      </c>
      <c r="Z76" s="125">
        <v>-15062.882723313585</v>
      </c>
      <c r="AA76" s="112">
        <v>152143.87</v>
      </c>
      <c r="AB76" s="112">
        <v>86728</v>
      </c>
      <c r="AC76" s="8">
        <v>1.5801646452076579</v>
      </c>
      <c r="AD76" s="66"/>
      <c r="AE76" s="66">
        <v>38.569490221929236</v>
      </c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202" t="s">
        <v>1</v>
      </c>
      <c r="BJ76" s="203"/>
    </row>
    <row r="77" spans="1:62" ht="12.75" customHeight="1" x14ac:dyDescent="0.35">
      <c r="A77" s="108"/>
      <c r="B77" s="126" t="s">
        <v>4</v>
      </c>
      <c r="C77" s="5" t="s">
        <v>5</v>
      </c>
      <c r="D77" s="127" t="s">
        <v>308</v>
      </c>
      <c r="E77" s="5" t="s">
        <v>315</v>
      </c>
      <c r="F77" s="5">
        <v>1072750</v>
      </c>
      <c r="G77" s="7" t="s">
        <v>602</v>
      </c>
      <c r="H77" s="139">
        <v>2338.4875281518148</v>
      </c>
      <c r="I77" s="139">
        <v>467.69750563036297</v>
      </c>
      <c r="J77" s="125">
        <v>0</v>
      </c>
      <c r="K77" s="125">
        <v>2647</v>
      </c>
      <c r="L77" s="130">
        <v>529.4</v>
      </c>
      <c r="M77" s="123">
        <v>1.3474521296636297</v>
      </c>
      <c r="N77" s="130">
        <v>61.702494369637009</v>
      </c>
      <c r="O77" s="130">
        <v>5.7410224340571592</v>
      </c>
      <c r="P77" s="123">
        <v>1.2207213751490642</v>
      </c>
      <c r="Q77" s="5">
        <v>2232</v>
      </c>
      <c r="R77" s="5">
        <v>504</v>
      </c>
      <c r="S77" s="5">
        <v>1728</v>
      </c>
      <c r="T77" s="5">
        <v>0</v>
      </c>
      <c r="U77" s="5">
        <v>0</v>
      </c>
      <c r="V77" s="5">
        <v>0</v>
      </c>
      <c r="W77" s="5">
        <v>1876</v>
      </c>
      <c r="X77" s="125">
        <v>3425</v>
      </c>
      <c r="Y77" s="125">
        <v>15.135766423357664</v>
      </c>
      <c r="Z77" s="125">
        <v>-2540.5124718481852</v>
      </c>
      <c r="AA77" s="112">
        <v>4115.74</v>
      </c>
      <c r="AB77" s="112">
        <v>6343.04</v>
      </c>
      <c r="AC77" s="8">
        <v>2.0863912855058233</v>
      </c>
      <c r="AD77" s="67"/>
      <c r="AE77" s="66">
        <v>7.1636228102869923</v>
      </c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202" t="s">
        <v>1</v>
      </c>
      <c r="BJ77" s="203"/>
    </row>
    <row r="78" spans="1:62" ht="12.5" customHeight="1" x14ac:dyDescent="0.35">
      <c r="A78" s="108"/>
      <c r="B78" s="126" t="s">
        <v>31</v>
      </c>
      <c r="C78" s="5" t="s">
        <v>5</v>
      </c>
      <c r="D78" s="5" t="s">
        <v>306</v>
      </c>
      <c r="E78" s="5" t="s">
        <v>404</v>
      </c>
      <c r="F78" s="5">
        <v>1072598</v>
      </c>
      <c r="G78" s="7" t="s">
        <v>608</v>
      </c>
      <c r="H78" s="139">
        <v>18156.575242424195</v>
      </c>
      <c r="I78" s="139">
        <v>2723.486286363629</v>
      </c>
      <c r="J78" s="125">
        <v>0</v>
      </c>
      <c r="K78" s="125">
        <v>13813</v>
      </c>
      <c r="L78" s="130">
        <v>2071.9499999999998</v>
      </c>
      <c r="M78" s="123">
        <v>1.0449657904464367</v>
      </c>
      <c r="N78" s="130">
        <v>651.53628636362919</v>
      </c>
      <c r="O78" s="130">
        <v>1.4084562967316394</v>
      </c>
      <c r="P78" s="123">
        <v>1.0485530204954769</v>
      </c>
      <c r="Q78" s="5">
        <v>15639</v>
      </c>
      <c r="R78" s="5">
        <v>5160</v>
      </c>
      <c r="S78" s="5">
        <v>10479</v>
      </c>
      <c r="T78" s="5">
        <v>8790</v>
      </c>
      <c r="U78" s="5">
        <v>0</v>
      </c>
      <c r="V78" s="5">
        <v>0</v>
      </c>
      <c r="W78" s="5">
        <v>300</v>
      </c>
      <c r="X78" s="125">
        <v>20622.82608695652</v>
      </c>
      <c r="Y78" s="125">
        <v>15.243788541611767</v>
      </c>
      <c r="Z78" s="125">
        <v>-20085.424757575805</v>
      </c>
      <c r="AA78" s="112">
        <v>26145.47</v>
      </c>
      <c r="AB78" s="112">
        <v>28179.360000000001</v>
      </c>
      <c r="AC78" s="8">
        <v>2.106234214844918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204" t="s">
        <v>1</v>
      </c>
      <c r="BJ78" s="203"/>
    </row>
    <row r="79" spans="1:62" ht="12.75" customHeight="1" x14ac:dyDescent="0.35">
      <c r="A79" s="108"/>
      <c r="B79" s="126" t="s">
        <v>27</v>
      </c>
      <c r="C79" s="5" t="s">
        <v>5</v>
      </c>
      <c r="D79" s="5" t="s">
        <v>312</v>
      </c>
      <c r="E79" s="5" t="s">
        <v>313</v>
      </c>
      <c r="F79" s="5">
        <v>1076340</v>
      </c>
      <c r="G79" s="7" t="s">
        <v>651</v>
      </c>
      <c r="H79" s="139">
        <v>331.86007243453889</v>
      </c>
      <c r="I79" s="139">
        <v>1891.6024128768718</v>
      </c>
      <c r="J79" s="125">
        <v>0</v>
      </c>
      <c r="K79" s="125">
        <v>384</v>
      </c>
      <c r="L79" s="130">
        <v>2188.8000000000002</v>
      </c>
      <c r="M79" s="123">
        <v>1.1571141932892393</v>
      </c>
      <c r="N79" s="130">
        <v>297.19758712312841</v>
      </c>
      <c r="O79" s="130">
        <v>0</v>
      </c>
      <c r="P79" s="123">
        <v>0</v>
      </c>
      <c r="Q79" s="5">
        <v>217</v>
      </c>
      <c r="R79" s="5">
        <v>0</v>
      </c>
      <c r="S79" s="5">
        <v>217</v>
      </c>
      <c r="T79" s="5">
        <v>0</v>
      </c>
      <c r="U79" s="5">
        <v>0</v>
      </c>
      <c r="V79" s="5">
        <v>0</v>
      </c>
      <c r="W79" s="5">
        <v>0</v>
      </c>
      <c r="X79" s="125">
        <v>417.39130434782606</v>
      </c>
      <c r="Y79" s="125">
        <v>15.596875000000001</v>
      </c>
      <c r="Z79" s="125">
        <v>-269.13992756546111</v>
      </c>
      <c r="AA79" s="112">
        <v>14638.35</v>
      </c>
      <c r="AB79" s="112">
        <v>9571.8700000000008</v>
      </c>
      <c r="AC79" s="8">
        <v>1.811004245226127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202"/>
      <c r="BJ79" s="203"/>
    </row>
    <row r="80" spans="1:62" ht="12.75" customHeight="1" x14ac:dyDescent="0.35">
      <c r="A80" s="108"/>
      <c r="B80" s="126" t="s">
        <v>21</v>
      </c>
      <c r="C80" s="5" t="s">
        <v>5</v>
      </c>
      <c r="D80" s="5" t="s">
        <v>306</v>
      </c>
      <c r="E80" s="5" t="s">
        <v>307</v>
      </c>
      <c r="F80" s="5">
        <v>1016066</v>
      </c>
      <c r="G80" s="7" t="s">
        <v>289</v>
      </c>
      <c r="H80" s="139">
        <v>1846.5309796143101</v>
      </c>
      <c r="I80" s="139">
        <v>1772.6697404297377</v>
      </c>
      <c r="J80" s="125">
        <v>0</v>
      </c>
      <c r="K80" s="125">
        <v>1235</v>
      </c>
      <c r="L80" s="130">
        <v>1185.5999999999999</v>
      </c>
      <c r="M80" s="123">
        <v>1.2098361872415602</v>
      </c>
      <c r="N80" s="130">
        <v>587.06974042973775</v>
      </c>
      <c r="O80" s="130">
        <v>0</v>
      </c>
      <c r="P80" s="123">
        <v>0.69760704578476729</v>
      </c>
      <c r="Q80" s="5">
        <v>2269</v>
      </c>
      <c r="R80" s="5">
        <v>999</v>
      </c>
      <c r="S80" s="5">
        <v>1270</v>
      </c>
      <c r="T80" s="5">
        <v>0</v>
      </c>
      <c r="U80" s="5">
        <v>0</v>
      </c>
      <c r="V80" s="5">
        <v>0</v>
      </c>
      <c r="W80" s="5">
        <v>0</v>
      </c>
      <c r="X80" s="125">
        <v>2428.2608695652175</v>
      </c>
      <c r="Y80" s="125">
        <v>15.690241718889885</v>
      </c>
      <c r="Z80" s="125">
        <v>-1657.4690203856899</v>
      </c>
      <c r="AA80" s="112">
        <v>20237.98</v>
      </c>
      <c r="AB80" s="112">
        <v>13919.2</v>
      </c>
      <c r="AC80" s="8">
        <v>1.8976123545633066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202"/>
      <c r="BJ80" s="203"/>
    </row>
    <row r="81" spans="1:62" ht="12.75" customHeight="1" x14ac:dyDescent="0.35">
      <c r="A81" s="108"/>
      <c r="B81" s="126" t="s">
        <v>21</v>
      </c>
      <c r="C81" s="5" t="s">
        <v>5</v>
      </c>
      <c r="D81" s="5" t="s">
        <v>396</v>
      </c>
      <c r="E81" s="5" t="s">
        <v>307</v>
      </c>
      <c r="F81" s="5">
        <v>1058296</v>
      </c>
      <c r="G81" s="7" t="s">
        <v>249</v>
      </c>
      <c r="H81" s="139">
        <v>5516.2160818640832</v>
      </c>
      <c r="I81" s="139">
        <v>2758.1080409320416</v>
      </c>
      <c r="J81" s="125">
        <v>0</v>
      </c>
      <c r="K81" s="125">
        <v>6311</v>
      </c>
      <c r="L81" s="130">
        <v>3155.5</v>
      </c>
      <c r="M81" s="123">
        <v>1.1680108074777831</v>
      </c>
      <c r="N81" s="130">
        <v>397.3919590679584</v>
      </c>
      <c r="O81" s="130">
        <v>1.90653413291673</v>
      </c>
      <c r="P81" s="123">
        <v>1.0604058829551215</v>
      </c>
      <c r="Q81" s="5">
        <v>3966</v>
      </c>
      <c r="R81" s="5">
        <v>132</v>
      </c>
      <c r="S81" s="5">
        <v>3834</v>
      </c>
      <c r="T81" s="5">
        <v>0</v>
      </c>
      <c r="U81" s="5">
        <v>160</v>
      </c>
      <c r="V81" s="5">
        <v>0</v>
      </c>
      <c r="W81" s="5">
        <v>0</v>
      </c>
      <c r="X81" s="125">
        <v>7003.2608695652189</v>
      </c>
      <c r="Y81" s="125">
        <v>16.423777743287285</v>
      </c>
      <c r="Z81" s="125">
        <v>-4760.7839181359168</v>
      </c>
      <c r="AA81" s="112">
        <v>30615</v>
      </c>
      <c r="AB81" s="112">
        <v>22166.7</v>
      </c>
      <c r="AC81" s="8">
        <v>1.8630524706579505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202"/>
      <c r="BJ81" s="203" t="s">
        <v>852</v>
      </c>
    </row>
    <row r="82" spans="1:62" ht="12.75" customHeight="1" x14ac:dyDescent="0.35">
      <c r="A82" s="108"/>
      <c r="B82" s="126" t="s">
        <v>31</v>
      </c>
      <c r="C82" s="5" t="s">
        <v>5</v>
      </c>
      <c r="D82" s="5" t="s">
        <v>396</v>
      </c>
      <c r="E82" s="5" t="s">
        <v>307</v>
      </c>
      <c r="F82" s="5">
        <v>1071765</v>
      </c>
      <c r="G82" s="7" t="s">
        <v>590</v>
      </c>
      <c r="H82" s="139">
        <v>14833.057308436373</v>
      </c>
      <c r="I82" s="139">
        <v>13349.751577592737</v>
      </c>
      <c r="J82" s="125">
        <v>0</v>
      </c>
      <c r="K82" s="125">
        <v>14139</v>
      </c>
      <c r="L82" s="130">
        <v>12725.1</v>
      </c>
      <c r="M82" s="123">
        <v>1.0608062567823184</v>
      </c>
      <c r="N82" s="130">
        <v>624.65157759273643</v>
      </c>
      <c r="O82" s="130">
        <v>8.5397533558273828</v>
      </c>
      <c r="P82" s="123">
        <v>1.2481017165915476</v>
      </c>
      <c r="Q82" s="5">
        <v>10968</v>
      </c>
      <c r="R82" s="5">
        <v>1596</v>
      </c>
      <c r="S82" s="5">
        <v>9365</v>
      </c>
      <c r="T82" s="5">
        <v>1332</v>
      </c>
      <c r="U82" s="5">
        <v>5</v>
      </c>
      <c r="V82" s="5">
        <v>4644</v>
      </c>
      <c r="W82" s="5">
        <v>360</v>
      </c>
      <c r="X82" s="125">
        <v>17103.260869565216</v>
      </c>
      <c r="Y82" s="125">
        <v>16.426692087702573</v>
      </c>
      <c r="Z82" s="125">
        <v>-11605.942691563627</v>
      </c>
      <c r="AA82" s="112">
        <v>259578.5</v>
      </c>
      <c r="AB82" s="112">
        <v>274855</v>
      </c>
      <c r="AC82" s="8">
        <v>1.7824376627307097</v>
      </c>
      <c r="AD82" s="66"/>
      <c r="AE82" s="66" t="s">
        <v>574</v>
      </c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202" t="s">
        <v>1</v>
      </c>
      <c r="BJ82" s="203"/>
    </row>
    <row r="83" spans="1:62" ht="12.75" customHeight="1" x14ac:dyDescent="0.35">
      <c r="A83" s="108"/>
      <c r="B83" s="126" t="s">
        <v>31</v>
      </c>
      <c r="C83" s="5" t="s">
        <v>5</v>
      </c>
      <c r="D83" s="5" t="s">
        <v>306</v>
      </c>
      <c r="E83" s="5" t="s">
        <v>307</v>
      </c>
      <c r="F83" s="142">
        <v>1076009</v>
      </c>
      <c r="G83" s="143" t="s">
        <v>655</v>
      </c>
      <c r="H83" s="139">
        <v>51211.475087054299</v>
      </c>
      <c r="I83" s="139">
        <v>20484.590034821722</v>
      </c>
      <c r="J83" s="125">
        <v>0</v>
      </c>
      <c r="K83" s="125">
        <v>36635</v>
      </c>
      <c r="L83" s="130">
        <v>14654</v>
      </c>
      <c r="M83" s="123">
        <v>0.99983450804648977</v>
      </c>
      <c r="N83" s="130">
        <v>5830.5900348217219</v>
      </c>
      <c r="O83" s="130">
        <v>9.0116873511264988</v>
      </c>
      <c r="P83" s="123">
        <v>1.2722502524536232</v>
      </c>
      <c r="Q83" s="5">
        <v>45098</v>
      </c>
      <c r="R83" s="5">
        <v>14568</v>
      </c>
      <c r="S83" s="5">
        <v>30530</v>
      </c>
      <c r="T83" s="5">
        <v>0</v>
      </c>
      <c r="U83" s="5">
        <v>6</v>
      </c>
      <c r="V83" s="5">
        <v>0</v>
      </c>
      <c r="W83" s="5">
        <v>2000</v>
      </c>
      <c r="X83" s="125">
        <v>55655.434782608696</v>
      </c>
      <c r="Y83" s="125">
        <v>16.456613870281036</v>
      </c>
      <c r="Z83" s="125">
        <v>-30521.524912945701</v>
      </c>
      <c r="AA83" s="112">
        <v>458342.7</v>
      </c>
      <c r="AB83" s="112">
        <v>291197.2</v>
      </c>
      <c r="AC83" s="8">
        <v>1.5959899585212536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202"/>
      <c r="BJ83" s="203" t="s">
        <v>826</v>
      </c>
    </row>
    <row r="84" spans="1:62" ht="12.75" customHeight="1" x14ac:dyDescent="0.35">
      <c r="A84" s="108"/>
      <c r="B84" s="126" t="s">
        <v>27</v>
      </c>
      <c r="C84" s="5" t="s">
        <v>5</v>
      </c>
      <c r="D84" s="5" t="s">
        <v>308</v>
      </c>
      <c r="E84" s="5" t="s">
        <v>315</v>
      </c>
      <c r="F84" s="5">
        <v>1078707</v>
      </c>
      <c r="G84" s="7" t="s">
        <v>695</v>
      </c>
      <c r="H84" s="139">
        <v>4481.7342458585299</v>
      </c>
      <c r="I84" s="139">
        <v>2931.0541967914787</v>
      </c>
      <c r="J84" s="125">
        <v>0</v>
      </c>
      <c r="K84" s="125">
        <v>3942</v>
      </c>
      <c r="L84" s="130">
        <v>2578.0680000000002</v>
      </c>
      <c r="M84" s="123">
        <v>1.1098382293855023</v>
      </c>
      <c r="N84" s="130">
        <v>352.98619679147851</v>
      </c>
      <c r="O84" s="130">
        <v>0</v>
      </c>
      <c r="P84" s="123">
        <v>0.79882195489589503</v>
      </c>
      <c r="Q84" s="5">
        <v>4001</v>
      </c>
      <c r="R84" s="5">
        <v>1032</v>
      </c>
      <c r="S84" s="5">
        <v>2968</v>
      </c>
      <c r="T84" s="5">
        <v>0</v>
      </c>
      <c r="U84" s="5">
        <v>85</v>
      </c>
      <c r="V84" s="5">
        <v>0</v>
      </c>
      <c r="W84" s="5">
        <v>0</v>
      </c>
      <c r="X84" s="125">
        <v>5406.521739130435</v>
      </c>
      <c r="Y84" s="125">
        <v>16.468998793727383</v>
      </c>
      <c r="Z84" s="125">
        <v>-3461.2657541414701</v>
      </c>
      <c r="AA84" s="112">
        <v>53556.72</v>
      </c>
      <c r="AB84" s="112">
        <v>36483.35</v>
      </c>
      <c r="AC84" s="8">
        <v>1.7723049971871823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202" t="s">
        <v>1</v>
      </c>
      <c r="BJ84" s="203"/>
    </row>
    <row r="85" spans="1:62" ht="12.75" customHeight="1" x14ac:dyDescent="0.35">
      <c r="A85" s="108"/>
      <c r="B85" s="126" t="s">
        <v>1</v>
      </c>
      <c r="C85" s="5" t="s">
        <v>50</v>
      </c>
      <c r="D85" s="5" t="s">
        <v>320</v>
      </c>
      <c r="E85" s="5" t="s">
        <v>402</v>
      </c>
      <c r="F85" s="5">
        <v>1060800</v>
      </c>
      <c r="G85" s="7" t="s">
        <v>437</v>
      </c>
      <c r="H85" s="139">
        <v>33301.023651043877</v>
      </c>
      <c r="I85" s="139">
        <v>5994.1842571878979</v>
      </c>
      <c r="J85" s="125">
        <v>0</v>
      </c>
      <c r="K85" s="125">
        <v>17155</v>
      </c>
      <c r="L85" s="130">
        <v>3087.9</v>
      </c>
      <c r="M85" s="123">
        <v>0.70676506063687394</v>
      </c>
      <c r="N85" s="130">
        <v>2906.2842571878978</v>
      </c>
      <c r="O85" s="130">
        <v>0</v>
      </c>
      <c r="P85" s="123">
        <v>0.90089954011834539</v>
      </c>
      <c r="Q85" s="5">
        <v>24699</v>
      </c>
      <c r="R85" s="5">
        <v>6381</v>
      </c>
      <c r="S85" s="5">
        <v>18318</v>
      </c>
      <c r="T85" s="5">
        <v>0</v>
      </c>
      <c r="U85" s="5">
        <v>16</v>
      </c>
      <c r="V85" s="5">
        <v>0</v>
      </c>
      <c r="W85" s="5">
        <v>401</v>
      </c>
      <c r="X85" s="125">
        <v>33301.023651043877</v>
      </c>
      <c r="Y85" s="125">
        <v>16.502195420733674</v>
      </c>
      <c r="Z85" s="125">
        <v>-8552.9763489561228</v>
      </c>
      <c r="AA85" s="112">
        <v>226446.96</v>
      </c>
      <c r="AB85" s="112">
        <v>127398</v>
      </c>
      <c r="AC85" s="8">
        <v>1.2568382413279964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202" t="s">
        <v>1</v>
      </c>
      <c r="BJ85" s="183" t="s">
        <v>812</v>
      </c>
    </row>
    <row r="86" spans="1:62" ht="12.5" customHeight="1" x14ac:dyDescent="0.35">
      <c r="A86" s="108"/>
      <c r="B86" s="126" t="s">
        <v>21</v>
      </c>
      <c r="C86" s="5" t="s">
        <v>5</v>
      </c>
      <c r="D86" s="5" t="s">
        <v>306</v>
      </c>
      <c r="E86" s="5" t="s">
        <v>307</v>
      </c>
      <c r="F86" s="56">
        <v>1016065</v>
      </c>
      <c r="G86" s="65" t="s">
        <v>288</v>
      </c>
      <c r="H86" s="139">
        <v>1451.3230250495744</v>
      </c>
      <c r="I86" s="139">
        <v>1393.2701040475913</v>
      </c>
      <c r="J86" s="125">
        <v>0</v>
      </c>
      <c r="K86" s="125">
        <v>1620</v>
      </c>
      <c r="L86" s="130">
        <v>1555.2</v>
      </c>
      <c r="M86" s="123">
        <v>2.0477867081992187</v>
      </c>
      <c r="N86" s="130">
        <v>161.92989595240874</v>
      </c>
      <c r="O86" s="130">
        <v>24.343518675498096</v>
      </c>
      <c r="P86" s="123">
        <v>1.810333937865618</v>
      </c>
      <c r="Q86" s="5">
        <v>3229</v>
      </c>
      <c r="R86" s="5">
        <v>1352</v>
      </c>
      <c r="S86" s="5">
        <v>1877</v>
      </c>
      <c r="T86" s="5">
        <v>0</v>
      </c>
      <c r="U86" s="5">
        <v>0</v>
      </c>
      <c r="V86" s="5">
        <v>0</v>
      </c>
      <c r="W86" s="5">
        <v>0</v>
      </c>
      <c r="X86" s="125">
        <v>3230.4347826086955</v>
      </c>
      <c r="Y86" s="125">
        <v>17.431090174966354</v>
      </c>
      <c r="Z86" s="125">
        <v>-3397.6769749504256</v>
      </c>
      <c r="AA86" s="112">
        <v>15891.99</v>
      </c>
      <c r="AB86" s="112">
        <v>20553.150000000001</v>
      </c>
      <c r="AC86" s="8">
        <v>3.3410894172469754</v>
      </c>
      <c r="AD86" s="66"/>
      <c r="AE86" s="66">
        <v>58.314976494291471</v>
      </c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202" t="s">
        <v>1</v>
      </c>
      <c r="BJ86" s="203"/>
    </row>
    <row r="87" spans="1:62" ht="12.75" customHeight="1" x14ac:dyDescent="0.35">
      <c r="A87" s="108"/>
      <c r="B87" s="126" t="s">
        <v>31</v>
      </c>
      <c r="C87" s="5" t="s">
        <v>5</v>
      </c>
      <c r="D87" s="5" t="s">
        <v>306</v>
      </c>
      <c r="E87" s="5" t="s">
        <v>404</v>
      </c>
      <c r="F87" s="5">
        <v>1072597</v>
      </c>
      <c r="G87" s="7" t="s">
        <v>611</v>
      </c>
      <c r="H87" s="139">
        <v>1086.8377610651905</v>
      </c>
      <c r="I87" s="139">
        <v>543.41888053259527</v>
      </c>
      <c r="J87" s="125">
        <v>0</v>
      </c>
      <c r="K87" s="125">
        <v>456</v>
      </c>
      <c r="L87" s="130">
        <v>228</v>
      </c>
      <c r="M87" s="123">
        <v>1.755551811274944</v>
      </c>
      <c r="N87" s="130">
        <v>315.41888053259527</v>
      </c>
      <c r="O87" s="130">
        <v>0</v>
      </c>
      <c r="P87" s="123">
        <v>0.67296750701748242</v>
      </c>
      <c r="Q87" s="5">
        <v>2660</v>
      </c>
      <c r="R87" s="5">
        <v>1452</v>
      </c>
      <c r="S87" s="5">
        <v>1208</v>
      </c>
      <c r="T87" s="5">
        <v>0</v>
      </c>
      <c r="U87" s="5">
        <v>0</v>
      </c>
      <c r="V87" s="5">
        <v>0</v>
      </c>
      <c r="W87" s="5">
        <v>0</v>
      </c>
      <c r="X87" s="125">
        <v>2073.913043478261</v>
      </c>
      <c r="Y87" s="125">
        <v>17.474213836477986</v>
      </c>
      <c r="Z87" s="125">
        <v>-2029.1622389348095</v>
      </c>
      <c r="AA87" s="112">
        <v>8390.39</v>
      </c>
      <c r="AB87" s="112">
        <v>9325.76</v>
      </c>
      <c r="AC87" s="8">
        <v>2.8670332515370678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202" t="s">
        <v>1</v>
      </c>
      <c r="BJ87" s="203"/>
    </row>
    <row r="88" spans="1:62" ht="12.75" customHeight="1" x14ac:dyDescent="0.35">
      <c r="A88" s="108"/>
      <c r="B88" s="126" t="s">
        <v>1</v>
      </c>
      <c r="C88" s="5" t="s">
        <v>24</v>
      </c>
      <c r="D88" s="5" t="s">
        <v>316</v>
      </c>
      <c r="E88" s="5" t="s">
        <v>400</v>
      </c>
      <c r="F88" s="5">
        <v>1057538</v>
      </c>
      <c r="G88" s="7" t="s">
        <v>450</v>
      </c>
      <c r="H88" s="139">
        <v>7425.1086829415726</v>
      </c>
      <c r="I88" s="139">
        <v>6311.3423805003367</v>
      </c>
      <c r="J88" s="125">
        <v>0</v>
      </c>
      <c r="K88" s="125">
        <v>9631</v>
      </c>
      <c r="L88" s="130">
        <v>8186.3499999999995</v>
      </c>
      <c r="M88" s="123">
        <v>1.418295738107362</v>
      </c>
      <c r="N88" s="130">
        <v>1875.0076194996627</v>
      </c>
      <c r="O88" s="130">
        <v>6.7505155172322437</v>
      </c>
      <c r="P88" s="123">
        <v>1.2889006803553484</v>
      </c>
      <c r="Q88" s="5">
        <v>7727</v>
      </c>
      <c r="R88" s="5">
        <v>900</v>
      </c>
      <c r="S88" s="5">
        <v>6827</v>
      </c>
      <c r="T88" s="5">
        <v>0</v>
      </c>
      <c r="U88" s="5">
        <v>0</v>
      </c>
      <c r="V88" s="5">
        <v>0</v>
      </c>
      <c r="W88" s="5">
        <v>1</v>
      </c>
      <c r="X88" s="125">
        <v>11446.739130434782</v>
      </c>
      <c r="Y88" s="125">
        <v>17.892431867818821</v>
      </c>
      <c r="Z88" s="125">
        <v>-9932.8913170584274</v>
      </c>
      <c r="AA88" s="112">
        <v>137438.76</v>
      </c>
      <c r="AB88" s="112">
        <v>126386.28</v>
      </c>
      <c r="AC88" s="8">
        <v>2.337743559212571</v>
      </c>
      <c r="AD88" s="66"/>
      <c r="AE88" s="66" t="s">
        <v>574</v>
      </c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204" t="s">
        <v>1</v>
      </c>
      <c r="BJ88" s="203"/>
    </row>
    <row r="89" spans="1:62" ht="12.75" customHeight="1" x14ac:dyDescent="0.35">
      <c r="A89" s="108"/>
      <c r="B89" s="126" t="s">
        <v>4</v>
      </c>
      <c r="C89" s="5" t="s">
        <v>5</v>
      </c>
      <c r="D89" s="5" t="s">
        <v>308</v>
      </c>
      <c r="E89" s="5" t="s">
        <v>314</v>
      </c>
      <c r="F89" s="56">
        <v>1069728</v>
      </c>
      <c r="G89" s="65" t="s">
        <v>568</v>
      </c>
      <c r="H89" s="139">
        <v>20990.169802449109</v>
      </c>
      <c r="I89" s="139">
        <v>4250.5093849959449</v>
      </c>
      <c r="J89" s="125">
        <v>0</v>
      </c>
      <c r="K89" s="125">
        <v>18590</v>
      </c>
      <c r="L89" s="130">
        <v>3764.4750000000004</v>
      </c>
      <c r="M89" s="123">
        <v>0.99856266991963116</v>
      </c>
      <c r="N89" s="130">
        <v>486.03438499594449</v>
      </c>
      <c r="O89" s="130">
        <v>0</v>
      </c>
      <c r="P89" s="123">
        <v>0.69135193282393692</v>
      </c>
      <c r="Q89" s="5">
        <v>16207</v>
      </c>
      <c r="R89" s="5">
        <v>2370</v>
      </c>
      <c r="S89" s="5">
        <v>13837</v>
      </c>
      <c r="T89" s="5">
        <v>0</v>
      </c>
      <c r="U89" s="5">
        <v>0</v>
      </c>
      <c r="V89" s="5">
        <v>0</v>
      </c>
      <c r="W89" s="5">
        <v>150</v>
      </c>
      <c r="X89" s="125">
        <v>22782.608695652172</v>
      </c>
      <c r="Y89" s="125">
        <v>18.220477099236643</v>
      </c>
      <c r="Z89" s="125">
        <v>-13806.830197550891</v>
      </c>
      <c r="AA89" s="112">
        <v>49326.9</v>
      </c>
      <c r="AB89" s="112">
        <v>32869.449999999997</v>
      </c>
      <c r="AC89" s="8">
        <v>1.6577760126523571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202"/>
      <c r="BJ89" s="203" t="s">
        <v>821</v>
      </c>
    </row>
    <row r="90" spans="1:62" ht="12.75" customHeight="1" x14ac:dyDescent="0.35">
      <c r="A90" s="108"/>
      <c r="B90" s="126" t="s">
        <v>38</v>
      </c>
      <c r="C90" s="5" t="s">
        <v>5</v>
      </c>
      <c r="D90" s="5" t="s">
        <v>308</v>
      </c>
      <c r="E90" s="5" t="s">
        <v>405</v>
      </c>
      <c r="F90" s="5">
        <v>1059307</v>
      </c>
      <c r="G90" s="7" t="s">
        <v>269</v>
      </c>
      <c r="H90" s="139">
        <v>7037.6696668502018</v>
      </c>
      <c r="I90" s="139">
        <v>3518.8348334251009</v>
      </c>
      <c r="J90" s="125">
        <v>0</v>
      </c>
      <c r="K90" s="125">
        <v>7739</v>
      </c>
      <c r="L90" s="130">
        <v>3869.5</v>
      </c>
      <c r="M90" s="123">
        <v>1.3355273044815474</v>
      </c>
      <c r="N90" s="130">
        <v>350.6651665748991</v>
      </c>
      <c r="O90" s="130">
        <v>11.694199058838226</v>
      </c>
      <c r="P90" s="123">
        <v>1.3822034811409289</v>
      </c>
      <c r="Q90" s="5">
        <v>8120</v>
      </c>
      <c r="R90" s="5">
        <v>1660</v>
      </c>
      <c r="S90" s="5">
        <v>6460</v>
      </c>
      <c r="T90" s="5">
        <v>0</v>
      </c>
      <c r="U90" s="5">
        <v>0</v>
      </c>
      <c r="V90" s="5">
        <v>0</v>
      </c>
      <c r="W90" s="5">
        <v>200</v>
      </c>
      <c r="X90" s="125">
        <v>10216.304347826086</v>
      </c>
      <c r="Y90" s="125">
        <v>18.969677625279289</v>
      </c>
      <c r="Z90" s="125">
        <v>-8821.3303331497991</v>
      </c>
      <c r="AA90" s="112">
        <v>41240.74</v>
      </c>
      <c r="AB90" s="112">
        <v>39027.599999999999</v>
      </c>
      <c r="AC90" s="8">
        <v>2.2534447836762275</v>
      </c>
      <c r="AD90" s="66"/>
      <c r="AE90" s="66">
        <v>20.158570908248073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202" t="s">
        <v>1</v>
      </c>
      <c r="BJ90" s="203" t="s">
        <v>813</v>
      </c>
    </row>
    <row r="91" spans="1:62" ht="12.75" customHeight="1" x14ac:dyDescent="0.35">
      <c r="A91" s="108"/>
      <c r="B91" s="126" t="s">
        <v>1</v>
      </c>
      <c r="C91" s="5" t="s">
        <v>17</v>
      </c>
      <c r="D91" s="5" t="s">
        <v>312</v>
      </c>
      <c r="E91" s="5" t="s">
        <v>398</v>
      </c>
      <c r="F91" s="56">
        <v>1082287</v>
      </c>
      <c r="G91" s="65" t="s">
        <v>774</v>
      </c>
      <c r="H91" s="139">
        <v>7252.917415681819</v>
      </c>
      <c r="I91" s="139">
        <v>1762.458932010682</v>
      </c>
      <c r="J91" s="125">
        <v>0</v>
      </c>
      <c r="K91" s="125">
        <v>11394</v>
      </c>
      <c r="L91" s="130">
        <v>2768.7419999999997</v>
      </c>
      <c r="M91" s="123">
        <v>1.7529497816300181</v>
      </c>
      <c r="N91" s="130">
        <v>1006.2830679893177</v>
      </c>
      <c r="O91" s="130">
        <v>0</v>
      </c>
      <c r="P91" s="123">
        <v>0.92702383018154733</v>
      </c>
      <c r="Q91" s="5">
        <v>10260</v>
      </c>
      <c r="R91" s="5">
        <v>1320</v>
      </c>
      <c r="S91" s="5">
        <v>8940</v>
      </c>
      <c r="T91" s="5">
        <v>0</v>
      </c>
      <c r="U91" s="5">
        <v>0</v>
      </c>
      <c r="V91" s="5">
        <v>0</v>
      </c>
      <c r="W91" s="5">
        <v>120</v>
      </c>
      <c r="X91" s="125">
        <v>13819.565217391304</v>
      </c>
      <c r="Y91" s="125">
        <v>19.407267579046721</v>
      </c>
      <c r="Z91" s="125">
        <v>-14401.082584318181</v>
      </c>
      <c r="AA91" s="112">
        <v>18567.47</v>
      </c>
      <c r="AB91" s="112">
        <v>23193.599999999999</v>
      </c>
      <c r="AC91" s="8">
        <v>2.9855572260041225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204"/>
      <c r="BJ91" s="203" t="s">
        <v>809</v>
      </c>
    </row>
    <row r="92" spans="1:62" ht="12.75" customHeight="1" x14ac:dyDescent="0.35">
      <c r="A92" s="108"/>
      <c r="B92" s="126" t="s">
        <v>1</v>
      </c>
      <c r="C92" s="5" t="s">
        <v>50</v>
      </c>
      <c r="D92" s="5" t="s">
        <v>310</v>
      </c>
      <c r="E92" s="5" t="s">
        <v>403</v>
      </c>
      <c r="F92" s="56">
        <v>1076300</v>
      </c>
      <c r="G92" s="65" t="s">
        <v>690</v>
      </c>
      <c r="H92" s="139">
        <v>29068.659462068314</v>
      </c>
      <c r="I92" s="139">
        <v>3778.925730068881</v>
      </c>
      <c r="J92" s="125">
        <v>0</v>
      </c>
      <c r="K92" s="125">
        <v>24720</v>
      </c>
      <c r="L92" s="130">
        <v>3213.6</v>
      </c>
      <c r="M92" s="123">
        <v>0.94913217570291408</v>
      </c>
      <c r="N92" s="130">
        <v>565.32573006888106</v>
      </c>
      <c r="O92" s="130">
        <v>1.6064152223550638</v>
      </c>
      <c r="P92" s="123">
        <v>1.0592913898093157</v>
      </c>
      <c r="Q92" s="5">
        <v>22387</v>
      </c>
      <c r="R92" s="5">
        <v>2870</v>
      </c>
      <c r="S92" s="5">
        <v>19517</v>
      </c>
      <c r="T92" s="5">
        <v>0</v>
      </c>
      <c r="U92" s="5">
        <v>0</v>
      </c>
      <c r="V92" s="5">
        <v>0</v>
      </c>
      <c r="W92" s="5">
        <v>0</v>
      </c>
      <c r="X92" s="125">
        <v>29989.130434782608</v>
      </c>
      <c r="Y92" s="125">
        <v>19.524073939833276</v>
      </c>
      <c r="Z92" s="125">
        <v>-18038.340537931686</v>
      </c>
      <c r="AA92" s="112">
        <v>131390.34</v>
      </c>
      <c r="AB92" s="112">
        <v>88216.84</v>
      </c>
      <c r="AC92" s="8">
        <v>1.6205425661774981</v>
      </c>
      <c r="AD92" s="66"/>
      <c r="AE92" s="66">
        <v>37.655840694486706</v>
      </c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202" t="s">
        <v>1</v>
      </c>
      <c r="BJ92" s="203"/>
    </row>
    <row r="93" spans="1:62" ht="12.75" customHeight="1" x14ac:dyDescent="0.35">
      <c r="A93" s="108"/>
      <c r="B93" s="126" t="s">
        <v>1</v>
      </c>
      <c r="C93" s="5" t="s">
        <v>2</v>
      </c>
      <c r="D93" s="5" t="s">
        <v>306</v>
      </c>
      <c r="E93" s="5" t="s">
        <v>401</v>
      </c>
      <c r="F93" s="132">
        <v>1080893</v>
      </c>
      <c r="G93" s="133" t="s">
        <v>755</v>
      </c>
      <c r="H93" s="139">
        <v>11135</v>
      </c>
      <c r="I93" s="139">
        <v>4008.6</v>
      </c>
      <c r="J93" s="125">
        <v>0</v>
      </c>
      <c r="K93" s="125">
        <v>3216</v>
      </c>
      <c r="L93" s="130">
        <v>1157.76</v>
      </c>
      <c r="M93" s="123">
        <v>0.30282891782667265</v>
      </c>
      <c r="N93" s="130">
        <v>2850.84</v>
      </c>
      <c r="O93" s="130">
        <v>0</v>
      </c>
      <c r="P93" s="123">
        <v>0</v>
      </c>
      <c r="Q93" s="5">
        <v>7547</v>
      </c>
      <c r="R93" s="5">
        <v>156</v>
      </c>
      <c r="S93" s="5">
        <v>7391</v>
      </c>
      <c r="T93" s="5">
        <v>0</v>
      </c>
      <c r="U93" s="5">
        <v>0</v>
      </c>
      <c r="V93" s="5">
        <v>0</v>
      </c>
      <c r="W93" s="5">
        <v>0</v>
      </c>
      <c r="X93" s="125">
        <v>11135</v>
      </c>
      <c r="Y93" s="125">
        <v>19.912887292321507</v>
      </c>
      <c r="Z93" s="125">
        <v>372</v>
      </c>
      <c r="AA93" s="112">
        <v>61465.2</v>
      </c>
      <c r="AB93" s="112">
        <v>40798.32</v>
      </c>
      <c r="AC93" s="8">
        <v>0.96659182757072293</v>
      </c>
      <c r="AD93" s="66"/>
      <c r="AE93" s="66">
        <v>44.138526987503326</v>
      </c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202" t="s">
        <v>1</v>
      </c>
      <c r="BJ93" s="203"/>
    </row>
    <row r="94" spans="1:62" ht="12.75" customHeight="1" x14ac:dyDescent="0.35">
      <c r="A94" s="108"/>
      <c r="B94" s="126" t="s">
        <v>1</v>
      </c>
      <c r="C94" s="5" t="s">
        <v>50</v>
      </c>
      <c r="D94" s="5" t="s">
        <v>320</v>
      </c>
      <c r="E94" s="5" t="s">
        <v>402</v>
      </c>
      <c r="F94" s="5">
        <v>1060793</v>
      </c>
      <c r="G94" s="7" t="s">
        <v>430</v>
      </c>
      <c r="H94" s="139">
        <v>22466.248923477524</v>
      </c>
      <c r="I94" s="139">
        <v>4043.9248062259539</v>
      </c>
      <c r="J94" s="125">
        <v>0</v>
      </c>
      <c r="K94" s="125">
        <v>10035</v>
      </c>
      <c r="L94" s="130">
        <v>1806.3</v>
      </c>
      <c r="M94" s="123">
        <v>0.60268182935739323</v>
      </c>
      <c r="N94" s="130">
        <v>2237.6248062259538</v>
      </c>
      <c r="O94" s="130">
        <v>0</v>
      </c>
      <c r="P94" s="123">
        <v>0.94358583074902402</v>
      </c>
      <c r="Q94" s="5">
        <v>18440</v>
      </c>
      <c r="R94" s="5">
        <v>3505</v>
      </c>
      <c r="S94" s="5">
        <v>14935</v>
      </c>
      <c r="T94" s="5">
        <v>0</v>
      </c>
      <c r="U94" s="5">
        <v>0</v>
      </c>
      <c r="V94" s="5">
        <v>0</v>
      </c>
      <c r="W94" s="5">
        <v>900</v>
      </c>
      <c r="X94" s="125">
        <v>22466.248923477524</v>
      </c>
      <c r="Y94" s="125">
        <v>19.943249161268835</v>
      </c>
      <c r="Z94" s="125">
        <v>-6008.7510765224761</v>
      </c>
      <c r="AA94" s="112">
        <v>154118.47</v>
      </c>
      <c r="AB94" s="112">
        <v>108628.1</v>
      </c>
      <c r="AC94" s="8">
        <v>1.2674568013996876</v>
      </c>
      <c r="AD94" s="66"/>
      <c r="AE94" s="66" t="s">
        <v>574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202" t="s">
        <v>1</v>
      </c>
      <c r="BJ94" s="203"/>
    </row>
    <row r="95" spans="1:62" ht="12.75" customHeight="1" x14ac:dyDescent="0.35">
      <c r="A95" s="108"/>
      <c r="B95" s="126" t="s">
        <v>1</v>
      </c>
      <c r="C95" s="5" t="s">
        <v>2</v>
      </c>
      <c r="D95" s="5" t="s">
        <v>306</v>
      </c>
      <c r="E95" s="5" t="s">
        <v>401</v>
      </c>
      <c r="F95" s="5">
        <v>1076131</v>
      </c>
      <c r="G95" s="7" t="s">
        <v>682</v>
      </c>
      <c r="H95" s="139">
        <v>66430.677912817016</v>
      </c>
      <c r="I95" s="139">
        <v>18600.589815588766</v>
      </c>
      <c r="J95" s="125">
        <v>0</v>
      </c>
      <c r="K95" s="125">
        <v>47905</v>
      </c>
      <c r="L95" s="130">
        <v>13413.400000000001</v>
      </c>
      <c r="M95" s="123">
        <v>0.86491665906836013</v>
      </c>
      <c r="N95" s="130">
        <v>5187.1898155887648</v>
      </c>
      <c r="O95" s="130">
        <v>0</v>
      </c>
      <c r="P95" s="123">
        <v>0.7974626123523848</v>
      </c>
      <c r="Q95" s="5">
        <v>53946</v>
      </c>
      <c r="R95" s="5">
        <v>9552</v>
      </c>
      <c r="S95" s="5">
        <v>44394</v>
      </c>
      <c r="T95" s="5">
        <v>0</v>
      </c>
      <c r="U95" s="5">
        <v>0</v>
      </c>
      <c r="V95" s="5">
        <v>0</v>
      </c>
      <c r="W95" s="5">
        <v>1560</v>
      </c>
      <c r="X95" s="125">
        <v>66430.677912817016</v>
      </c>
      <c r="Y95" s="125">
        <v>20.048267484909122</v>
      </c>
      <c r="Z95" s="125">
        <v>-35420.322087182984</v>
      </c>
      <c r="AA95" s="112">
        <v>272365.78000000003</v>
      </c>
      <c r="AB95" s="112">
        <v>188411.4</v>
      </c>
      <c r="AC95" s="8">
        <v>1.5331922418986643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202"/>
      <c r="BJ95" s="203" t="s">
        <v>830</v>
      </c>
    </row>
    <row r="96" spans="1:62" ht="12.75" customHeight="1" x14ac:dyDescent="0.35">
      <c r="A96" s="108"/>
      <c r="B96" s="126" t="s">
        <v>148</v>
      </c>
      <c r="C96" s="5" t="s">
        <v>5</v>
      </c>
      <c r="D96" s="5" t="s">
        <v>318</v>
      </c>
      <c r="E96" s="5" t="s">
        <v>319</v>
      </c>
      <c r="F96" s="132">
        <v>1065299</v>
      </c>
      <c r="G96" s="133" t="s">
        <v>506</v>
      </c>
      <c r="H96" s="139">
        <v>117765</v>
      </c>
      <c r="I96" s="139">
        <v>94212</v>
      </c>
      <c r="J96" s="125">
        <v>0</v>
      </c>
      <c r="K96" s="125">
        <v>64812</v>
      </c>
      <c r="L96" s="130">
        <v>51849.600000000006</v>
      </c>
      <c r="M96" s="123">
        <v>0.86439943956183929</v>
      </c>
      <c r="N96" s="130">
        <v>42362.399999999994</v>
      </c>
      <c r="O96" s="130">
        <v>1.095401859635716</v>
      </c>
      <c r="P96" s="123">
        <v>1.0860000000000001</v>
      </c>
      <c r="Q96" s="5">
        <v>117966</v>
      </c>
      <c r="R96" s="5">
        <v>36984</v>
      </c>
      <c r="S96" s="5">
        <v>80982</v>
      </c>
      <c r="T96" s="5">
        <v>14070</v>
      </c>
      <c r="U96" s="5">
        <v>0</v>
      </c>
      <c r="V96" s="5">
        <v>0</v>
      </c>
      <c r="W96" s="5">
        <v>0</v>
      </c>
      <c r="X96" s="125">
        <v>117765</v>
      </c>
      <c r="Y96" s="125">
        <v>20.629728696981275</v>
      </c>
      <c r="Z96" s="125">
        <v>-79083</v>
      </c>
      <c r="AA96" s="112">
        <v>862039.8</v>
      </c>
      <c r="AB96" s="112">
        <v>695780.64</v>
      </c>
      <c r="AC96" s="8">
        <v>1.6715322888803974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202"/>
      <c r="BJ96" s="203"/>
    </row>
    <row r="97" spans="1:62" ht="12.75" customHeight="1" x14ac:dyDescent="0.35">
      <c r="A97" s="108"/>
      <c r="B97" s="126" t="s">
        <v>4</v>
      </c>
      <c r="C97" s="5" t="s">
        <v>5</v>
      </c>
      <c r="D97" s="5" t="s">
        <v>308</v>
      </c>
      <c r="E97" s="5" t="s">
        <v>315</v>
      </c>
      <c r="F97" s="5">
        <v>1072749</v>
      </c>
      <c r="G97" s="7" t="s">
        <v>661</v>
      </c>
      <c r="H97" s="139">
        <v>13431.685289755369</v>
      </c>
      <c r="I97" s="139">
        <v>805.9011173853221</v>
      </c>
      <c r="J97" s="125">
        <v>0</v>
      </c>
      <c r="K97" s="125">
        <v>10645</v>
      </c>
      <c r="L97" s="130">
        <v>638.69999999999993</v>
      </c>
      <c r="M97" s="123">
        <v>0.96607385596631501</v>
      </c>
      <c r="N97" s="130">
        <v>167.20111738532216</v>
      </c>
      <c r="O97" s="130">
        <v>1.4853336779088568</v>
      </c>
      <c r="P97" s="123">
        <v>1.0503954770357966</v>
      </c>
      <c r="Q97" s="5">
        <v>12173</v>
      </c>
      <c r="R97" s="5">
        <v>2331</v>
      </c>
      <c r="S97" s="5">
        <v>9842</v>
      </c>
      <c r="T97" s="5">
        <v>0</v>
      </c>
      <c r="U97" s="5">
        <v>0</v>
      </c>
      <c r="V97" s="5">
        <v>0</v>
      </c>
      <c r="W97" s="5">
        <v>0</v>
      </c>
      <c r="X97" s="125">
        <v>14104.347826086956</v>
      </c>
      <c r="Y97" s="125">
        <v>20.933970406905054</v>
      </c>
      <c r="Z97" s="125">
        <v>-9386.314710244631</v>
      </c>
      <c r="AA97" s="112">
        <v>8327.64</v>
      </c>
      <c r="AB97" s="112">
        <v>6102.04</v>
      </c>
      <c r="AC97" s="8">
        <v>1.698818838273688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204"/>
      <c r="BJ97" s="203"/>
    </row>
    <row r="98" spans="1:62" ht="12.75" customHeight="1" x14ac:dyDescent="0.35">
      <c r="A98" s="108"/>
      <c r="B98" s="126" t="s">
        <v>1</v>
      </c>
      <c r="C98" s="5" t="s">
        <v>2</v>
      </c>
      <c r="D98" s="5" t="s">
        <v>310</v>
      </c>
      <c r="E98" s="5" t="s">
        <v>311</v>
      </c>
      <c r="F98" s="56">
        <v>1068803</v>
      </c>
      <c r="G98" s="65" t="s">
        <v>561</v>
      </c>
      <c r="H98" s="139">
        <v>19507.174123599438</v>
      </c>
      <c r="I98" s="139">
        <v>2926.0761185399156</v>
      </c>
      <c r="J98" s="125">
        <v>0</v>
      </c>
      <c r="K98" s="125">
        <v>11274</v>
      </c>
      <c r="L98" s="130">
        <v>1691.1</v>
      </c>
      <c r="M98" s="123">
        <v>0.63022967458556356</v>
      </c>
      <c r="N98" s="130">
        <v>1234.9761185399157</v>
      </c>
      <c r="O98" s="130">
        <v>0</v>
      </c>
      <c r="P98" s="123">
        <v>0.91237161551781487</v>
      </c>
      <c r="Q98" s="5">
        <v>14820</v>
      </c>
      <c r="R98" s="5">
        <v>1020</v>
      </c>
      <c r="S98" s="5">
        <v>13800</v>
      </c>
      <c r="T98" s="5">
        <v>0</v>
      </c>
      <c r="U98" s="5">
        <v>24</v>
      </c>
      <c r="V98" s="5">
        <v>0</v>
      </c>
      <c r="W98" s="5">
        <v>29442</v>
      </c>
      <c r="X98" s="125">
        <v>19507.174123599438</v>
      </c>
      <c r="Y98" s="125">
        <v>21.22296122323274</v>
      </c>
      <c r="Z98" s="125">
        <v>-6586.8258764005623</v>
      </c>
      <c r="AA98" s="112">
        <v>41745.35</v>
      </c>
      <c r="AB98" s="112">
        <v>92589.24</v>
      </c>
      <c r="AC98" s="8">
        <v>1.3376617153599883</v>
      </c>
      <c r="AD98" s="66"/>
      <c r="AE98" s="66">
        <v>21.299374464661145</v>
      </c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202" t="s">
        <v>1</v>
      </c>
      <c r="BJ98" s="203" t="s">
        <v>841</v>
      </c>
    </row>
    <row r="99" spans="1:62" ht="12.75" customHeight="1" x14ac:dyDescent="0.35">
      <c r="A99" s="108"/>
      <c r="B99" s="126" t="s">
        <v>1</v>
      </c>
      <c r="C99" s="5" t="s">
        <v>2</v>
      </c>
      <c r="D99" s="5" t="s">
        <v>310</v>
      </c>
      <c r="E99" s="5" t="s">
        <v>311</v>
      </c>
      <c r="F99" s="135">
        <v>1080749</v>
      </c>
      <c r="G99" s="136" t="s">
        <v>769</v>
      </c>
      <c r="H99" s="139">
        <v>8618.5133697492711</v>
      </c>
      <c r="I99" s="139">
        <v>1551.3324065548688</v>
      </c>
      <c r="J99" s="125">
        <v>0</v>
      </c>
      <c r="K99" s="125">
        <v>8706</v>
      </c>
      <c r="L99" s="130">
        <v>1567.08</v>
      </c>
      <c r="M99" s="123">
        <v>1.0978691560903464</v>
      </c>
      <c r="N99" s="130">
        <v>15.747593445131088</v>
      </c>
      <c r="O99" s="130">
        <v>10.452844084861573</v>
      </c>
      <c r="P99" s="123">
        <v>1.3881228345597958</v>
      </c>
      <c r="Q99" s="5">
        <v>8118</v>
      </c>
      <c r="R99" s="5">
        <v>756</v>
      </c>
      <c r="S99" s="5">
        <v>7362</v>
      </c>
      <c r="T99" s="5">
        <v>0</v>
      </c>
      <c r="U99" s="5">
        <v>60</v>
      </c>
      <c r="V99" s="5">
        <v>0</v>
      </c>
      <c r="W99" s="5">
        <v>97</v>
      </c>
      <c r="X99" s="125">
        <v>10284.782608695652</v>
      </c>
      <c r="Y99" s="125">
        <v>21.474445149017122</v>
      </c>
      <c r="Z99" s="125">
        <v>-8205.4866302507289</v>
      </c>
      <c r="AA99" s="112">
        <v>34215.5</v>
      </c>
      <c r="AB99" s="112">
        <v>29850.43</v>
      </c>
      <c r="AC99" s="8">
        <v>1.9520768000490372</v>
      </c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204"/>
      <c r="BJ99" s="203" t="s">
        <v>806</v>
      </c>
    </row>
    <row r="100" spans="1:62" ht="12.75" customHeight="1" x14ac:dyDescent="0.35">
      <c r="A100" s="108"/>
      <c r="B100" s="126" t="s">
        <v>4</v>
      </c>
      <c r="C100" s="5" t="s">
        <v>5</v>
      </c>
      <c r="D100" s="5" t="s">
        <v>308</v>
      </c>
      <c r="E100" s="5" t="s">
        <v>314</v>
      </c>
      <c r="F100" s="161">
        <v>1083030</v>
      </c>
      <c r="G100" s="162" t="s">
        <v>775</v>
      </c>
      <c r="H100" s="139">
        <v>344179</v>
      </c>
      <c r="I100" s="139">
        <v>68835.8</v>
      </c>
      <c r="J100" s="125">
        <v>0</v>
      </c>
      <c r="K100" s="125">
        <v>161808</v>
      </c>
      <c r="L100" s="130">
        <v>32361.600000000002</v>
      </c>
      <c r="M100" s="123">
        <v>0.5981713003989203</v>
      </c>
      <c r="N100" s="130">
        <v>36474.199999999997</v>
      </c>
      <c r="O100" s="130">
        <v>0</v>
      </c>
      <c r="P100" s="123">
        <v>0.4683902498847437</v>
      </c>
      <c r="Q100" s="5">
        <v>300131</v>
      </c>
      <c r="R100" s="5">
        <v>44070</v>
      </c>
      <c r="S100" s="5">
        <v>256061</v>
      </c>
      <c r="T100" s="5">
        <v>0</v>
      </c>
      <c r="U100" s="5">
        <v>0</v>
      </c>
      <c r="V100" s="5">
        <v>0</v>
      </c>
      <c r="W100" s="5">
        <v>750</v>
      </c>
      <c r="X100" s="125">
        <v>344179</v>
      </c>
      <c r="Y100" s="125">
        <v>22.31928734757205</v>
      </c>
      <c r="Z100" s="125">
        <v>-117760</v>
      </c>
      <c r="AA100" s="112">
        <v>1452435.38</v>
      </c>
      <c r="AB100" s="112">
        <v>1083742.42</v>
      </c>
      <c r="AC100" s="8">
        <v>1.3421475453179885</v>
      </c>
      <c r="AD100" s="66"/>
      <c r="AE100" s="66"/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204"/>
      <c r="BJ100" s="203"/>
    </row>
    <row r="101" spans="1:62" ht="12.75" customHeight="1" x14ac:dyDescent="0.35">
      <c r="A101" s="108"/>
      <c r="B101" s="126" t="s">
        <v>22</v>
      </c>
      <c r="C101" s="5" t="s">
        <v>5</v>
      </c>
      <c r="D101" s="5" t="s">
        <v>396</v>
      </c>
      <c r="E101" s="5" t="s">
        <v>397</v>
      </c>
      <c r="F101" s="5">
        <v>1077857</v>
      </c>
      <c r="G101" s="7" t="s">
        <v>732</v>
      </c>
      <c r="H101" s="139">
        <v>400</v>
      </c>
      <c r="I101" s="139">
        <v>2000</v>
      </c>
      <c r="J101" s="125">
        <v>0</v>
      </c>
      <c r="K101" s="125">
        <v>192</v>
      </c>
      <c r="L101" s="130">
        <v>960</v>
      </c>
      <c r="M101" s="123">
        <v>0.48</v>
      </c>
      <c r="N101" s="130">
        <v>1040</v>
      </c>
      <c r="O101" s="130">
        <v>3.6000000000000032</v>
      </c>
      <c r="P101" s="123">
        <v>1.1200000000000001</v>
      </c>
      <c r="Q101" s="5">
        <v>301</v>
      </c>
      <c r="R101" s="5">
        <v>0</v>
      </c>
      <c r="S101" s="5">
        <v>301</v>
      </c>
      <c r="T101" s="5">
        <v>0</v>
      </c>
      <c r="U101" s="5">
        <v>0</v>
      </c>
      <c r="V101" s="5">
        <v>0</v>
      </c>
      <c r="W101" s="5">
        <v>0</v>
      </c>
      <c r="X101" s="125">
        <v>400</v>
      </c>
      <c r="Y101" s="125">
        <v>22.574999999999999</v>
      </c>
      <c r="Z101" s="125">
        <v>-93</v>
      </c>
      <c r="AA101" s="112">
        <v>43320</v>
      </c>
      <c r="AB101" s="112">
        <v>32598.3</v>
      </c>
      <c r="AC101" s="8">
        <v>1.2324999999999999</v>
      </c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204"/>
      <c r="BJ101" s="203"/>
    </row>
    <row r="102" spans="1:62" ht="12.75" customHeight="1" x14ac:dyDescent="0.35">
      <c r="A102" s="108"/>
      <c r="B102" s="126" t="s">
        <v>27</v>
      </c>
      <c r="C102" s="5" t="s">
        <v>5</v>
      </c>
      <c r="D102" s="5" t="s">
        <v>312</v>
      </c>
      <c r="E102" s="5" t="s">
        <v>313</v>
      </c>
      <c r="F102" s="174">
        <v>1082951</v>
      </c>
      <c r="G102" s="175" t="s">
        <v>783</v>
      </c>
      <c r="H102" s="139">
        <v>27795</v>
      </c>
      <c r="I102" s="139">
        <v>9505.8900000000012</v>
      </c>
      <c r="J102" s="125">
        <v>0</v>
      </c>
      <c r="K102" s="125">
        <v>1640</v>
      </c>
      <c r="L102" s="130">
        <v>560.88</v>
      </c>
      <c r="M102" s="123">
        <v>0.1978773160640403</v>
      </c>
      <c r="N102" s="130">
        <v>8945.010000000002</v>
      </c>
      <c r="O102" s="130">
        <v>0</v>
      </c>
      <c r="P102" s="123">
        <v>0</v>
      </c>
      <c r="Q102" s="5">
        <v>25130</v>
      </c>
      <c r="R102" s="5">
        <v>3860</v>
      </c>
      <c r="S102" s="5">
        <v>21270</v>
      </c>
      <c r="T102" s="5">
        <v>0</v>
      </c>
      <c r="U102" s="5">
        <v>0</v>
      </c>
      <c r="V102" s="5">
        <v>0</v>
      </c>
      <c r="W102" s="5">
        <v>0</v>
      </c>
      <c r="X102" s="125">
        <v>27795</v>
      </c>
      <c r="Y102" s="125">
        <v>22.957366432811657</v>
      </c>
      <c r="Z102" s="125">
        <v>1025</v>
      </c>
      <c r="AA102" s="112">
        <v>167881.8</v>
      </c>
      <c r="AB102" s="112">
        <v>128470.8</v>
      </c>
      <c r="AC102" s="8">
        <v>0.96312286382442891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204" t="s">
        <v>1</v>
      </c>
      <c r="BJ102" s="203"/>
    </row>
    <row r="103" spans="1:62" ht="12.75" customHeight="1" x14ac:dyDescent="0.35">
      <c r="A103" s="108"/>
      <c r="B103" s="126" t="s">
        <v>1</v>
      </c>
      <c r="C103" s="5" t="s">
        <v>5</v>
      </c>
      <c r="D103" s="5" t="s">
        <v>396</v>
      </c>
      <c r="E103" s="5" t="s">
        <v>397</v>
      </c>
      <c r="F103" s="5">
        <v>1071302</v>
      </c>
      <c r="G103" s="7" t="s">
        <v>685</v>
      </c>
      <c r="H103" s="139">
        <v>350.00000010000002</v>
      </c>
      <c r="I103" s="139">
        <v>1575.00000045</v>
      </c>
      <c r="J103" s="125">
        <v>0</v>
      </c>
      <c r="K103" s="125">
        <v>254</v>
      </c>
      <c r="L103" s="130">
        <v>1143</v>
      </c>
      <c r="M103" s="123">
        <v>0.74285714264489788</v>
      </c>
      <c r="N103" s="130">
        <v>432.00000045000002</v>
      </c>
      <c r="O103" s="130">
        <v>0</v>
      </c>
      <c r="P103" s="123">
        <v>0.97142857115102033</v>
      </c>
      <c r="Q103" s="5">
        <v>280</v>
      </c>
      <c r="R103" s="5">
        <v>6</v>
      </c>
      <c r="S103" s="5">
        <v>274</v>
      </c>
      <c r="T103" s="5">
        <v>0</v>
      </c>
      <c r="U103" s="5">
        <v>0</v>
      </c>
      <c r="V103" s="5">
        <v>0</v>
      </c>
      <c r="W103" s="5">
        <v>0</v>
      </c>
      <c r="X103" s="125">
        <v>350.00000010000002</v>
      </c>
      <c r="Y103" s="125">
        <v>23.485714279004078</v>
      </c>
      <c r="Z103" s="125">
        <v>-183.99999989999998</v>
      </c>
      <c r="AA103" s="112">
        <v>24402</v>
      </c>
      <c r="AB103" s="112">
        <v>19103.28</v>
      </c>
      <c r="AC103" s="8">
        <v>1.5257142852783674</v>
      </c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204"/>
      <c r="BJ103" s="203" t="s">
        <v>823</v>
      </c>
    </row>
    <row r="104" spans="1:62" ht="12.75" customHeight="1" x14ac:dyDescent="0.35">
      <c r="A104" s="108"/>
      <c r="B104" s="126" t="s">
        <v>27</v>
      </c>
      <c r="C104" s="5" t="s">
        <v>5</v>
      </c>
      <c r="D104" s="5" t="s">
        <v>312</v>
      </c>
      <c r="E104" s="5" t="s">
        <v>313</v>
      </c>
      <c r="F104" s="5">
        <v>1077108</v>
      </c>
      <c r="G104" s="7" t="s">
        <v>673</v>
      </c>
      <c r="H104" s="139">
        <v>30179.839557603533</v>
      </c>
      <c r="I104" s="139">
        <v>6881.0034191336053</v>
      </c>
      <c r="J104" s="125">
        <v>0</v>
      </c>
      <c r="K104" s="125">
        <v>11433</v>
      </c>
      <c r="L104" s="130">
        <v>2606.7240000000002</v>
      </c>
      <c r="M104" s="123">
        <v>0.7247553439855613</v>
      </c>
      <c r="N104" s="130">
        <v>4274.2794191336052</v>
      </c>
      <c r="O104" s="130">
        <v>0</v>
      </c>
      <c r="P104" s="123">
        <v>0.63862279524378807</v>
      </c>
      <c r="Q104" s="5">
        <v>34073</v>
      </c>
      <c r="R104" s="5">
        <v>10440</v>
      </c>
      <c r="S104" s="5">
        <v>23633</v>
      </c>
      <c r="T104" s="5">
        <v>0</v>
      </c>
      <c r="U104" s="5">
        <v>0</v>
      </c>
      <c r="V104" s="5">
        <v>0</v>
      </c>
      <c r="W104" s="5">
        <v>0</v>
      </c>
      <c r="X104" s="125">
        <v>30179.839557603533</v>
      </c>
      <c r="Y104" s="125">
        <v>23.492172602401279</v>
      </c>
      <c r="Z104" s="125">
        <v>-15326.160442396467</v>
      </c>
      <c r="AA104" s="112">
        <v>63075.86</v>
      </c>
      <c r="AB104" s="112">
        <v>49392.97</v>
      </c>
      <c r="AC104" s="8">
        <v>1.5078277640656039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204"/>
      <c r="BJ104" s="203"/>
    </row>
    <row r="105" spans="1:62" ht="12.75" customHeight="1" x14ac:dyDescent="0.35">
      <c r="A105" s="108"/>
      <c r="B105" s="126" t="s">
        <v>27</v>
      </c>
      <c r="C105" s="5" t="s">
        <v>5</v>
      </c>
      <c r="D105" s="5" t="s">
        <v>312</v>
      </c>
      <c r="E105" s="5" t="s">
        <v>313</v>
      </c>
      <c r="F105" s="159">
        <v>1072813</v>
      </c>
      <c r="G105" s="160" t="s">
        <v>612</v>
      </c>
      <c r="H105" s="139">
        <v>54939.434907357492</v>
      </c>
      <c r="I105" s="139">
        <v>12526.191158877509</v>
      </c>
      <c r="J105" s="125">
        <v>0</v>
      </c>
      <c r="K105" s="125">
        <v>25096</v>
      </c>
      <c r="L105" s="130">
        <v>5721.8879999999999</v>
      </c>
      <c r="M105" s="123">
        <v>0.63863052212248517</v>
      </c>
      <c r="N105" s="130">
        <v>6804.3031588775093</v>
      </c>
      <c r="O105" s="130">
        <v>0</v>
      </c>
      <c r="P105" s="123">
        <v>0.56091507005027874</v>
      </c>
      <c r="Q105" s="5">
        <v>54411</v>
      </c>
      <c r="R105" s="5">
        <v>9990</v>
      </c>
      <c r="S105" s="5">
        <v>44419</v>
      </c>
      <c r="T105" s="5">
        <v>0</v>
      </c>
      <c r="U105" s="5">
        <v>0</v>
      </c>
      <c r="V105" s="5">
        <v>0</v>
      </c>
      <c r="W105" s="5">
        <v>0</v>
      </c>
      <c r="X105" s="125">
        <v>54939.434907357492</v>
      </c>
      <c r="Y105" s="125">
        <v>24.255254941137778</v>
      </c>
      <c r="Z105" s="125">
        <v>-24567.565092642508</v>
      </c>
      <c r="AA105" s="112">
        <v>117570.39</v>
      </c>
      <c r="AB105" s="112">
        <v>95056.66</v>
      </c>
      <c r="AC105" s="8">
        <v>1.4471754238839545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202" t="s">
        <v>1</v>
      </c>
      <c r="BJ105" s="203"/>
    </row>
    <row r="106" spans="1:62" ht="12.75" customHeight="1" x14ac:dyDescent="0.35">
      <c r="A106" s="108"/>
      <c r="B106" s="126" t="s">
        <v>15</v>
      </c>
      <c r="C106" s="5" t="s">
        <v>5</v>
      </c>
      <c r="D106" s="5" t="s">
        <v>308</v>
      </c>
      <c r="E106" s="5" t="s">
        <v>315</v>
      </c>
      <c r="F106" s="56">
        <v>1074235</v>
      </c>
      <c r="G106" s="65" t="s">
        <v>636</v>
      </c>
      <c r="H106" s="139">
        <v>1460.2804030725115</v>
      </c>
      <c r="I106" s="139">
        <v>1095.2103023043837</v>
      </c>
      <c r="J106" s="125">
        <v>0</v>
      </c>
      <c r="K106" s="125">
        <v>456</v>
      </c>
      <c r="L106" s="130">
        <v>342</v>
      </c>
      <c r="M106" s="123">
        <v>0.64097278716512507</v>
      </c>
      <c r="N106" s="130">
        <v>753.21030230438373</v>
      </c>
      <c r="O106" s="130">
        <v>6.2549304340641765</v>
      </c>
      <c r="P106" s="123">
        <v>1.2116494171672683</v>
      </c>
      <c r="Q106" s="5">
        <v>1664</v>
      </c>
      <c r="R106" s="5">
        <v>480</v>
      </c>
      <c r="S106" s="5">
        <v>1184</v>
      </c>
      <c r="T106" s="5">
        <v>0</v>
      </c>
      <c r="U106" s="5">
        <v>0</v>
      </c>
      <c r="V106" s="5">
        <v>0</v>
      </c>
      <c r="W106" s="5">
        <v>0</v>
      </c>
      <c r="X106" s="125">
        <v>1460.2804030725115</v>
      </c>
      <c r="Y106" s="125">
        <v>24.324095512932953</v>
      </c>
      <c r="Z106" s="125">
        <v>-659.71959692748851</v>
      </c>
      <c r="AA106" s="112">
        <v>13215.54</v>
      </c>
      <c r="AB106" s="112">
        <v>10715.2</v>
      </c>
      <c r="AC106" s="8">
        <v>1.4517759709295568</v>
      </c>
      <c r="AD106" s="66"/>
      <c r="AE106" s="66">
        <v>339.04983660130716</v>
      </c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202" t="s">
        <v>1</v>
      </c>
      <c r="BJ106" s="203"/>
    </row>
    <row r="107" spans="1:62" ht="12.75" customHeight="1" x14ac:dyDescent="0.35">
      <c r="A107" s="108"/>
      <c r="B107" s="126" t="s">
        <v>21</v>
      </c>
      <c r="C107" s="5" t="s">
        <v>5</v>
      </c>
      <c r="D107" s="5" t="s">
        <v>396</v>
      </c>
      <c r="E107" s="5" t="s">
        <v>397</v>
      </c>
      <c r="F107" s="5">
        <v>1040797</v>
      </c>
      <c r="G107" s="7" t="s">
        <v>84</v>
      </c>
      <c r="H107" s="139">
        <v>2577.0810777471647</v>
      </c>
      <c r="I107" s="139">
        <v>25770.810777471648</v>
      </c>
      <c r="J107" s="125">
        <v>0</v>
      </c>
      <c r="K107" s="125">
        <v>2306</v>
      </c>
      <c r="L107" s="130">
        <v>23060</v>
      </c>
      <c r="M107" s="123">
        <v>0.96077691205760285</v>
      </c>
      <c r="N107" s="130">
        <v>2710.8107774716482</v>
      </c>
      <c r="O107" s="130">
        <v>17.355902402063755</v>
      </c>
      <c r="P107" s="123">
        <v>1.6018853947278884</v>
      </c>
      <c r="Q107" s="5">
        <v>2356</v>
      </c>
      <c r="R107" s="5">
        <v>170</v>
      </c>
      <c r="S107" s="5">
        <v>2186</v>
      </c>
      <c r="T107" s="5">
        <v>0</v>
      </c>
      <c r="U107" s="5">
        <v>0</v>
      </c>
      <c r="V107" s="5">
        <v>0</v>
      </c>
      <c r="W107" s="5">
        <v>0</v>
      </c>
      <c r="X107" s="125">
        <v>2691.3043478260875</v>
      </c>
      <c r="Y107" s="125">
        <v>24.367366720516959</v>
      </c>
      <c r="Z107" s="125">
        <v>-2084.9189222528353</v>
      </c>
      <c r="AA107" s="112">
        <v>25976.98</v>
      </c>
      <c r="AB107" s="112">
        <v>22034.880000000001</v>
      </c>
      <c r="AC107" s="8">
        <v>1.8090234103443232</v>
      </c>
      <c r="AD107" s="66"/>
      <c r="AE107" s="66">
        <v>27.489419348425013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202" t="s">
        <v>1</v>
      </c>
      <c r="BJ107" s="203"/>
    </row>
    <row r="108" spans="1:62" ht="12.75" customHeight="1" x14ac:dyDescent="0.35">
      <c r="A108" s="108"/>
      <c r="B108" s="126" t="s">
        <v>21</v>
      </c>
      <c r="C108" s="5" t="s">
        <v>5</v>
      </c>
      <c r="D108" s="5" t="s">
        <v>396</v>
      </c>
      <c r="E108" s="5" t="s">
        <v>397</v>
      </c>
      <c r="F108" s="5">
        <v>1042368</v>
      </c>
      <c r="G108" s="7" t="s">
        <v>134</v>
      </c>
      <c r="H108" s="139">
        <v>200</v>
      </c>
      <c r="I108" s="139">
        <v>1920</v>
      </c>
      <c r="J108" s="125">
        <v>0</v>
      </c>
      <c r="K108" s="125">
        <v>277</v>
      </c>
      <c r="L108" s="130">
        <v>2659.2</v>
      </c>
      <c r="M108" s="123">
        <v>1.385</v>
      </c>
      <c r="N108" s="130">
        <v>739.19999999999982</v>
      </c>
      <c r="O108" s="130">
        <v>9.0000000000000018</v>
      </c>
      <c r="P108" s="123">
        <v>1.3</v>
      </c>
      <c r="Q108" s="5">
        <v>247</v>
      </c>
      <c r="R108" s="5">
        <v>0</v>
      </c>
      <c r="S108" s="5">
        <v>247</v>
      </c>
      <c r="T108" s="5">
        <v>0</v>
      </c>
      <c r="U108" s="5">
        <v>0</v>
      </c>
      <c r="V108" s="5">
        <v>0</v>
      </c>
      <c r="W108" s="5">
        <v>9</v>
      </c>
      <c r="X108" s="125">
        <v>301.08695652173913</v>
      </c>
      <c r="Y108" s="125">
        <v>24.610830324909749</v>
      </c>
      <c r="Z108" s="125">
        <v>-324</v>
      </c>
      <c r="AA108" s="112">
        <v>18490</v>
      </c>
      <c r="AB108" s="112">
        <v>23667.200000000001</v>
      </c>
      <c r="AC108" s="8">
        <v>2.62</v>
      </c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202" t="s">
        <v>1</v>
      </c>
      <c r="BJ108" s="203"/>
    </row>
    <row r="109" spans="1:62" ht="12.75" customHeight="1" x14ac:dyDescent="0.35">
      <c r="A109" s="108"/>
      <c r="B109" s="126" t="s">
        <v>1</v>
      </c>
      <c r="C109" s="5" t="s">
        <v>2</v>
      </c>
      <c r="D109" s="5" t="s">
        <v>306</v>
      </c>
      <c r="E109" s="5" t="s">
        <v>401</v>
      </c>
      <c r="F109" s="5">
        <v>1070092</v>
      </c>
      <c r="G109" s="7" t="s">
        <v>585</v>
      </c>
      <c r="H109" s="139">
        <v>3668.4721152676693</v>
      </c>
      <c r="I109" s="139">
        <v>3668.4721152676693</v>
      </c>
      <c r="J109" s="125">
        <v>0</v>
      </c>
      <c r="K109" s="125">
        <v>3520</v>
      </c>
      <c r="L109" s="130">
        <v>3520</v>
      </c>
      <c r="M109" s="123">
        <v>1.1067277799667186</v>
      </c>
      <c r="N109" s="130">
        <v>148.47211526766932</v>
      </c>
      <c r="O109" s="130">
        <v>0</v>
      </c>
      <c r="P109" s="123">
        <v>0.29276596360218227</v>
      </c>
      <c r="Q109" s="5">
        <v>4180</v>
      </c>
      <c r="R109" s="5">
        <v>540</v>
      </c>
      <c r="S109" s="5">
        <v>3640</v>
      </c>
      <c r="T109" s="5">
        <v>0</v>
      </c>
      <c r="U109" s="5">
        <v>0</v>
      </c>
      <c r="V109" s="5">
        <v>0</v>
      </c>
      <c r="W109" s="5">
        <v>400</v>
      </c>
      <c r="X109" s="125">
        <v>4413.0434782608691</v>
      </c>
      <c r="Y109" s="125">
        <v>24.744827586206899</v>
      </c>
      <c r="Z109" s="125">
        <v>-4031.5278847323307</v>
      </c>
      <c r="AA109" s="112">
        <v>33126.300000000003</v>
      </c>
      <c r="AB109" s="112">
        <v>36481.199999999997</v>
      </c>
      <c r="AC109" s="8">
        <v>2.0989664792472249</v>
      </c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202"/>
      <c r="BJ109" s="203" t="s">
        <v>827</v>
      </c>
    </row>
    <row r="110" spans="1:62" ht="12.75" customHeight="1" x14ac:dyDescent="0.35">
      <c r="A110" s="108"/>
      <c r="B110" s="126" t="s">
        <v>1</v>
      </c>
      <c r="C110" s="5" t="s">
        <v>2</v>
      </c>
      <c r="D110" s="5" t="s">
        <v>306</v>
      </c>
      <c r="E110" s="5" t="s">
        <v>401</v>
      </c>
      <c r="F110" s="5">
        <v>1075853</v>
      </c>
      <c r="G110" s="7" t="s">
        <v>688</v>
      </c>
      <c r="H110" s="139">
        <v>13934.566509036445</v>
      </c>
      <c r="I110" s="139">
        <v>2591.829370680779</v>
      </c>
      <c r="J110" s="125">
        <v>0</v>
      </c>
      <c r="K110" s="125">
        <v>17020</v>
      </c>
      <c r="L110" s="130">
        <v>3165.72</v>
      </c>
      <c r="M110" s="123">
        <v>1.4487712973997617</v>
      </c>
      <c r="N110" s="130">
        <v>573.89062931922081</v>
      </c>
      <c r="O110" s="130">
        <v>0</v>
      </c>
      <c r="P110" s="123">
        <v>0.71986353396118719</v>
      </c>
      <c r="Q110" s="5">
        <v>21478</v>
      </c>
      <c r="R110" s="5">
        <v>3168</v>
      </c>
      <c r="S110" s="5">
        <v>18310</v>
      </c>
      <c r="T110" s="5">
        <v>0</v>
      </c>
      <c r="U110" s="5">
        <v>0</v>
      </c>
      <c r="V110" s="5">
        <v>0</v>
      </c>
      <c r="W110" s="5">
        <v>360</v>
      </c>
      <c r="X110" s="125">
        <v>21943.478260869564</v>
      </c>
      <c r="Y110" s="125">
        <v>25.032494551218548</v>
      </c>
      <c r="Z110" s="125">
        <v>-24563.433490963555</v>
      </c>
      <c r="AA110" s="112">
        <v>25360.91</v>
      </c>
      <c r="AB110" s="112">
        <v>33979.4</v>
      </c>
      <c r="AC110" s="8">
        <v>2.7627698339258977</v>
      </c>
      <c r="AD110" s="66"/>
      <c r="AE110" s="66">
        <v>35.199203187251001</v>
      </c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202" t="s">
        <v>1</v>
      </c>
      <c r="BJ110" s="203" t="s">
        <v>829</v>
      </c>
    </row>
    <row r="111" spans="1:62" ht="12.75" customHeight="1" x14ac:dyDescent="0.35">
      <c r="A111" s="108"/>
      <c r="B111" s="126" t="s">
        <v>31</v>
      </c>
      <c r="C111" s="5" t="s">
        <v>5</v>
      </c>
      <c r="D111" s="5" t="s">
        <v>306</v>
      </c>
      <c r="E111" s="5" t="s">
        <v>307</v>
      </c>
      <c r="F111" s="5">
        <v>1071183</v>
      </c>
      <c r="G111" s="7" t="s">
        <v>591</v>
      </c>
      <c r="H111" s="139">
        <v>191883.57772749636</v>
      </c>
      <c r="I111" s="139">
        <v>26863.700881849494</v>
      </c>
      <c r="J111" s="125">
        <v>0</v>
      </c>
      <c r="K111" s="125">
        <v>139136</v>
      </c>
      <c r="L111" s="130">
        <v>19479.04</v>
      </c>
      <c r="M111" s="123">
        <v>0.88989376799352415</v>
      </c>
      <c r="N111" s="130">
        <v>7384.6608818494933</v>
      </c>
      <c r="O111" s="130">
        <v>0</v>
      </c>
      <c r="P111" s="123">
        <v>0.91678571512368989</v>
      </c>
      <c r="Q111" s="5">
        <v>197304</v>
      </c>
      <c r="R111" s="5">
        <v>31620</v>
      </c>
      <c r="S111" s="5">
        <v>165684</v>
      </c>
      <c r="T111" s="5">
        <v>0</v>
      </c>
      <c r="U111" s="5">
        <v>0</v>
      </c>
      <c r="V111" s="5">
        <v>0</v>
      </c>
      <c r="W111" s="5">
        <v>5131</v>
      </c>
      <c r="X111" s="125">
        <v>191883.57772749639</v>
      </c>
      <c r="Y111" s="125">
        <v>25.903832203185662</v>
      </c>
      <c r="Z111" s="125">
        <v>-144556.42227250364</v>
      </c>
      <c r="AA111" s="112">
        <v>516166.82</v>
      </c>
      <c r="AB111" s="112">
        <v>459492.35</v>
      </c>
      <c r="AC111" s="8">
        <v>1.7533548414330462</v>
      </c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202"/>
      <c r="BJ111" s="203"/>
    </row>
    <row r="112" spans="1:62" ht="12.75" customHeight="1" x14ac:dyDescent="0.35">
      <c r="A112" s="108"/>
      <c r="B112" s="126" t="s">
        <v>1</v>
      </c>
      <c r="C112" s="5" t="s">
        <v>2</v>
      </c>
      <c r="D112" s="5" t="s">
        <v>310</v>
      </c>
      <c r="E112" s="5" t="s">
        <v>311</v>
      </c>
      <c r="F112" s="5">
        <v>1080401</v>
      </c>
      <c r="G112" s="7" t="s">
        <v>754</v>
      </c>
      <c r="H112" s="139">
        <v>14682.759063160751</v>
      </c>
      <c r="I112" s="139">
        <v>0</v>
      </c>
      <c r="J112" s="125">
        <v>0</v>
      </c>
      <c r="K112" s="125">
        <v>12288</v>
      </c>
      <c r="L112" s="130">
        <v>0</v>
      </c>
      <c r="M112" s="123">
        <v>0.95622355032894035</v>
      </c>
      <c r="N112" s="130">
        <v>0</v>
      </c>
      <c r="O112" s="130">
        <v>24.723691108628365</v>
      </c>
      <c r="P112" s="123">
        <v>1.8571145223996188</v>
      </c>
      <c r="Q112" s="5">
        <v>15177</v>
      </c>
      <c r="R112" s="5">
        <v>1752</v>
      </c>
      <c r="S112" s="5">
        <v>13425</v>
      </c>
      <c r="T112" s="5">
        <v>0</v>
      </c>
      <c r="U112" s="5">
        <v>0</v>
      </c>
      <c r="V112" s="5">
        <v>0</v>
      </c>
      <c r="W112" s="5">
        <v>2376</v>
      </c>
      <c r="X112" s="125">
        <v>15260.869565217392</v>
      </c>
      <c r="Y112" s="125">
        <v>26.391025641025642</v>
      </c>
      <c r="Z112" s="125">
        <v>-12782.240936839249</v>
      </c>
      <c r="AA112" s="112">
        <v>20115.38</v>
      </c>
      <c r="AB112" s="112">
        <v>21647.37</v>
      </c>
      <c r="AC112" s="8">
        <v>1.8705612400131302</v>
      </c>
      <c r="AD112" s="66"/>
      <c r="AE112" s="66">
        <v>18.119303797468355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202" t="s">
        <v>1</v>
      </c>
      <c r="BJ112" s="203"/>
    </row>
    <row r="113" spans="1:62" ht="12.75" customHeight="1" x14ac:dyDescent="0.35">
      <c r="A113" s="108"/>
      <c r="B113" s="126" t="s">
        <v>21</v>
      </c>
      <c r="C113" s="5" t="s">
        <v>5</v>
      </c>
      <c r="D113" s="5" t="s">
        <v>396</v>
      </c>
      <c r="E113" s="5" t="s">
        <v>307</v>
      </c>
      <c r="F113" s="5">
        <v>1063071</v>
      </c>
      <c r="G113" s="7" t="s">
        <v>444</v>
      </c>
      <c r="H113" s="139">
        <v>875.82610652863229</v>
      </c>
      <c r="I113" s="139">
        <v>437.91305326431615</v>
      </c>
      <c r="J113" s="125">
        <v>0</v>
      </c>
      <c r="K113" s="125">
        <v>1732</v>
      </c>
      <c r="L113" s="130">
        <v>866</v>
      </c>
      <c r="M113" s="123">
        <v>2.6808974778182635</v>
      </c>
      <c r="N113" s="130">
        <v>428.08694673568385</v>
      </c>
      <c r="O113" s="130">
        <v>7.1180149607135581</v>
      </c>
      <c r="P113" s="123">
        <v>1.1526634638650883</v>
      </c>
      <c r="Q113" s="5">
        <v>2867</v>
      </c>
      <c r="R113" s="5">
        <v>616</v>
      </c>
      <c r="S113" s="5">
        <v>2251</v>
      </c>
      <c r="T113" s="5">
        <v>0</v>
      </c>
      <c r="U113" s="5">
        <v>0</v>
      </c>
      <c r="V113" s="5">
        <v>0</v>
      </c>
      <c r="W113" s="5">
        <v>0</v>
      </c>
      <c r="X113" s="125">
        <v>2552.1739130434785</v>
      </c>
      <c r="Y113" s="125">
        <v>26.459795570698464</v>
      </c>
      <c r="Z113" s="125">
        <v>-3723.1738934713676</v>
      </c>
      <c r="AA113" s="112">
        <v>4396.6499999999996</v>
      </c>
      <c r="AB113" s="112">
        <v>11300.02</v>
      </c>
      <c r="AC113" s="8">
        <v>5.251042376697697</v>
      </c>
      <c r="AD113" s="66"/>
      <c r="AE113" s="66">
        <v>0</v>
      </c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204" t="s">
        <v>1</v>
      </c>
      <c r="BJ113" s="203"/>
    </row>
    <row r="114" spans="1:62" x14ac:dyDescent="0.3">
      <c r="A114" s="108"/>
      <c r="B114" s="126">
        <v>0</v>
      </c>
      <c r="C114" s="5" t="s">
        <v>5</v>
      </c>
      <c r="D114" s="5" t="s">
        <v>308</v>
      </c>
      <c r="E114" s="5" t="s">
        <v>315</v>
      </c>
      <c r="F114" s="5">
        <v>1083108</v>
      </c>
      <c r="G114" s="170" t="s">
        <v>778</v>
      </c>
      <c r="H114" s="139">
        <v>11620</v>
      </c>
      <c r="I114" s="139">
        <v>1859.2</v>
      </c>
      <c r="J114" s="125">
        <v>0</v>
      </c>
      <c r="K114" s="125">
        <v>1121</v>
      </c>
      <c r="L114" s="130">
        <v>179.36</v>
      </c>
      <c r="M114" s="123">
        <v>9.6471600688468162E-2</v>
      </c>
      <c r="N114" s="130">
        <v>1679.8400000000001</v>
      </c>
      <c r="O114" s="130">
        <v>0</v>
      </c>
      <c r="P114" s="123">
        <v>0</v>
      </c>
      <c r="Q114" s="5">
        <v>10400</v>
      </c>
      <c r="R114" s="5">
        <v>0</v>
      </c>
      <c r="S114" s="5">
        <v>10400</v>
      </c>
      <c r="T114" s="5">
        <v>0</v>
      </c>
      <c r="U114" s="5">
        <v>0</v>
      </c>
      <c r="V114" s="5">
        <v>0</v>
      </c>
      <c r="W114" s="5">
        <v>0</v>
      </c>
      <c r="X114" s="125">
        <v>11620</v>
      </c>
      <c r="Y114" s="125">
        <v>26.850258175559382</v>
      </c>
      <c r="Z114" s="125">
        <v>99</v>
      </c>
      <c r="AA114" s="112">
        <v>40089</v>
      </c>
      <c r="AB114" s="112">
        <v>35880</v>
      </c>
      <c r="AC114" s="8">
        <v>0.99148020654044755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204" t="s">
        <v>1</v>
      </c>
      <c r="BJ114" s="203"/>
    </row>
    <row r="115" spans="1:62" ht="12.75" customHeight="1" x14ac:dyDescent="0.35">
      <c r="A115" s="108"/>
      <c r="B115" s="126" t="s">
        <v>15</v>
      </c>
      <c r="C115" s="5" t="s">
        <v>5</v>
      </c>
      <c r="D115" s="5" t="s">
        <v>312</v>
      </c>
      <c r="E115" s="5" t="s">
        <v>315</v>
      </c>
      <c r="F115" s="56">
        <v>1080722</v>
      </c>
      <c r="G115" s="65" t="s">
        <v>736</v>
      </c>
      <c r="H115" s="139">
        <v>5472.9268292682927</v>
      </c>
      <c r="I115" s="139">
        <v>1543.3653658536584</v>
      </c>
      <c r="J115" s="125">
        <v>0</v>
      </c>
      <c r="K115" s="125">
        <v>798</v>
      </c>
      <c r="L115" s="130">
        <v>225.03599999999997</v>
      </c>
      <c r="M115" s="123">
        <v>0.15092472926601008</v>
      </c>
      <c r="N115" s="130">
        <v>1318.3293658536584</v>
      </c>
      <c r="O115" s="130">
        <v>0</v>
      </c>
      <c r="P115" s="123">
        <v>3.0331119925130354E-2</v>
      </c>
      <c r="Q115" s="5">
        <v>5012</v>
      </c>
      <c r="R115" s="5">
        <v>28</v>
      </c>
      <c r="S115" s="5">
        <v>4984</v>
      </c>
      <c r="T115" s="5">
        <v>0</v>
      </c>
      <c r="U115" s="5">
        <v>0</v>
      </c>
      <c r="V115" s="5">
        <v>0</v>
      </c>
      <c r="W115" s="5">
        <v>8400</v>
      </c>
      <c r="X115" s="125">
        <v>5472.9268292682927</v>
      </c>
      <c r="Y115" s="125">
        <v>27.319934043406569</v>
      </c>
      <c r="Z115" s="125">
        <v>-337.07317073170725</v>
      </c>
      <c r="AA115" s="112">
        <v>23369.4</v>
      </c>
      <c r="AB115" s="112">
        <v>57149.68</v>
      </c>
      <c r="AC115" s="8">
        <v>1.0615891973795624</v>
      </c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202"/>
      <c r="BJ115" s="203"/>
    </row>
    <row r="116" spans="1:62" ht="12.75" customHeight="1" x14ac:dyDescent="0.35">
      <c r="A116" s="108"/>
      <c r="B116" s="126" t="s">
        <v>27</v>
      </c>
      <c r="C116" s="5" t="s">
        <v>5</v>
      </c>
      <c r="D116" s="5" t="s">
        <v>312</v>
      </c>
      <c r="E116" s="5" t="s">
        <v>313</v>
      </c>
      <c r="F116" s="5">
        <v>1072353</v>
      </c>
      <c r="G116" s="7" t="s">
        <v>598</v>
      </c>
      <c r="H116" s="139">
        <v>199390.34891260776</v>
      </c>
      <c r="I116" s="139">
        <v>60614.666069432758</v>
      </c>
      <c r="J116" s="125">
        <v>0</v>
      </c>
      <c r="K116" s="125">
        <v>104330</v>
      </c>
      <c r="L116" s="130">
        <v>31716.32</v>
      </c>
      <c r="M116" s="123">
        <v>0.8513451173827925</v>
      </c>
      <c r="N116" s="130">
        <v>28898.346069432759</v>
      </c>
      <c r="O116" s="130">
        <v>0</v>
      </c>
      <c r="P116" s="123">
        <v>0.85751188706129033</v>
      </c>
      <c r="Q116" s="5">
        <v>250402</v>
      </c>
      <c r="R116" s="5">
        <v>65420</v>
      </c>
      <c r="S116" s="5">
        <v>184982</v>
      </c>
      <c r="T116" s="5">
        <v>0</v>
      </c>
      <c r="U116" s="5">
        <v>60</v>
      </c>
      <c r="V116" s="5">
        <v>0</v>
      </c>
      <c r="W116" s="5">
        <v>600</v>
      </c>
      <c r="X116" s="125">
        <v>199390.34891260776</v>
      </c>
      <c r="Y116" s="125">
        <v>27.832139470463101</v>
      </c>
      <c r="Z116" s="125">
        <v>-155341.65108739224</v>
      </c>
      <c r="AA116" s="112">
        <v>516421</v>
      </c>
      <c r="AB116" s="112">
        <v>480812.78</v>
      </c>
      <c r="AC116" s="8">
        <v>1.7790830997315625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202" t="s">
        <v>1</v>
      </c>
      <c r="BJ116" s="203"/>
    </row>
    <row r="117" spans="1:62" ht="12.75" customHeight="1" x14ac:dyDescent="0.35">
      <c r="A117" s="108"/>
      <c r="B117" s="126" t="s">
        <v>31</v>
      </c>
      <c r="C117" s="5" t="s">
        <v>5</v>
      </c>
      <c r="D117" s="5" t="s">
        <v>306</v>
      </c>
      <c r="E117" s="5" t="s">
        <v>307</v>
      </c>
      <c r="F117" s="5">
        <v>1071169</v>
      </c>
      <c r="G117" s="7" t="s">
        <v>601</v>
      </c>
      <c r="H117" s="139">
        <v>23910.559994301148</v>
      </c>
      <c r="I117" s="139">
        <v>4303.9007989742067</v>
      </c>
      <c r="J117" s="125">
        <v>0</v>
      </c>
      <c r="K117" s="125">
        <v>16767</v>
      </c>
      <c r="L117" s="130">
        <v>3018.06</v>
      </c>
      <c r="M117" s="123">
        <v>1.0676036030140705</v>
      </c>
      <c r="N117" s="130">
        <v>1285.8407989742068</v>
      </c>
      <c r="O117" s="130">
        <v>4.6255377425353474</v>
      </c>
      <c r="P117" s="123">
        <v>1.1758611171970259</v>
      </c>
      <c r="Q117" s="5">
        <v>35655</v>
      </c>
      <c r="R117" s="5">
        <v>8760</v>
      </c>
      <c r="S117" s="5">
        <v>26895</v>
      </c>
      <c r="T117" s="5">
        <v>0</v>
      </c>
      <c r="U117" s="5">
        <v>0</v>
      </c>
      <c r="V117" s="5">
        <v>0</v>
      </c>
      <c r="W117" s="5">
        <v>0</v>
      </c>
      <c r="X117" s="125">
        <v>27746.739130434777</v>
      </c>
      <c r="Y117" s="125">
        <v>29.079092725349636</v>
      </c>
      <c r="Z117" s="125">
        <v>-28511.440005698852</v>
      </c>
      <c r="AA117" s="112">
        <v>105923.78</v>
      </c>
      <c r="AB117" s="112">
        <v>119144.85</v>
      </c>
      <c r="AC117" s="8">
        <v>2.1924204206214446</v>
      </c>
      <c r="AD117" s="66"/>
      <c r="AE117" s="66">
        <v>45.406639004149376</v>
      </c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202" t="s">
        <v>1</v>
      </c>
      <c r="BJ117" s="203"/>
    </row>
    <row r="118" spans="1:62" ht="12.75" customHeight="1" x14ac:dyDescent="0.35">
      <c r="A118" s="108"/>
      <c r="B118" s="126" t="s">
        <v>1</v>
      </c>
      <c r="C118" s="5" t="s">
        <v>24</v>
      </c>
      <c r="D118" s="5" t="s">
        <v>316</v>
      </c>
      <c r="E118" s="5" t="s">
        <v>317</v>
      </c>
      <c r="F118" s="5">
        <v>1070881</v>
      </c>
      <c r="G118" s="7" t="s">
        <v>684</v>
      </c>
      <c r="H118" s="139">
        <v>865.20612748698557</v>
      </c>
      <c r="I118" s="139">
        <v>93.442261768594435</v>
      </c>
      <c r="J118" s="125">
        <v>0</v>
      </c>
      <c r="K118" s="125">
        <v>1597</v>
      </c>
      <c r="L118" s="130">
        <v>172.476</v>
      </c>
      <c r="M118" s="123">
        <v>2.1370629971963675</v>
      </c>
      <c r="N118" s="130">
        <v>79.033738231405565</v>
      </c>
      <c r="O118" s="130">
        <v>25.901750942825913</v>
      </c>
      <c r="P118" s="123">
        <v>1.9132305041806756</v>
      </c>
      <c r="Q118" s="5">
        <v>2211</v>
      </c>
      <c r="R118" s="5">
        <v>252</v>
      </c>
      <c r="S118" s="5">
        <v>1959</v>
      </c>
      <c r="T118" s="5">
        <v>0</v>
      </c>
      <c r="U118" s="5">
        <v>0</v>
      </c>
      <c r="V118" s="5">
        <v>0</v>
      </c>
      <c r="W118" s="5">
        <v>0</v>
      </c>
      <c r="X118" s="125">
        <v>2009.7826086956518</v>
      </c>
      <c r="Y118" s="125">
        <v>29.241968631692814</v>
      </c>
      <c r="Z118" s="125">
        <v>-2942.7938725130143</v>
      </c>
      <c r="AA118" s="112">
        <v>4585.59</v>
      </c>
      <c r="AB118" s="112">
        <v>10382.700000000001</v>
      </c>
      <c r="AC118" s="8">
        <v>4.4012633279198319</v>
      </c>
      <c r="AD118" s="66"/>
      <c r="AE118" s="66" t="s">
        <v>574</v>
      </c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202" t="s">
        <v>1</v>
      </c>
      <c r="BJ118" s="203"/>
    </row>
    <row r="119" spans="1:62" ht="12.75" customHeight="1" x14ac:dyDescent="0.35">
      <c r="A119" s="108"/>
      <c r="B119" s="126" t="s">
        <v>1</v>
      </c>
      <c r="C119" s="5" t="s">
        <v>2</v>
      </c>
      <c r="D119" s="5" t="s">
        <v>306</v>
      </c>
      <c r="E119" s="5" t="s">
        <v>401</v>
      </c>
      <c r="F119" s="56">
        <v>1064893</v>
      </c>
      <c r="G119" s="65" t="s">
        <v>535</v>
      </c>
      <c r="H119" s="139">
        <v>539.31798245418804</v>
      </c>
      <c r="I119" s="139">
        <v>970.77236841753847</v>
      </c>
      <c r="J119" s="125">
        <v>0</v>
      </c>
      <c r="K119" s="125">
        <v>849</v>
      </c>
      <c r="L119" s="130">
        <v>1528.2</v>
      </c>
      <c r="M119" s="123">
        <v>1.6187110914184217</v>
      </c>
      <c r="N119" s="130">
        <v>557.42763158246157</v>
      </c>
      <c r="O119" s="130">
        <v>7.245684324573106</v>
      </c>
      <c r="P119" s="123">
        <v>1.1242036122812622</v>
      </c>
      <c r="Q119" s="5">
        <v>956</v>
      </c>
      <c r="R119" s="5">
        <v>24</v>
      </c>
      <c r="S119" s="5">
        <v>932</v>
      </c>
      <c r="T119" s="5">
        <v>0</v>
      </c>
      <c r="U119" s="5">
        <v>0</v>
      </c>
      <c r="V119" s="5">
        <v>0</v>
      </c>
      <c r="W119" s="5">
        <v>0</v>
      </c>
      <c r="X119" s="125">
        <v>948.91304347826076</v>
      </c>
      <c r="Y119" s="125">
        <v>29.465292096219933</v>
      </c>
      <c r="Z119" s="125">
        <v>-1265.682017545812</v>
      </c>
      <c r="AA119" s="112">
        <v>1623.35</v>
      </c>
      <c r="AB119" s="112">
        <v>2805.32</v>
      </c>
      <c r="AC119" s="8">
        <v>3.3468196105501162</v>
      </c>
      <c r="AD119" s="66"/>
      <c r="AE119" s="66" t="s">
        <v>574</v>
      </c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202" t="s">
        <v>1</v>
      </c>
      <c r="BJ119" s="203"/>
    </row>
    <row r="120" spans="1:62" ht="12.75" customHeight="1" x14ac:dyDescent="0.35">
      <c r="A120" s="108"/>
      <c r="B120" s="126" t="s">
        <v>15</v>
      </c>
      <c r="C120" s="5" t="s">
        <v>5</v>
      </c>
      <c r="D120" s="5" t="s">
        <v>312</v>
      </c>
      <c r="E120" s="5" t="s">
        <v>315</v>
      </c>
      <c r="F120" s="5">
        <v>1078687</v>
      </c>
      <c r="G120" s="7" t="s">
        <v>709</v>
      </c>
      <c r="H120" s="139">
        <v>1737.0487804878048</v>
      </c>
      <c r="I120" s="139">
        <v>604.49297560975606</v>
      </c>
      <c r="J120" s="125">
        <v>0</v>
      </c>
      <c r="K120" s="125">
        <v>1273</v>
      </c>
      <c r="L120" s="130">
        <v>443.00399999999996</v>
      </c>
      <c r="M120" s="123">
        <v>0.96715764051727771</v>
      </c>
      <c r="N120" s="130">
        <v>161.4889756097561</v>
      </c>
      <c r="O120" s="130">
        <v>1.916202137070163</v>
      </c>
      <c r="P120" s="123">
        <v>1.0647682779241119</v>
      </c>
      <c r="Q120" s="5">
        <v>2219</v>
      </c>
      <c r="R120" s="5">
        <v>407</v>
      </c>
      <c r="S120" s="5">
        <v>1812</v>
      </c>
      <c r="T120" s="5">
        <v>0</v>
      </c>
      <c r="U120" s="5">
        <v>0</v>
      </c>
      <c r="V120" s="5">
        <v>0</v>
      </c>
      <c r="W120" s="5">
        <v>0</v>
      </c>
      <c r="X120" s="125">
        <v>1826.0869565217392</v>
      </c>
      <c r="Y120" s="125">
        <v>29.768571428571427</v>
      </c>
      <c r="Z120" s="125">
        <v>-1754.9512195121952</v>
      </c>
      <c r="AA120" s="112">
        <v>8112.02</v>
      </c>
      <c r="AB120" s="112">
        <v>8462.0400000000009</v>
      </c>
      <c r="AC120" s="8">
        <v>2.0103062385037704</v>
      </c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204"/>
      <c r="BJ120" s="203"/>
    </row>
    <row r="121" spans="1:62" ht="12.75" customHeight="1" x14ac:dyDescent="0.35">
      <c r="A121" s="108"/>
      <c r="B121" s="126">
        <v>0</v>
      </c>
      <c r="C121" s="5" t="s">
        <v>2</v>
      </c>
      <c r="D121" s="5" t="s">
        <v>310</v>
      </c>
      <c r="E121" s="5" t="s">
        <v>311</v>
      </c>
      <c r="F121" s="164">
        <v>1080747</v>
      </c>
      <c r="G121" s="169" t="s">
        <v>782</v>
      </c>
      <c r="H121" s="139">
        <v>25990.163278223812</v>
      </c>
      <c r="I121" s="139">
        <v>4158.4261245158104</v>
      </c>
      <c r="J121" s="125">
        <v>0</v>
      </c>
      <c r="K121" s="125">
        <v>20437</v>
      </c>
      <c r="L121" s="130">
        <v>3269.92</v>
      </c>
      <c r="M121" s="123">
        <v>0.81750159752948026</v>
      </c>
      <c r="N121" s="130">
        <v>888.50612451581037</v>
      </c>
      <c r="O121" s="130">
        <v>12.457822091319208</v>
      </c>
      <c r="P121" s="123">
        <v>1.4926302613130318</v>
      </c>
      <c r="Q121" s="5">
        <v>26735</v>
      </c>
      <c r="R121" s="5">
        <v>810</v>
      </c>
      <c r="S121" s="5">
        <v>25925</v>
      </c>
      <c r="T121" s="5">
        <v>0</v>
      </c>
      <c r="U121" s="5">
        <v>0</v>
      </c>
      <c r="V121" s="5">
        <v>0</v>
      </c>
      <c r="W121" s="5">
        <v>0</v>
      </c>
      <c r="X121" s="125">
        <v>25990.163278223808</v>
      </c>
      <c r="Y121" s="125">
        <v>29.92478314484649</v>
      </c>
      <c r="Z121" s="125">
        <v>-21181.836721776188</v>
      </c>
      <c r="AA121" s="112">
        <v>167116.75</v>
      </c>
      <c r="AB121" s="112">
        <v>166697.75</v>
      </c>
      <c r="AC121" s="8">
        <v>1.8149943690243631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204" t="s">
        <v>1</v>
      </c>
      <c r="BJ121" s="203" t="s">
        <v>833</v>
      </c>
    </row>
    <row r="122" spans="1:62" ht="12.75" customHeight="1" x14ac:dyDescent="0.35">
      <c r="A122" s="108"/>
      <c r="B122" s="126" t="s">
        <v>1</v>
      </c>
      <c r="C122" s="5" t="s">
        <v>2</v>
      </c>
      <c r="D122" s="5" t="s">
        <v>308</v>
      </c>
      <c r="E122" s="5" t="s">
        <v>395</v>
      </c>
      <c r="F122" s="5">
        <v>1078355</v>
      </c>
      <c r="G122" s="7" t="s">
        <v>706</v>
      </c>
      <c r="H122" s="139">
        <v>889</v>
      </c>
      <c r="I122" s="139">
        <v>224.02799999999999</v>
      </c>
      <c r="J122" s="125">
        <v>0</v>
      </c>
      <c r="K122" s="125">
        <v>630</v>
      </c>
      <c r="L122" s="130">
        <v>158.76</v>
      </c>
      <c r="M122" s="123">
        <v>0.72665916760404947</v>
      </c>
      <c r="N122" s="130">
        <v>65.268000000000001</v>
      </c>
      <c r="O122" s="130">
        <v>10.3599550056243</v>
      </c>
      <c r="P122" s="123">
        <v>1.34533183352081</v>
      </c>
      <c r="Q122" s="5">
        <v>922</v>
      </c>
      <c r="R122" s="5">
        <v>16</v>
      </c>
      <c r="S122" s="5">
        <v>906</v>
      </c>
      <c r="T122" s="5">
        <v>0</v>
      </c>
      <c r="U122" s="5">
        <v>0</v>
      </c>
      <c r="V122" s="5">
        <v>0</v>
      </c>
      <c r="W122" s="5">
        <v>1425</v>
      </c>
      <c r="X122" s="125">
        <v>889</v>
      </c>
      <c r="Y122" s="125">
        <v>30.573678290213728</v>
      </c>
      <c r="Z122" s="125">
        <v>-663</v>
      </c>
      <c r="AA122" s="112">
        <v>8045.45</v>
      </c>
      <c r="AB122" s="112">
        <v>21095.55</v>
      </c>
      <c r="AC122" s="8">
        <v>1.7457817772778403</v>
      </c>
      <c r="AD122" s="66"/>
      <c r="AE122" s="66">
        <v>67.599515738498795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202" t="s">
        <v>1</v>
      </c>
      <c r="BJ122" s="203"/>
    </row>
    <row r="123" spans="1:62" ht="12.75" customHeight="1" x14ac:dyDescent="0.35">
      <c r="A123" s="108"/>
      <c r="B123" s="126" t="s">
        <v>15</v>
      </c>
      <c r="C123" s="5" t="s">
        <v>5</v>
      </c>
      <c r="D123" s="5" t="s">
        <v>308</v>
      </c>
      <c r="E123" s="5" t="s">
        <v>315</v>
      </c>
      <c r="F123" s="5">
        <v>1074230</v>
      </c>
      <c r="G123" s="7" t="s">
        <v>702</v>
      </c>
      <c r="H123" s="139">
        <v>2055.3072068847464</v>
      </c>
      <c r="I123" s="139">
        <v>924.88824309813594</v>
      </c>
      <c r="J123" s="125">
        <v>0</v>
      </c>
      <c r="K123" s="125">
        <v>816</v>
      </c>
      <c r="L123" s="130">
        <v>367.2</v>
      </c>
      <c r="M123" s="123">
        <v>0.42037511331922739</v>
      </c>
      <c r="N123" s="130">
        <v>557.6882430981359</v>
      </c>
      <c r="O123" s="130">
        <v>0</v>
      </c>
      <c r="P123" s="123">
        <v>0.48380917985724936</v>
      </c>
      <c r="Q123" s="5">
        <v>2193</v>
      </c>
      <c r="R123" s="5">
        <v>48</v>
      </c>
      <c r="S123" s="5">
        <v>2145</v>
      </c>
      <c r="T123" s="5">
        <v>0</v>
      </c>
      <c r="U123" s="5">
        <v>0</v>
      </c>
      <c r="V123" s="5">
        <v>0</v>
      </c>
      <c r="W123" s="5">
        <v>0.6</v>
      </c>
      <c r="X123" s="125">
        <v>2055.3072068847464</v>
      </c>
      <c r="Y123" s="125">
        <v>31.309188127421624</v>
      </c>
      <c r="Z123" s="125">
        <v>-953.69279311525361</v>
      </c>
      <c r="AA123" s="112">
        <v>15394.25</v>
      </c>
      <c r="AB123" s="112">
        <v>16070.54</v>
      </c>
      <c r="AC123" s="8">
        <v>1.4640147175666147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202"/>
      <c r="BJ123" s="203"/>
    </row>
    <row r="124" spans="1:62" ht="12.75" customHeight="1" x14ac:dyDescent="0.35">
      <c r="A124" s="108"/>
      <c r="B124" s="126" t="s">
        <v>27</v>
      </c>
      <c r="C124" s="5" t="s">
        <v>5</v>
      </c>
      <c r="D124" s="5" t="s">
        <v>312</v>
      </c>
      <c r="E124" s="5" t="s">
        <v>313</v>
      </c>
      <c r="F124" s="5">
        <v>1072811</v>
      </c>
      <c r="G124" s="7" t="s">
        <v>606</v>
      </c>
      <c r="H124" s="139">
        <v>71156.303460178329</v>
      </c>
      <c r="I124" s="139">
        <v>16223.63718892066</v>
      </c>
      <c r="J124" s="125">
        <v>0</v>
      </c>
      <c r="K124" s="125">
        <v>28757</v>
      </c>
      <c r="L124" s="130">
        <v>6556.5960000000005</v>
      </c>
      <c r="M124" s="123">
        <v>0.50658899137689495</v>
      </c>
      <c r="N124" s="130">
        <v>9667.0411889206589</v>
      </c>
      <c r="O124" s="130">
        <v>0</v>
      </c>
      <c r="P124" s="123">
        <v>0.62430472473718135</v>
      </c>
      <c r="Q124" s="5">
        <v>83379</v>
      </c>
      <c r="R124" s="5">
        <v>7290</v>
      </c>
      <c r="S124" s="5">
        <v>76089</v>
      </c>
      <c r="T124" s="5">
        <v>0</v>
      </c>
      <c r="U124" s="5">
        <v>30</v>
      </c>
      <c r="V124" s="5">
        <v>0</v>
      </c>
      <c r="W124" s="5">
        <v>0</v>
      </c>
      <c r="X124" s="125">
        <v>71156.303460178329</v>
      </c>
      <c r="Y124" s="125">
        <v>32.079659692798202</v>
      </c>
      <c r="Z124" s="125">
        <v>-40979.696539821671</v>
      </c>
      <c r="AA124" s="112">
        <v>141601.04</v>
      </c>
      <c r="AB124" s="112">
        <v>151476.81</v>
      </c>
      <c r="AC124" s="8">
        <v>1.575910981136835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202"/>
      <c r="BJ124" s="203"/>
    </row>
    <row r="125" spans="1:62" ht="12.75" customHeight="1" x14ac:dyDescent="0.35">
      <c r="A125" s="108"/>
      <c r="B125" s="126" t="s">
        <v>8</v>
      </c>
      <c r="C125" s="5" t="s">
        <v>5</v>
      </c>
      <c r="D125" s="5" t="s">
        <v>308</v>
      </c>
      <c r="E125" s="5" t="s">
        <v>309</v>
      </c>
      <c r="F125" s="5">
        <v>1079847</v>
      </c>
      <c r="G125" s="7" t="s">
        <v>728</v>
      </c>
      <c r="H125" s="139">
        <v>9060.3875735077982</v>
      </c>
      <c r="I125" s="139">
        <v>3479.1888282269947</v>
      </c>
      <c r="J125" s="125">
        <v>0</v>
      </c>
      <c r="K125" s="125">
        <v>6614</v>
      </c>
      <c r="L125" s="130">
        <v>2539.7759999999998</v>
      </c>
      <c r="M125" s="123">
        <v>0.98207719347651168</v>
      </c>
      <c r="N125" s="130">
        <v>939.41282822699486</v>
      </c>
      <c r="O125" s="130">
        <v>0</v>
      </c>
      <c r="P125" s="123">
        <v>0.69796685958752835</v>
      </c>
      <c r="Q125" s="5">
        <v>12805</v>
      </c>
      <c r="R125" s="5">
        <v>2284</v>
      </c>
      <c r="S125" s="5">
        <v>10521</v>
      </c>
      <c r="T125" s="5">
        <v>0</v>
      </c>
      <c r="U125" s="5">
        <v>0</v>
      </c>
      <c r="V125" s="5">
        <v>0</v>
      </c>
      <c r="W125" s="5">
        <v>1</v>
      </c>
      <c r="X125" s="125">
        <v>9671.7391304347821</v>
      </c>
      <c r="Y125" s="125">
        <v>32.634254888739044</v>
      </c>
      <c r="Z125" s="125">
        <v>-10358.612426492202</v>
      </c>
      <c r="AA125" s="112">
        <v>81362.28</v>
      </c>
      <c r="AB125" s="112">
        <v>94487.56</v>
      </c>
      <c r="AC125" s="8">
        <v>2.1432857968218002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202" t="s">
        <v>1</v>
      </c>
      <c r="BJ125" s="203"/>
    </row>
    <row r="126" spans="1:62" ht="12.75" customHeight="1" x14ac:dyDescent="0.35">
      <c r="A126" s="108"/>
      <c r="B126" s="126" t="s">
        <v>21</v>
      </c>
      <c r="C126" s="5" t="s">
        <v>5</v>
      </c>
      <c r="D126" s="5" t="s">
        <v>308</v>
      </c>
      <c r="E126" s="5" t="s">
        <v>395</v>
      </c>
      <c r="F126" s="5">
        <v>1069125</v>
      </c>
      <c r="G126" s="7" t="s">
        <v>557</v>
      </c>
      <c r="H126" s="139">
        <v>89.459450266297608</v>
      </c>
      <c r="I126" s="139">
        <v>71.567560213038092</v>
      </c>
      <c r="J126" s="125">
        <v>0</v>
      </c>
      <c r="K126" s="125">
        <v>66</v>
      </c>
      <c r="L126" s="130">
        <v>52.800000000000004</v>
      </c>
      <c r="M126" s="123">
        <v>0.80483391956550876</v>
      </c>
      <c r="N126" s="130">
        <v>18.767560213038088</v>
      </c>
      <c r="O126" s="130">
        <v>0</v>
      </c>
      <c r="P126" s="123">
        <v>0.63031085127923481</v>
      </c>
      <c r="Q126" s="5">
        <v>106</v>
      </c>
      <c r="R126" s="5">
        <v>6</v>
      </c>
      <c r="S126" s="5">
        <v>100</v>
      </c>
      <c r="T126" s="5">
        <v>0</v>
      </c>
      <c r="U126" s="5">
        <v>0</v>
      </c>
      <c r="V126" s="5">
        <v>0</v>
      </c>
      <c r="W126" s="5">
        <v>50</v>
      </c>
      <c r="X126" s="125">
        <v>89.459450266297608</v>
      </c>
      <c r="Y126" s="125">
        <v>33.534746648562866</v>
      </c>
      <c r="Z126" s="125">
        <v>-82.540549733702392</v>
      </c>
      <c r="AA126" s="112">
        <v>3242.01</v>
      </c>
      <c r="AB126" s="112">
        <v>5436</v>
      </c>
      <c r="AC126" s="8">
        <v>1.9226588078509375</v>
      </c>
      <c r="AD126" s="66"/>
      <c r="AE126" s="66">
        <v>23.728842851009016</v>
      </c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202" t="s">
        <v>1</v>
      </c>
      <c r="BJ126" s="203"/>
    </row>
    <row r="127" spans="1:62" ht="12.75" customHeight="1" x14ac:dyDescent="0.35">
      <c r="A127" s="108"/>
      <c r="B127" s="126" t="s">
        <v>27</v>
      </c>
      <c r="C127" s="5" t="s">
        <v>5</v>
      </c>
      <c r="D127" s="5" t="s">
        <v>312</v>
      </c>
      <c r="E127" s="5" t="s">
        <v>313</v>
      </c>
      <c r="F127" s="5">
        <v>1052861</v>
      </c>
      <c r="G127" s="7" t="s">
        <v>196</v>
      </c>
      <c r="H127" s="139">
        <v>14097.958099188441</v>
      </c>
      <c r="I127" s="139">
        <v>648.50607256266824</v>
      </c>
      <c r="J127" s="125">
        <v>0</v>
      </c>
      <c r="K127" s="125">
        <v>16984</v>
      </c>
      <c r="L127" s="130">
        <v>781.26400000000001</v>
      </c>
      <c r="M127" s="123">
        <v>1.2234395845589081</v>
      </c>
      <c r="N127" s="130">
        <v>132.75792743733177</v>
      </c>
      <c r="O127" s="130">
        <v>4.6641812185016169</v>
      </c>
      <c r="P127" s="123">
        <v>1.168757469452901</v>
      </c>
      <c r="Q127" s="5">
        <v>21296</v>
      </c>
      <c r="R127" s="5">
        <v>264</v>
      </c>
      <c r="S127" s="5">
        <v>21032</v>
      </c>
      <c r="T127" s="5">
        <v>0</v>
      </c>
      <c r="U127" s="5">
        <v>0</v>
      </c>
      <c r="V127" s="5">
        <v>0</v>
      </c>
      <c r="W127" s="5">
        <v>0</v>
      </c>
      <c r="X127" s="125">
        <v>18747.82608695652</v>
      </c>
      <c r="Y127" s="125">
        <v>33.655102040816324</v>
      </c>
      <c r="Z127" s="125">
        <v>-24182.041900811557</v>
      </c>
      <c r="AA127" s="112">
        <v>7189.96</v>
      </c>
      <c r="AB127" s="112">
        <v>10726.32</v>
      </c>
      <c r="AC127" s="8">
        <v>2.715286833077168</v>
      </c>
      <c r="AD127" s="66"/>
      <c r="AE127" s="66">
        <v>7.7885819816926292</v>
      </c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202" t="s">
        <v>1</v>
      </c>
      <c r="BJ127" s="203" t="s">
        <v>818</v>
      </c>
    </row>
    <row r="128" spans="1:62" ht="12.75" customHeight="1" x14ac:dyDescent="0.35">
      <c r="A128" s="108"/>
      <c r="B128" s="126" t="s">
        <v>27</v>
      </c>
      <c r="C128" s="5" t="s">
        <v>5</v>
      </c>
      <c r="D128" s="5" t="s">
        <v>312</v>
      </c>
      <c r="E128" s="5" t="s">
        <v>313</v>
      </c>
      <c r="F128" s="5">
        <v>1052769</v>
      </c>
      <c r="G128" s="7" t="s">
        <v>192</v>
      </c>
      <c r="H128" s="139">
        <v>36672.288502109885</v>
      </c>
      <c r="I128" s="139">
        <v>10121.55162658233</v>
      </c>
      <c r="J128" s="125">
        <v>0</v>
      </c>
      <c r="K128" s="125">
        <v>17003</v>
      </c>
      <c r="L128" s="130">
        <v>4692.8280000000004</v>
      </c>
      <c r="M128" s="123">
        <v>0.72444347176401358</v>
      </c>
      <c r="N128" s="130">
        <v>5428.7236265823294</v>
      </c>
      <c r="O128" s="130">
        <v>0</v>
      </c>
      <c r="P128" s="123">
        <v>0.89120838763160104</v>
      </c>
      <c r="Q128" s="5">
        <v>51378</v>
      </c>
      <c r="R128" s="5">
        <v>9564</v>
      </c>
      <c r="S128" s="5">
        <v>41814</v>
      </c>
      <c r="T128" s="5">
        <v>2800</v>
      </c>
      <c r="U128" s="5">
        <v>0</v>
      </c>
      <c r="V128" s="5">
        <v>0</v>
      </c>
      <c r="W128" s="5">
        <v>700</v>
      </c>
      <c r="X128" s="125">
        <v>36672.288502109885</v>
      </c>
      <c r="Y128" s="125">
        <v>34.206209954086418</v>
      </c>
      <c r="Z128" s="125">
        <v>-34508.711497890115</v>
      </c>
      <c r="AA128" s="112">
        <v>148889.49</v>
      </c>
      <c r="AB128" s="112">
        <v>183974.84</v>
      </c>
      <c r="AC128" s="8">
        <v>1.941002400106683</v>
      </c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204"/>
      <c r="BJ128" s="203"/>
    </row>
    <row r="129" spans="1:62" ht="12.75" customHeight="1" x14ac:dyDescent="0.35">
      <c r="A129" s="108"/>
      <c r="B129" s="126" t="s">
        <v>1</v>
      </c>
      <c r="C129" s="5" t="s">
        <v>2</v>
      </c>
      <c r="D129" s="5" t="s">
        <v>306</v>
      </c>
      <c r="E129" s="5" t="s">
        <v>401</v>
      </c>
      <c r="F129" s="5">
        <v>1075852</v>
      </c>
      <c r="G129" s="7" t="s">
        <v>687</v>
      </c>
      <c r="H129" s="139">
        <v>10129.95017572994</v>
      </c>
      <c r="I129" s="139">
        <v>911.69551581569465</v>
      </c>
      <c r="J129" s="125">
        <v>0</v>
      </c>
      <c r="K129" s="125">
        <v>7872</v>
      </c>
      <c r="L129" s="130">
        <v>708.48</v>
      </c>
      <c r="M129" s="123">
        <v>1.1609139034242686</v>
      </c>
      <c r="N129" s="130">
        <v>203.21551581569463</v>
      </c>
      <c r="O129" s="130">
        <v>0</v>
      </c>
      <c r="P129" s="123">
        <v>0.60102855098037433</v>
      </c>
      <c r="Q129" s="5">
        <v>18497</v>
      </c>
      <c r="R129" s="5">
        <v>3888</v>
      </c>
      <c r="S129" s="5">
        <v>14609</v>
      </c>
      <c r="T129" s="5">
        <v>0</v>
      </c>
      <c r="U129" s="5">
        <v>0</v>
      </c>
      <c r="V129" s="5">
        <v>0</v>
      </c>
      <c r="W129" s="5">
        <v>480</v>
      </c>
      <c r="X129" s="125">
        <v>12782.608695652174</v>
      </c>
      <c r="Y129" s="125">
        <v>34.286428571428573</v>
      </c>
      <c r="Z129" s="125">
        <v>-16239.04982427006</v>
      </c>
      <c r="AA129" s="112">
        <v>3950.68</v>
      </c>
      <c r="AB129" s="112">
        <v>5884.71</v>
      </c>
      <c r="AC129" s="8">
        <v>2.6030730203566783</v>
      </c>
      <c r="AD129" s="66"/>
      <c r="AE129" s="66">
        <v>8.3670715249662617</v>
      </c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202" t="s">
        <v>1</v>
      </c>
      <c r="BJ129" s="203"/>
    </row>
    <row r="130" spans="1:62" ht="12.75" customHeight="1" x14ac:dyDescent="0.35">
      <c r="A130" s="108"/>
      <c r="B130" s="126" t="s">
        <v>15</v>
      </c>
      <c r="C130" s="5" t="s">
        <v>5</v>
      </c>
      <c r="D130" s="5" t="s">
        <v>308</v>
      </c>
      <c r="E130" s="5" t="s">
        <v>315</v>
      </c>
      <c r="F130" s="5">
        <v>1078372</v>
      </c>
      <c r="G130" s="7" t="s">
        <v>708</v>
      </c>
      <c r="H130" s="139">
        <v>6923.2993926019417</v>
      </c>
      <c r="I130" s="139">
        <v>2492.3877813366989</v>
      </c>
      <c r="J130" s="125">
        <v>0</v>
      </c>
      <c r="K130" s="125">
        <v>8460</v>
      </c>
      <c r="L130" s="130">
        <v>3045.6</v>
      </c>
      <c r="M130" s="123">
        <v>1.7074229106185432</v>
      </c>
      <c r="N130" s="130">
        <v>553.21221866330097</v>
      </c>
      <c r="O130" s="130">
        <v>48.990244847583469</v>
      </c>
      <c r="P130" s="123">
        <v>3.1716057771511075</v>
      </c>
      <c r="Q130" s="5">
        <v>18068</v>
      </c>
      <c r="R130" s="5">
        <v>3361</v>
      </c>
      <c r="S130" s="5">
        <v>14707</v>
      </c>
      <c r="T130" s="5">
        <v>0</v>
      </c>
      <c r="U130" s="5">
        <v>20</v>
      </c>
      <c r="V130" s="5">
        <v>0</v>
      </c>
      <c r="W130" s="5">
        <v>400</v>
      </c>
      <c r="X130" s="125">
        <v>12848.91304347826</v>
      </c>
      <c r="Y130" s="125">
        <v>34.338313171474496</v>
      </c>
      <c r="Z130" s="125">
        <v>-19604.700607398059</v>
      </c>
      <c r="AA130" s="112">
        <v>43686.02</v>
      </c>
      <c r="AB130" s="112">
        <v>95451.37</v>
      </c>
      <c r="AC130" s="8">
        <v>3.8316990925377477</v>
      </c>
      <c r="AD130" s="66"/>
      <c r="AE130" s="66">
        <v>44</v>
      </c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202" t="s">
        <v>1</v>
      </c>
      <c r="BJ130" s="203"/>
    </row>
    <row r="131" spans="1:62" ht="12.75" customHeight="1" x14ac:dyDescent="0.35">
      <c r="A131" s="108"/>
      <c r="B131" s="126" t="s">
        <v>1</v>
      </c>
      <c r="C131" s="5" t="s">
        <v>24</v>
      </c>
      <c r="D131" s="5" t="s">
        <v>316</v>
      </c>
      <c r="E131" s="5" t="s">
        <v>317</v>
      </c>
      <c r="F131" s="5">
        <v>1072239</v>
      </c>
      <c r="G131" s="7" t="s">
        <v>767</v>
      </c>
      <c r="H131" s="139">
        <v>3966.2065017446912</v>
      </c>
      <c r="I131" s="139">
        <v>1507.1584706629826</v>
      </c>
      <c r="J131" s="125">
        <v>0</v>
      </c>
      <c r="K131" s="125">
        <v>4178</v>
      </c>
      <c r="L131" s="130">
        <v>1587.64</v>
      </c>
      <c r="M131" s="123">
        <v>1.3952879149297077</v>
      </c>
      <c r="N131" s="130">
        <v>80.481529337017491</v>
      </c>
      <c r="O131" s="130">
        <v>9.6038134687977568</v>
      </c>
      <c r="P131" s="123">
        <v>1.3249525447867425</v>
      </c>
      <c r="Q131" s="5">
        <v>8372</v>
      </c>
      <c r="R131" s="5">
        <v>1356</v>
      </c>
      <c r="S131" s="5">
        <v>7016</v>
      </c>
      <c r="T131" s="5">
        <v>0</v>
      </c>
      <c r="U131" s="5">
        <v>0</v>
      </c>
      <c r="V131" s="5">
        <v>0</v>
      </c>
      <c r="W131" s="5">
        <v>0</v>
      </c>
      <c r="X131" s="125">
        <v>6015.2173913043489</v>
      </c>
      <c r="Y131" s="125">
        <v>34.991254065775202</v>
      </c>
      <c r="Z131" s="125">
        <v>-8583.7934982553088</v>
      </c>
      <c r="AA131" s="112">
        <v>34347.35</v>
      </c>
      <c r="AB131" s="112">
        <v>60758.559999999998</v>
      </c>
      <c r="AC131" s="8">
        <v>3.1642326224011259</v>
      </c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202"/>
      <c r="BJ131" s="203"/>
    </row>
    <row r="132" spans="1:62" ht="12.75" customHeight="1" x14ac:dyDescent="0.35">
      <c r="A132" s="108"/>
      <c r="B132" s="126" t="s">
        <v>15</v>
      </c>
      <c r="C132" s="5" t="s">
        <v>5</v>
      </c>
      <c r="D132" s="5" t="s">
        <v>308</v>
      </c>
      <c r="E132" s="5" t="s">
        <v>315</v>
      </c>
      <c r="F132" s="5">
        <v>1074226</v>
      </c>
      <c r="G132" s="141" t="s">
        <v>633</v>
      </c>
      <c r="H132" s="139">
        <v>2538.523009654858</v>
      </c>
      <c r="I132" s="139">
        <v>507.70460193097165</v>
      </c>
      <c r="J132" s="125">
        <v>0</v>
      </c>
      <c r="K132" s="125">
        <v>711</v>
      </c>
      <c r="L132" s="130">
        <v>142.20000000000002</v>
      </c>
      <c r="M132" s="123">
        <v>0.28481128484957097</v>
      </c>
      <c r="N132" s="130">
        <v>365.5046019309716</v>
      </c>
      <c r="O132" s="130">
        <v>0</v>
      </c>
      <c r="P132" s="123">
        <v>0.16196029006874263</v>
      </c>
      <c r="Q132" s="5">
        <v>2991</v>
      </c>
      <c r="R132" s="5">
        <v>12</v>
      </c>
      <c r="S132" s="5">
        <v>2979</v>
      </c>
      <c r="T132" s="5">
        <v>0</v>
      </c>
      <c r="U132" s="5">
        <v>0</v>
      </c>
      <c r="V132" s="5">
        <v>0</v>
      </c>
      <c r="W132" s="5">
        <v>0</v>
      </c>
      <c r="X132" s="125">
        <v>2538.523009654858</v>
      </c>
      <c r="Y132" s="125">
        <v>35.205511102359836</v>
      </c>
      <c r="Z132" s="125">
        <v>-1163.476990345142</v>
      </c>
      <c r="AA132" s="112">
        <v>6600.16</v>
      </c>
      <c r="AB132" s="112">
        <v>7745.4</v>
      </c>
      <c r="AC132" s="8">
        <v>1.4583283215948988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204" t="s">
        <v>1</v>
      </c>
      <c r="BJ132" s="203"/>
    </row>
    <row r="133" spans="1:62" ht="12.75" customHeight="1" x14ac:dyDescent="0.35">
      <c r="A133" s="108"/>
      <c r="B133" s="126" t="s">
        <v>31</v>
      </c>
      <c r="C133" s="5" t="s">
        <v>5</v>
      </c>
      <c r="D133" s="5" t="s">
        <v>396</v>
      </c>
      <c r="E133" s="5" t="s">
        <v>397</v>
      </c>
      <c r="F133" s="5">
        <v>1071794</v>
      </c>
      <c r="G133" s="7" t="s">
        <v>660</v>
      </c>
      <c r="H133" s="139">
        <v>250</v>
      </c>
      <c r="I133" s="139">
        <v>125</v>
      </c>
      <c r="J133" s="125">
        <v>0</v>
      </c>
      <c r="K133" s="125">
        <v>507</v>
      </c>
      <c r="L133" s="130">
        <v>253.5</v>
      </c>
      <c r="M133" s="123">
        <v>2.3519999999999999</v>
      </c>
      <c r="N133" s="130">
        <v>128.5</v>
      </c>
      <c r="O133" s="130">
        <v>31.800000000000008</v>
      </c>
      <c r="P133" s="123">
        <v>2.3250000000000002</v>
      </c>
      <c r="Q133" s="5">
        <v>836</v>
      </c>
      <c r="R133" s="5">
        <v>81</v>
      </c>
      <c r="S133" s="5">
        <v>755</v>
      </c>
      <c r="T133" s="5">
        <v>0</v>
      </c>
      <c r="U133" s="5">
        <v>0</v>
      </c>
      <c r="V133" s="5">
        <v>1287</v>
      </c>
      <c r="W133" s="5">
        <v>0</v>
      </c>
      <c r="X133" s="125">
        <v>639.13043478260875</v>
      </c>
      <c r="Y133" s="125">
        <v>35.438775510204081</v>
      </c>
      <c r="Z133" s="125">
        <v>-1093</v>
      </c>
      <c r="AA133" s="112">
        <v>1697.5</v>
      </c>
      <c r="AB133" s="112">
        <v>13865.18</v>
      </c>
      <c r="AC133" s="8">
        <v>5.3719999999999999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202"/>
      <c r="BJ133" s="203" t="s">
        <v>846</v>
      </c>
    </row>
    <row r="134" spans="1:62" ht="12.75" customHeight="1" x14ac:dyDescent="0.35">
      <c r="A134" s="108"/>
      <c r="B134" s="126" t="s">
        <v>27</v>
      </c>
      <c r="C134" s="5" t="s">
        <v>5</v>
      </c>
      <c r="D134" s="5" t="s">
        <v>312</v>
      </c>
      <c r="E134" s="5" t="s">
        <v>313</v>
      </c>
      <c r="F134" s="56">
        <v>1072352</v>
      </c>
      <c r="G134" s="65" t="s">
        <v>592</v>
      </c>
      <c r="H134" s="139">
        <v>62563.01896135736</v>
      </c>
      <c r="I134" s="139">
        <v>14264.368323189479</v>
      </c>
      <c r="J134" s="125">
        <v>0</v>
      </c>
      <c r="K134" s="125">
        <v>34998</v>
      </c>
      <c r="L134" s="130">
        <v>7979.5439999999999</v>
      </c>
      <c r="M134" s="123">
        <v>0.79005138851323131</v>
      </c>
      <c r="N134" s="130">
        <v>6284.8243231894794</v>
      </c>
      <c r="O134" s="130">
        <v>0</v>
      </c>
      <c r="P134" s="123">
        <v>0.61013337626866471</v>
      </c>
      <c r="Q134" s="5">
        <v>88830</v>
      </c>
      <c r="R134" s="5">
        <v>14430</v>
      </c>
      <c r="S134" s="5">
        <v>74397</v>
      </c>
      <c r="T134" s="5">
        <v>0</v>
      </c>
      <c r="U134" s="5">
        <v>0</v>
      </c>
      <c r="V134" s="5">
        <v>0</v>
      </c>
      <c r="W134" s="5">
        <v>30</v>
      </c>
      <c r="X134" s="125">
        <v>62563.01896135736</v>
      </c>
      <c r="Y134" s="125">
        <v>35.674589191077239</v>
      </c>
      <c r="Z134" s="125">
        <v>-61264.98103864264</v>
      </c>
      <c r="AA134" s="112">
        <v>135761.75</v>
      </c>
      <c r="AB134" s="112">
        <v>161506.59</v>
      </c>
      <c r="AC134" s="8">
        <v>1.9792523131993285</v>
      </c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204"/>
      <c r="BJ134" s="203"/>
    </row>
    <row r="135" spans="1:62" ht="12.75" customHeight="1" x14ac:dyDescent="0.35">
      <c r="A135" s="108"/>
      <c r="B135" s="126" t="s">
        <v>31</v>
      </c>
      <c r="C135" s="5" t="s">
        <v>5</v>
      </c>
      <c r="D135" s="5" t="s">
        <v>306</v>
      </c>
      <c r="E135" s="5" t="s">
        <v>307</v>
      </c>
      <c r="F135" s="5">
        <v>1078161</v>
      </c>
      <c r="G135" s="7" t="s">
        <v>705</v>
      </c>
      <c r="H135" s="139">
        <v>4700.3106365150779</v>
      </c>
      <c r="I135" s="139">
        <v>1743.8152461470938</v>
      </c>
      <c r="J135" s="125">
        <v>0</v>
      </c>
      <c r="K135" s="125">
        <v>1476</v>
      </c>
      <c r="L135" s="130">
        <v>547.596</v>
      </c>
      <c r="M135" s="123">
        <v>0.36252923089002181</v>
      </c>
      <c r="N135" s="130">
        <v>1196.2192461470938</v>
      </c>
      <c r="O135" s="130">
        <v>0</v>
      </c>
      <c r="P135" s="123">
        <v>0.16962991036588188</v>
      </c>
      <c r="Q135" s="5">
        <v>5818</v>
      </c>
      <c r="R135" s="5">
        <v>228</v>
      </c>
      <c r="S135" s="5">
        <v>5590</v>
      </c>
      <c r="T135" s="5">
        <v>720</v>
      </c>
      <c r="U135" s="5">
        <v>0</v>
      </c>
      <c r="V135" s="5">
        <v>0</v>
      </c>
      <c r="W135" s="5">
        <v>0</v>
      </c>
      <c r="X135" s="125">
        <v>4700.3106365150779</v>
      </c>
      <c r="Y135" s="125">
        <v>35.678492969634185</v>
      </c>
      <c r="Z135" s="125">
        <v>-3313.6893634849221</v>
      </c>
      <c r="AA135" s="112">
        <v>45687.02</v>
      </c>
      <c r="AB135" s="112">
        <v>61333.2</v>
      </c>
      <c r="AC135" s="8">
        <v>1.7049936950426261</v>
      </c>
      <c r="AD135" s="66"/>
      <c r="AE135" s="66">
        <v>40.776923076923076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202" t="s">
        <v>1</v>
      </c>
      <c r="BJ135" s="203"/>
    </row>
    <row r="136" spans="1:62" ht="12.75" customHeight="1" x14ac:dyDescent="0.35">
      <c r="A136" s="108"/>
      <c r="B136" s="126" t="s">
        <v>9</v>
      </c>
      <c r="C136" s="5" t="s">
        <v>5</v>
      </c>
      <c r="D136" s="5" t="s">
        <v>308</v>
      </c>
      <c r="E136" s="5" t="s">
        <v>315</v>
      </c>
      <c r="F136" s="142">
        <v>1080403</v>
      </c>
      <c r="G136" s="143" t="s">
        <v>743</v>
      </c>
      <c r="H136" s="139">
        <v>490.29585160778072</v>
      </c>
      <c r="I136" s="139">
        <v>392.23668128622461</v>
      </c>
      <c r="J136" s="125">
        <v>0</v>
      </c>
      <c r="K136" s="125">
        <v>493</v>
      </c>
      <c r="L136" s="130">
        <v>394.40000000000003</v>
      </c>
      <c r="M136" s="123">
        <v>1.0565049618538922</v>
      </c>
      <c r="N136" s="130">
        <v>2.1633187137754248</v>
      </c>
      <c r="O136" s="130">
        <v>4.771530419920321</v>
      </c>
      <c r="P136" s="123">
        <v>1.1607817870160411</v>
      </c>
      <c r="Q136" s="5">
        <v>719</v>
      </c>
      <c r="R136" s="5">
        <v>25</v>
      </c>
      <c r="S136" s="5">
        <v>694</v>
      </c>
      <c r="T136" s="5">
        <v>0</v>
      </c>
      <c r="U136" s="5">
        <v>0</v>
      </c>
      <c r="V136" s="5">
        <v>0</v>
      </c>
      <c r="W136" s="5">
        <v>0</v>
      </c>
      <c r="X136" s="125">
        <v>563.04347826086951</v>
      </c>
      <c r="Y136" s="125">
        <v>36.977606177606184</v>
      </c>
      <c r="Z136" s="125">
        <v>-721.70414839221928</v>
      </c>
      <c r="AA136" s="112">
        <v>9805.92</v>
      </c>
      <c r="AB136" s="112">
        <v>13880</v>
      </c>
      <c r="AC136" s="8">
        <v>2.4719768605538945</v>
      </c>
      <c r="AD136" s="66"/>
      <c r="AE136" s="66">
        <v>46.744578313253015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202" t="s">
        <v>1</v>
      </c>
      <c r="BJ136" s="203"/>
    </row>
    <row r="137" spans="1:62" ht="12.75" customHeight="1" x14ac:dyDescent="0.35">
      <c r="A137" s="108"/>
      <c r="B137" s="126" t="s">
        <v>15</v>
      </c>
      <c r="C137" s="5" t="s">
        <v>5</v>
      </c>
      <c r="D137" s="5" t="s">
        <v>308</v>
      </c>
      <c r="E137" s="5" t="s">
        <v>315</v>
      </c>
      <c r="F137" s="56">
        <v>1074227</v>
      </c>
      <c r="G137" s="65" t="s">
        <v>701</v>
      </c>
      <c r="H137" s="139">
        <v>1719.4045428290324</v>
      </c>
      <c r="I137" s="139">
        <v>550.20945370529034</v>
      </c>
      <c r="J137" s="125">
        <v>0</v>
      </c>
      <c r="K137" s="125">
        <v>720</v>
      </c>
      <c r="L137" s="130">
        <v>230.4</v>
      </c>
      <c r="M137" s="123">
        <v>0.43968710164980196</v>
      </c>
      <c r="N137" s="130">
        <v>319.80945370529037</v>
      </c>
      <c r="O137" s="130">
        <v>0</v>
      </c>
      <c r="P137" s="123">
        <v>0.40500000000000003</v>
      </c>
      <c r="Q137" s="5">
        <v>2210</v>
      </c>
      <c r="R137" s="5">
        <v>36</v>
      </c>
      <c r="S137" s="5">
        <v>2174</v>
      </c>
      <c r="T137" s="5">
        <v>0</v>
      </c>
      <c r="U137" s="5">
        <v>0</v>
      </c>
      <c r="V137" s="5">
        <v>0</v>
      </c>
      <c r="W137" s="5">
        <v>0</v>
      </c>
      <c r="X137" s="125">
        <v>1719.4045428290324</v>
      </c>
      <c r="Y137" s="125">
        <v>37.931736467724974</v>
      </c>
      <c r="Z137" s="125">
        <v>-1210.5954571709676</v>
      </c>
      <c r="AA137" s="112">
        <v>9594.2800000000007</v>
      </c>
      <c r="AB137" s="112">
        <v>12130.92</v>
      </c>
      <c r="AC137" s="8">
        <v>1.7040783172406346</v>
      </c>
      <c r="AD137" s="66"/>
      <c r="AE137" s="66">
        <v>159.2206572769953</v>
      </c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202" t="s">
        <v>1</v>
      </c>
      <c r="BJ137" s="203"/>
    </row>
    <row r="138" spans="1:62" ht="12.75" customHeight="1" x14ac:dyDescent="0.35">
      <c r="A138" s="108"/>
      <c r="B138" s="126" t="s">
        <v>15</v>
      </c>
      <c r="C138" s="5" t="s">
        <v>5</v>
      </c>
      <c r="D138" s="5" t="s">
        <v>308</v>
      </c>
      <c r="E138" s="5" t="s">
        <v>397</v>
      </c>
      <c r="F138" s="56">
        <v>1074165</v>
      </c>
      <c r="G138" s="65" t="s">
        <v>631</v>
      </c>
      <c r="H138" s="139">
        <v>13276.36156541327</v>
      </c>
      <c r="I138" s="139">
        <v>13276.36156541327</v>
      </c>
      <c r="J138" s="125">
        <v>0</v>
      </c>
      <c r="K138" s="125">
        <v>8971</v>
      </c>
      <c r="L138" s="130">
        <v>8971</v>
      </c>
      <c r="M138" s="123">
        <v>0.7746851386447493</v>
      </c>
      <c r="N138" s="130">
        <v>4305.36156541327</v>
      </c>
      <c r="O138" s="130">
        <v>2.818839889046036</v>
      </c>
      <c r="P138" s="123">
        <v>1.096811234090125</v>
      </c>
      <c r="Q138" s="5">
        <v>18474</v>
      </c>
      <c r="R138" s="5">
        <v>1314</v>
      </c>
      <c r="S138" s="5">
        <v>17160</v>
      </c>
      <c r="T138" s="5">
        <v>0</v>
      </c>
      <c r="U138" s="5">
        <v>7</v>
      </c>
      <c r="V138" s="5">
        <v>0</v>
      </c>
      <c r="W138" s="5">
        <v>227</v>
      </c>
      <c r="X138" s="125">
        <v>13276.36156541327</v>
      </c>
      <c r="Y138" s="125">
        <v>38.775683944999216</v>
      </c>
      <c r="Z138" s="125">
        <v>-14168.63843458673</v>
      </c>
      <c r="AA138" s="112">
        <v>148960.78</v>
      </c>
      <c r="AB138" s="112">
        <v>195160.68</v>
      </c>
      <c r="AC138" s="8">
        <v>2.06720793681139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202" t="s">
        <v>1</v>
      </c>
      <c r="BJ138" s="203"/>
    </row>
    <row r="139" spans="1:62" ht="12.75" customHeight="1" x14ac:dyDescent="0.35">
      <c r="A139" s="108"/>
      <c r="B139" s="126" t="s">
        <v>1</v>
      </c>
      <c r="C139" s="5" t="s">
        <v>50</v>
      </c>
      <c r="D139" s="5" t="s">
        <v>310</v>
      </c>
      <c r="E139" s="5" t="s">
        <v>403</v>
      </c>
      <c r="F139" s="5">
        <v>1076302</v>
      </c>
      <c r="G139" s="7" t="s">
        <v>692</v>
      </c>
      <c r="H139" s="139">
        <v>22949.963271663197</v>
      </c>
      <c r="I139" s="139">
        <v>849.14864105153822</v>
      </c>
      <c r="J139" s="125">
        <v>0</v>
      </c>
      <c r="K139" s="125">
        <v>13462</v>
      </c>
      <c r="L139" s="130">
        <v>498.09399999999999</v>
      </c>
      <c r="M139" s="123">
        <v>0.71416236296277991</v>
      </c>
      <c r="N139" s="130">
        <v>351.05464105153823</v>
      </c>
      <c r="O139" s="130">
        <v>0</v>
      </c>
      <c r="P139" s="123">
        <v>0.84592395532536024</v>
      </c>
      <c r="Q139" s="5">
        <v>32754</v>
      </c>
      <c r="R139" s="5">
        <v>2928</v>
      </c>
      <c r="S139" s="5">
        <v>29826</v>
      </c>
      <c r="T139" s="5">
        <v>0</v>
      </c>
      <c r="U139" s="5">
        <v>0</v>
      </c>
      <c r="V139" s="5">
        <v>0</v>
      </c>
      <c r="W139" s="5">
        <v>0</v>
      </c>
      <c r="X139" s="125">
        <v>22949.963271663197</v>
      </c>
      <c r="Y139" s="125">
        <v>38.988297689556816</v>
      </c>
      <c r="Z139" s="125">
        <v>-23266.036728336803</v>
      </c>
      <c r="AA139" s="112">
        <v>51866.92</v>
      </c>
      <c r="AB139" s="112">
        <v>67406.759999999995</v>
      </c>
      <c r="AC139" s="8">
        <v>2.0137722859480069</v>
      </c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204" t="s">
        <v>1</v>
      </c>
      <c r="BJ139" s="203"/>
    </row>
    <row r="140" spans="1:62" ht="12.75" customHeight="1" x14ac:dyDescent="0.35">
      <c r="A140" s="108"/>
      <c r="B140" s="126" t="s">
        <v>1</v>
      </c>
      <c r="C140" s="5" t="s">
        <v>50</v>
      </c>
      <c r="D140" s="5" t="s">
        <v>320</v>
      </c>
      <c r="E140" s="5" t="s">
        <v>402</v>
      </c>
      <c r="F140" s="5">
        <v>1060792</v>
      </c>
      <c r="G140" s="7" t="s">
        <v>429</v>
      </c>
      <c r="H140" s="139">
        <v>11019.262033524548</v>
      </c>
      <c r="I140" s="139">
        <v>1983.4671660344186</v>
      </c>
      <c r="J140" s="125">
        <v>0</v>
      </c>
      <c r="K140" s="125">
        <v>2819</v>
      </c>
      <c r="L140" s="130">
        <v>507.41999999999996</v>
      </c>
      <c r="M140" s="123">
        <v>0.58470340213329008</v>
      </c>
      <c r="N140" s="130">
        <v>1476.0471660344188</v>
      </c>
      <c r="O140" s="130">
        <v>0</v>
      </c>
      <c r="P140" s="123">
        <v>0.87687398781838721</v>
      </c>
      <c r="Q140" s="5">
        <v>18256</v>
      </c>
      <c r="R140" s="5">
        <v>3624</v>
      </c>
      <c r="S140" s="5">
        <v>14632</v>
      </c>
      <c r="T140" s="5">
        <v>0</v>
      </c>
      <c r="U140" s="5">
        <v>0</v>
      </c>
      <c r="V140" s="5">
        <v>0</v>
      </c>
      <c r="W140" s="5">
        <v>0</v>
      </c>
      <c r="X140" s="125">
        <v>11019.262033524548</v>
      </c>
      <c r="Y140" s="125">
        <v>39.835698494556731</v>
      </c>
      <c r="Z140" s="125">
        <v>-10055.737966475452</v>
      </c>
      <c r="AA140" s="112">
        <v>76914.45</v>
      </c>
      <c r="AB140" s="112">
        <v>102131.36</v>
      </c>
      <c r="AC140" s="8">
        <v>1.9125600186185145</v>
      </c>
      <c r="AD140" s="66"/>
      <c r="AE140" s="66">
        <v>4.7401500938086309</v>
      </c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202" t="s">
        <v>1</v>
      </c>
      <c r="BJ140" s="190" t="s">
        <v>866</v>
      </c>
    </row>
    <row r="141" spans="1:62" ht="12.75" customHeight="1" x14ac:dyDescent="0.35">
      <c r="A141" s="108"/>
      <c r="B141" s="126" t="s">
        <v>1</v>
      </c>
      <c r="C141" s="5" t="s">
        <v>50</v>
      </c>
      <c r="D141" s="5" t="s">
        <v>320</v>
      </c>
      <c r="E141" s="5" t="s">
        <v>402</v>
      </c>
      <c r="F141" s="56">
        <v>1060798</v>
      </c>
      <c r="G141" s="65" t="s">
        <v>435</v>
      </c>
      <c r="H141" s="139">
        <v>9258.8655245824812</v>
      </c>
      <c r="I141" s="139">
        <v>1666.5957944248466</v>
      </c>
      <c r="J141" s="125">
        <v>0</v>
      </c>
      <c r="K141" s="125">
        <v>5033</v>
      </c>
      <c r="L141" s="130">
        <v>905.93999999999994</v>
      </c>
      <c r="M141" s="123">
        <v>0.66001606609094465</v>
      </c>
      <c r="N141" s="130">
        <v>760.6557944248467</v>
      </c>
      <c r="O141" s="130">
        <v>1.8199846074011101</v>
      </c>
      <c r="P141" s="123">
        <v>1.0434775682401469</v>
      </c>
      <c r="Q141" s="5">
        <v>13406</v>
      </c>
      <c r="R141" s="5">
        <v>1078</v>
      </c>
      <c r="S141" s="5">
        <v>12328</v>
      </c>
      <c r="T141" s="5">
        <v>0</v>
      </c>
      <c r="U141" s="5">
        <v>0</v>
      </c>
      <c r="V141" s="5">
        <v>0</v>
      </c>
      <c r="W141" s="5">
        <v>80</v>
      </c>
      <c r="X141" s="125">
        <v>9258.8655245824812</v>
      </c>
      <c r="Y141" s="125">
        <v>39.944418570295369</v>
      </c>
      <c r="Z141" s="125">
        <v>-9180.1344754175188</v>
      </c>
      <c r="AA141" s="112">
        <v>63515.82</v>
      </c>
      <c r="AB141" s="112">
        <v>85118.88</v>
      </c>
      <c r="AC141" s="8">
        <v>1.99149668510079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202" t="s">
        <v>1</v>
      </c>
      <c r="BJ141" s="203"/>
    </row>
    <row r="142" spans="1:62" ht="12.75" customHeight="1" x14ac:dyDescent="0.35">
      <c r="A142" s="108"/>
      <c r="B142" s="126" t="s">
        <v>1</v>
      </c>
      <c r="C142" s="5" t="s">
        <v>2</v>
      </c>
      <c r="D142" s="5" t="s">
        <v>310</v>
      </c>
      <c r="E142" s="5" t="s">
        <v>311</v>
      </c>
      <c r="F142" s="137">
        <v>1068296</v>
      </c>
      <c r="G142" s="138" t="s">
        <v>571</v>
      </c>
      <c r="H142" s="139">
        <v>6936.0285265887087</v>
      </c>
      <c r="I142" s="139">
        <v>1248.4851347859676</v>
      </c>
      <c r="J142" s="125">
        <v>0</v>
      </c>
      <c r="K142" s="125">
        <v>6264</v>
      </c>
      <c r="L142" s="130">
        <v>1127.52</v>
      </c>
      <c r="M142" s="123">
        <v>0.92906192287091138</v>
      </c>
      <c r="N142" s="130">
        <v>120.96513478596762</v>
      </c>
      <c r="O142" s="130">
        <v>5.4311479251017305</v>
      </c>
      <c r="P142" s="123">
        <v>1.1677309633824098</v>
      </c>
      <c r="Q142" s="5">
        <v>9557</v>
      </c>
      <c r="R142" s="5">
        <v>180</v>
      </c>
      <c r="S142" s="5">
        <v>9377</v>
      </c>
      <c r="T142" s="5">
        <v>0</v>
      </c>
      <c r="U142" s="5">
        <v>0</v>
      </c>
      <c r="V142" s="5">
        <v>0</v>
      </c>
      <c r="W142" s="5">
        <v>0</v>
      </c>
      <c r="X142" s="125">
        <v>7004.347826086957</v>
      </c>
      <c r="Y142" s="125">
        <v>40.162197392923645</v>
      </c>
      <c r="Z142" s="125">
        <v>-8884.9714734112913</v>
      </c>
      <c r="AA142" s="112">
        <v>15051.18</v>
      </c>
      <c r="AB142" s="112">
        <v>20348.09</v>
      </c>
      <c r="AC142" s="8">
        <v>2.2809883118778229</v>
      </c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202" t="s">
        <v>1</v>
      </c>
      <c r="BJ142" s="203" t="s">
        <v>808</v>
      </c>
    </row>
    <row r="143" spans="1:62" ht="12.75" customHeight="1" x14ac:dyDescent="0.35">
      <c r="A143" s="108"/>
      <c r="B143" s="126" t="s">
        <v>21</v>
      </c>
      <c r="C143" s="5" t="s">
        <v>5</v>
      </c>
      <c r="D143" s="5" t="s">
        <v>306</v>
      </c>
      <c r="E143" s="5" t="s">
        <v>307</v>
      </c>
      <c r="F143" s="5">
        <v>1059375</v>
      </c>
      <c r="G143" s="7" t="s">
        <v>349</v>
      </c>
      <c r="H143" s="139">
        <v>4188.9777188132675</v>
      </c>
      <c r="I143" s="139">
        <v>3770.0799469319409</v>
      </c>
      <c r="J143" s="125">
        <v>0</v>
      </c>
      <c r="K143" s="125">
        <v>1063</v>
      </c>
      <c r="L143" s="130">
        <v>956.7</v>
      </c>
      <c r="M143" s="123">
        <v>0.38147732150093927</v>
      </c>
      <c r="N143" s="130">
        <v>2813.379946931941</v>
      </c>
      <c r="O143" s="130">
        <v>0</v>
      </c>
      <c r="P143" s="123">
        <v>0.85501775359278076</v>
      </c>
      <c r="Q143" s="5">
        <v>6309</v>
      </c>
      <c r="R143" s="5">
        <v>535</v>
      </c>
      <c r="S143" s="5">
        <v>5774</v>
      </c>
      <c r="T143" s="5">
        <v>0</v>
      </c>
      <c r="U143" s="5">
        <v>0</v>
      </c>
      <c r="V143" s="5">
        <v>0</v>
      </c>
      <c r="W143" s="5">
        <v>0</v>
      </c>
      <c r="X143" s="125">
        <v>4188.9777188132675</v>
      </c>
      <c r="Y143" s="125">
        <v>41.351377741171902</v>
      </c>
      <c r="Z143" s="125">
        <v>-3183.0222811867325</v>
      </c>
      <c r="AA143" s="112">
        <v>100451.69</v>
      </c>
      <c r="AB143" s="112">
        <v>138460.51999999999</v>
      </c>
      <c r="AC143" s="8">
        <v>1.7598565795400027</v>
      </c>
      <c r="AD143" s="66"/>
      <c r="AE143" s="66" t="s">
        <v>574</v>
      </c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202" t="s">
        <v>1</v>
      </c>
      <c r="BJ143" s="203"/>
    </row>
    <row r="144" spans="1:62" ht="12.75" customHeight="1" x14ac:dyDescent="0.35">
      <c r="A144" s="108"/>
      <c r="B144" s="126" t="s">
        <v>1</v>
      </c>
      <c r="C144" s="5" t="s">
        <v>17</v>
      </c>
      <c r="D144" s="5" t="s">
        <v>312</v>
      </c>
      <c r="E144" s="5" t="s">
        <v>398</v>
      </c>
      <c r="F144" s="5">
        <v>1043974</v>
      </c>
      <c r="G144" s="7" t="s">
        <v>18</v>
      </c>
      <c r="H144" s="139">
        <v>5974.1386437098245</v>
      </c>
      <c r="I144" s="139">
        <v>3512.7935225013766</v>
      </c>
      <c r="J144" s="125">
        <v>0</v>
      </c>
      <c r="K144" s="125">
        <v>2765</v>
      </c>
      <c r="L144" s="130">
        <v>1625.82</v>
      </c>
      <c r="M144" s="123">
        <v>0.52308796068707164</v>
      </c>
      <c r="N144" s="130">
        <v>1886.9735225013767</v>
      </c>
      <c r="O144" s="130">
        <v>0</v>
      </c>
      <c r="P144" s="123">
        <v>0</v>
      </c>
      <c r="Q144" s="5">
        <v>8640</v>
      </c>
      <c r="R144" s="5">
        <v>360</v>
      </c>
      <c r="S144" s="5">
        <v>8280</v>
      </c>
      <c r="T144" s="5">
        <v>0</v>
      </c>
      <c r="U144" s="5">
        <v>0</v>
      </c>
      <c r="V144" s="5">
        <v>0</v>
      </c>
      <c r="W144" s="5">
        <v>0</v>
      </c>
      <c r="X144" s="125">
        <v>5974.1386437098254</v>
      </c>
      <c r="Y144" s="125">
        <v>41.579215819093939</v>
      </c>
      <c r="Z144" s="125">
        <v>-5430.8613562901755</v>
      </c>
      <c r="AA144" s="112">
        <v>25569.31</v>
      </c>
      <c r="AB144" s="112">
        <v>35438.400000000001</v>
      </c>
      <c r="AC144" s="8">
        <v>1.9090618213235366</v>
      </c>
      <c r="AD144" s="66"/>
      <c r="AE144" s="66">
        <v>13.682250396196514</v>
      </c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202" t="s">
        <v>1</v>
      </c>
      <c r="BJ144" s="203"/>
    </row>
    <row r="145" spans="1:62" ht="12.75" customHeight="1" x14ac:dyDescent="0.35">
      <c r="A145" s="108"/>
      <c r="B145" s="126" t="s">
        <v>31</v>
      </c>
      <c r="C145" s="5" t="s">
        <v>5</v>
      </c>
      <c r="D145" s="5" t="s">
        <v>306</v>
      </c>
      <c r="E145" s="5" t="s">
        <v>307</v>
      </c>
      <c r="F145" s="5">
        <v>1071764</v>
      </c>
      <c r="G145" s="7" t="s">
        <v>604</v>
      </c>
      <c r="H145" s="139">
        <v>7993.5623736748039</v>
      </c>
      <c r="I145" s="139">
        <v>2877.6824545229292</v>
      </c>
      <c r="J145" s="125">
        <v>0</v>
      </c>
      <c r="K145" s="125">
        <v>5263</v>
      </c>
      <c r="L145" s="130">
        <v>1894.6799999999998</v>
      </c>
      <c r="M145" s="123">
        <v>0.71019649745851265</v>
      </c>
      <c r="N145" s="130">
        <v>983.00245452292938</v>
      </c>
      <c r="O145" s="130">
        <v>0</v>
      </c>
      <c r="P145" s="123">
        <v>0.82367029382170431</v>
      </c>
      <c r="Q145" s="5">
        <v>11512</v>
      </c>
      <c r="R145" s="5">
        <v>414</v>
      </c>
      <c r="S145" s="5">
        <v>11098</v>
      </c>
      <c r="T145" s="5">
        <v>0</v>
      </c>
      <c r="U145" s="5">
        <v>0</v>
      </c>
      <c r="V145" s="5">
        <v>0</v>
      </c>
      <c r="W145" s="5">
        <v>0</v>
      </c>
      <c r="X145" s="125">
        <v>7993.5623736748039</v>
      </c>
      <c r="Y145" s="125">
        <v>41.651016710205603</v>
      </c>
      <c r="Z145" s="125">
        <v>-8781.4376263251961</v>
      </c>
      <c r="AA145" s="112">
        <v>55954.94</v>
      </c>
      <c r="AB145" s="112">
        <v>77686</v>
      </c>
      <c r="AC145" s="8">
        <v>2.0985637211320327</v>
      </c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202"/>
      <c r="BJ145" s="203"/>
    </row>
    <row r="146" spans="1:62" ht="12.75" customHeight="1" x14ac:dyDescent="0.35">
      <c r="A146" s="108"/>
      <c r="B146" s="126" t="s">
        <v>15</v>
      </c>
      <c r="C146" s="5" t="s">
        <v>5</v>
      </c>
      <c r="D146" s="5" t="s">
        <v>308</v>
      </c>
      <c r="E146" s="5" t="s">
        <v>315</v>
      </c>
      <c r="F146" s="56">
        <v>1078183</v>
      </c>
      <c r="G146" s="65" t="s">
        <v>694</v>
      </c>
      <c r="H146" s="139">
        <v>1414.1848014984348</v>
      </c>
      <c r="I146" s="139">
        <v>397.38592922106022</v>
      </c>
      <c r="J146" s="125">
        <v>0</v>
      </c>
      <c r="K146" s="125">
        <v>-112</v>
      </c>
      <c r="L146" s="130">
        <v>-31.472000000000001</v>
      </c>
      <c r="M146" s="123">
        <v>-2.9699088800486224E-2</v>
      </c>
      <c r="N146" s="130">
        <v>428.8579292210602</v>
      </c>
      <c r="O146" s="130">
        <v>0</v>
      </c>
      <c r="P146" s="123">
        <v>0.78561151079136693</v>
      </c>
      <c r="Q146" s="5">
        <v>2044</v>
      </c>
      <c r="R146" s="5">
        <v>70</v>
      </c>
      <c r="S146" s="5">
        <v>1974</v>
      </c>
      <c r="T146" s="5">
        <v>0</v>
      </c>
      <c r="U146" s="5">
        <v>140</v>
      </c>
      <c r="V146" s="5">
        <v>0</v>
      </c>
      <c r="W146" s="5">
        <v>0</v>
      </c>
      <c r="X146" s="125">
        <v>1414.1848014984348</v>
      </c>
      <c r="Y146" s="125">
        <v>41.875715208685577</v>
      </c>
      <c r="Z146" s="125">
        <v>-517.81519850156519</v>
      </c>
      <c r="AA146" s="112">
        <v>6689.09</v>
      </c>
      <c r="AB146" s="112">
        <v>9999.2199999999993</v>
      </c>
      <c r="AC146" s="8">
        <v>1.3661580848223664</v>
      </c>
      <c r="AD146" s="66"/>
      <c r="AE146" s="66">
        <v>1010.848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202" t="s">
        <v>1</v>
      </c>
      <c r="BJ146" s="203"/>
    </row>
    <row r="147" spans="1:62" ht="12.75" customHeight="1" x14ac:dyDescent="0.35">
      <c r="A147" s="108"/>
      <c r="B147" s="126" t="s">
        <v>1</v>
      </c>
      <c r="C147" s="5" t="s">
        <v>24</v>
      </c>
      <c r="D147" s="5" t="s">
        <v>316</v>
      </c>
      <c r="E147" s="5" t="s">
        <v>317</v>
      </c>
      <c r="F147" s="5">
        <v>1071324</v>
      </c>
      <c r="G147" s="7" t="s">
        <v>686</v>
      </c>
      <c r="H147" s="139">
        <v>8727.1997433016713</v>
      </c>
      <c r="I147" s="139">
        <v>942.53757227658048</v>
      </c>
      <c r="J147" s="125">
        <v>0</v>
      </c>
      <c r="K147" s="125">
        <v>6090</v>
      </c>
      <c r="L147" s="130">
        <v>657.72</v>
      </c>
      <c r="M147" s="123">
        <v>0.745599985263804</v>
      </c>
      <c r="N147" s="130">
        <v>284.81757227658045</v>
      </c>
      <c r="O147" s="130">
        <v>10.879920426043764</v>
      </c>
      <c r="P147" s="123">
        <v>1.3768373439548844</v>
      </c>
      <c r="Q147" s="5">
        <v>12643</v>
      </c>
      <c r="R147" s="5">
        <v>417</v>
      </c>
      <c r="S147" s="5">
        <v>12226</v>
      </c>
      <c r="T147" s="5">
        <v>0</v>
      </c>
      <c r="U147" s="5">
        <v>0</v>
      </c>
      <c r="V147" s="5">
        <v>0</v>
      </c>
      <c r="W147" s="5">
        <v>1860</v>
      </c>
      <c r="X147" s="125">
        <v>8727.1997433016713</v>
      </c>
      <c r="Y147" s="125">
        <v>42.02722646304872</v>
      </c>
      <c r="Z147" s="125">
        <v>-10005.800256698329</v>
      </c>
      <c r="AA147" s="112">
        <v>45992.34</v>
      </c>
      <c r="AB147" s="112">
        <v>74233.22</v>
      </c>
      <c r="AC147" s="8">
        <v>2.1465075340320947</v>
      </c>
      <c r="AD147" s="66"/>
      <c r="AE147" s="66">
        <v>87.428449744463364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202" t="s">
        <v>1</v>
      </c>
      <c r="BJ147" s="203" t="s">
        <v>849</v>
      </c>
    </row>
    <row r="148" spans="1:62" ht="12.75" customHeight="1" x14ac:dyDescent="0.35">
      <c r="A148" s="108"/>
      <c r="B148" s="126" t="s">
        <v>27</v>
      </c>
      <c r="C148" s="5" t="s">
        <v>5</v>
      </c>
      <c r="D148" s="5" t="s">
        <v>312</v>
      </c>
      <c r="E148" s="5" t="s">
        <v>313</v>
      </c>
      <c r="F148" s="5">
        <v>1072810</v>
      </c>
      <c r="G148" s="7" t="s">
        <v>609</v>
      </c>
      <c r="H148" s="139">
        <v>7818.0420388814146</v>
      </c>
      <c r="I148" s="139">
        <v>10695.081509189777</v>
      </c>
      <c r="J148" s="125">
        <v>0</v>
      </c>
      <c r="K148" s="125">
        <v>3731</v>
      </c>
      <c r="L148" s="130">
        <v>5104.0080000000007</v>
      </c>
      <c r="M148" s="123">
        <v>0.52391634371232487</v>
      </c>
      <c r="N148" s="130">
        <v>5591.0735091897759</v>
      </c>
      <c r="O148" s="130">
        <v>0</v>
      </c>
      <c r="P148" s="123">
        <v>0.46337936783493316</v>
      </c>
      <c r="Q148" s="5">
        <v>11340</v>
      </c>
      <c r="R148" s="5">
        <v>365</v>
      </c>
      <c r="S148" s="5">
        <v>10975</v>
      </c>
      <c r="T148" s="5">
        <v>0</v>
      </c>
      <c r="U148" s="5">
        <v>0</v>
      </c>
      <c r="V148" s="5">
        <v>0</v>
      </c>
      <c r="W148" s="5">
        <v>0</v>
      </c>
      <c r="X148" s="125">
        <v>7818.0420388814146</v>
      </c>
      <c r="Y148" s="125">
        <v>42.11412504084057</v>
      </c>
      <c r="Z148" s="125">
        <v>-7252.9579611185854</v>
      </c>
      <c r="AA148" s="112">
        <v>93503.78</v>
      </c>
      <c r="AB148" s="112">
        <v>131261</v>
      </c>
      <c r="AC148" s="8">
        <v>1.9277205117403438</v>
      </c>
      <c r="AD148" s="66"/>
      <c r="AE148" s="66">
        <v>69.94509598864569</v>
      </c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202" t="s">
        <v>1</v>
      </c>
      <c r="BJ148" s="203"/>
    </row>
    <row r="149" spans="1:62" ht="12.75" customHeight="1" x14ac:dyDescent="0.35">
      <c r="A149" s="108"/>
      <c r="B149" s="126" t="s">
        <v>21</v>
      </c>
      <c r="C149" s="5" t="s">
        <v>5</v>
      </c>
      <c r="D149" s="5" t="s">
        <v>308</v>
      </c>
      <c r="E149" s="5" t="s">
        <v>395</v>
      </c>
      <c r="F149" s="5">
        <v>1069726</v>
      </c>
      <c r="G149" s="7" t="s">
        <v>569</v>
      </c>
      <c r="H149" s="139">
        <v>2457.1056877456599</v>
      </c>
      <c r="I149" s="139">
        <v>1228.55284387283</v>
      </c>
      <c r="J149" s="125">
        <v>0</v>
      </c>
      <c r="K149" s="125">
        <v>1920</v>
      </c>
      <c r="L149" s="130">
        <v>960</v>
      </c>
      <c r="M149" s="123">
        <v>0.82576830541691615</v>
      </c>
      <c r="N149" s="130">
        <v>268.55284387282995</v>
      </c>
      <c r="O149" s="130">
        <v>0</v>
      </c>
      <c r="P149" s="123">
        <v>0.93193232911786461</v>
      </c>
      <c r="Q149" s="5">
        <v>3619</v>
      </c>
      <c r="R149" s="5">
        <v>109</v>
      </c>
      <c r="S149" s="5">
        <v>3510</v>
      </c>
      <c r="T149" s="5">
        <v>0</v>
      </c>
      <c r="U149" s="5">
        <v>0</v>
      </c>
      <c r="V149" s="5">
        <v>0</v>
      </c>
      <c r="W149" s="5">
        <v>0</v>
      </c>
      <c r="X149" s="125">
        <v>2457.1056877456599</v>
      </c>
      <c r="Y149" s="125">
        <v>42.855299438344645</v>
      </c>
      <c r="Z149" s="125">
        <v>-3081.8943122543401</v>
      </c>
      <c r="AA149" s="112">
        <v>43982.19</v>
      </c>
      <c r="AB149" s="112">
        <v>62829</v>
      </c>
      <c r="AC149" s="8">
        <v>2.2542782866950706</v>
      </c>
      <c r="AD149" s="66"/>
      <c r="AE149" s="66">
        <v>4.154447115384615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202" t="s">
        <v>1</v>
      </c>
      <c r="BJ149" s="203"/>
    </row>
    <row r="150" spans="1:62" ht="12.75" customHeight="1" x14ac:dyDescent="0.35">
      <c r="A150" s="108"/>
      <c r="B150" s="126" t="s">
        <v>27</v>
      </c>
      <c r="C150" s="5" t="s">
        <v>5</v>
      </c>
      <c r="D150" s="5" t="s">
        <v>312</v>
      </c>
      <c r="E150" s="5" t="s">
        <v>313</v>
      </c>
      <c r="F150" s="5">
        <v>1081304</v>
      </c>
      <c r="G150" s="7" t="s">
        <v>747</v>
      </c>
      <c r="H150" s="139">
        <v>14493.355194646367</v>
      </c>
      <c r="I150" s="139">
        <v>3304.4849843793718</v>
      </c>
      <c r="J150" s="125">
        <v>0</v>
      </c>
      <c r="K150" s="125">
        <v>22791</v>
      </c>
      <c r="L150" s="130">
        <v>5196.348</v>
      </c>
      <c r="M150" s="123">
        <v>2.1004798123794828</v>
      </c>
      <c r="N150" s="130">
        <v>1891.8630156206282</v>
      </c>
      <c r="O150" s="130">
        <v>57.296627254721486</v>
      </c>
      <c r="P150" s="123">
        <v>2.3835966652986182</v>
      </c>
      <c r="Q150" s="5">
        <v>55507</v>
      </c>
      <c r="R150" s="5">
        <v>7652</v>
      </c>
      <c r="S150" s="5">
        <v>47855</v>
      </c>
      <c r="T150" s="5">
        <v>0</v>
      </c>
      <c r="U150" s="5">
        <v>0</v>
      </c>
      <c r="V150" s="5">
        <v>0</v>
      </c>
      <c r="W150" s="5">
        <v>60</v>
      </c>
      <c r="X150" s="125">
        <v>33090.217391304352</v>
      </c>
      <c r="Y150" s="125">
        <v>43.385934369148899</v>
      </c>
      <c r="Z150" s="125">
        <v>-63804.64480535363</v>
      </c>
      <c r="AA150" s="112">
        <v>28696.84</v>
      </c>
      <c r="AB150" s="112">
        <v>94871.7</v>
      </c>
      <c r="AC150" s="8">
        <v>5.4023377574381213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202" t="s">
        <v>1</v>
      </c>
      <c r="BJ150" s="203"/>
    </row>
    <row r="151" spans="1:62" ht="12.75" customHeight="1" x14ac:dyDescent="0.35">
      <c r="A151" s="108"/>
      <c r="B151" s="126" t="s">
        <v>1</v>
      </c>
      <c r="C151" s="5" t="s">
        <v>50</v>
      </c>
      <c r="D151" s="5" t="s">
        <v>316</v>
      </c>
      <c r="E151" s="5" t="s">
        <v>408</v>
      </c>
      <c r="F151" s="5">
        <v>1060662</v>
      </c>
      <c r="G151" s="7" t="s">
        <v>426</v>
      </c>
      <c r="H151" s="139">
        <v>1292.415931129472</v>
      </c>
      <c r="I151" s="139">
        <v>2946.7083229751961</v>
      </c>
      <c r="J151" s="125">
        <v>0</v>
      </c>
      <c r="K151" s="125">
        <v>726</v>
      </c>
      <c r="L151" s="130">
        <v>1655.2799999999997</v>
      </c>
      <c r="M151" s="123">
        <v>1.0724101789651748</v>
      </c>
      <c r="N151" s="130">
        <v>1291.4283229751964</v>
      </c>
      <c r="O151" s="130">
        <v>0</v>
      </c>
      <c r="P151" s="123">
        <v>0.57671906308352516</v>
      </c>
      <c r="Q151" s="5">
        <v>2896</v>
      </c>
      <c r="R151" s="5">
        <v>660</v>
      </c>
      <c r="S151" s="5">
        <v>2236</v>
      </c>
      <c r="T151" s="5">
        <v>0</v>
      </c>
      <c r="U151" s="5">
        <v>0</v>
      </c>
      <c r="V151" s="5">
        <v>0</v>
      </c>
      <c r="W151" s="5">
        <v>0</v>
      </c>
      <c r="X151" s="125">
        <v>1506.5217391304348</v>
      </c>
      <c r="Y151" s="125">
        <v>44.526406926406928</v>
      </c>
      <c r="Z151" s="125">
        <v>-2329.584068870528</v>
      </c>
      <c r="AA151" s="112">
        <v>15987.19</v>
      </c>
      <c r="AB151" s="112">
        <v>27659.32</v>
      </c>
      <c r="AC151" s="8">
        <v>2.8025033681182272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202"/>
      <c r="BJ151" s="203"/>
    </row>
    <row r="152" spans="1:62" ht="12.75" customHeight="1" x14ac:dyDescent="0.35">
      <c r="A152" s="108"/>
      <c r="B152" s="126" t="s">
        <v>1</v>
      </c>
      <c r="C152" s="5" t="s">
        <v>50</v>
      </c>
      <c r="D152" s="5" t="s">
        <v>320</v>
      </c>
      <c r="E152" s="5" t="s">
        <v>402</v>
      </c>
      <c r="F152" s="5">
        <v>1060794</v>
      </c>
      <c r="G152" s="7" t="s">
        <v>431</v>
      </c>
      <c r="H152" s="139">
        <v>33337.516048512058</v>
      </c>
      <c r="I152" s="139">
        <v>6000.7528887321705</v>
      </c>
      <c r="J152" s="125">
        <v>0</v>
      </c>
      <c r="K152" s="125">
        <v>20379</v>
      </c>
      <c r="L152" s="130">
        <v>3668.22</v>
      </c>
      <c r="M152" s="123">
        <v>0.73079829836594512</v>
      </c>
      <c r="N152" s="130">
        <v>2332.5328887321707</v>
      </c>
      <c r="O152" s="130">
        <v>0</v>
      </c>
      <c r="P152" s="123">
        <v>0.76668958983330548</v>
      </c>
      <c r="Q152" s="5">
        <v>54561</v>
      </c>
      <c r="R152" s="5">
        <v>3984</v>
      </c>
      <c r="S152" s="5">
        <v>50577</v>
      </c>
      <c r="T152" s="5">
        <v>0</v>
      </c>
      <c r="U152" s="5">
        <v>152</v>
      </c>
      <c r="V152" s="5">
        <v>0</v>
      </c>
      <c r="W152" s="5">
        <v>400</v>
      </c>
      <c r="X152" s="125">
        <v>33337.516048512058</v>
      </c>
      <c r="Y152" s="125">
        <v>45.513588888627517</v>
      </c>
      <c r="Z152" s="125">
        <v>-41602.483951487942</v>
      </c>
      <c r="AA152" s="112">
        <v>229028.74</v>
      </c>
      <c r="AB152" s="112">
        <v>351256.23</v>
      </c>
      <c r="AC152" s="8">
        <v>2.2479179279868626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202"/>
      <c r="BJ152" s="203"/>
    </row>
    <row r="153" spans="1:62" ht="12.75" customHeight="1" x14ac:dyDescent="0.35">
      <c r="A153" s="108"/>
      <c r="B153" s="126" t="s">
        <v>15</v>
      </c>
      <c r="C153" s="5" t="s">
        <v>5</v>
      </c>
      <c r="D153" s="5" t="s">
        <v>308</v>
      </c>
      <c r="E153" s="5" t="s">
        <v>315</v>
      </c>
      <c r="F153" s="5">
        <v>1071558</v>
      </c>
      <c r="G153" s="7" t="s">
        <v>589</v>
      </c>
      <c r="H153" s="139">
        <v>4059.2625212865751</v>
      </c>
      <c r="I153" s="139">
        <v>1055.4082555345096</v>
      </c>
      <c r="J153" s="125">
        <v>0</v>
      </c>
      <c r="K153" s="125">
        <v>3270</v>
      </c>
      <c r="L153" s="130">
        <v>850.2</v>
      </c>
      <c r="M153" s="123">
        <v>0.89228030485991194</v>
      </c>
      <c r="N153" s="130">
        <v>205.20825553450959</v>
      </c>
      <c r="O153" s="130">
        <v>0</v>
      </c>
      <c r="P153" s="123">
        <v>0.86675121901617835</v>
      </c>
      <c r="Q153" s="5">
        <v>6536</v>
      </c>
      <c r="R153" s="5">
        <v>352</v>
      </c>
      <c r="S153" s="5">
        <v>6184</v>
      </c>
      <c r="T153" s="5">
        <v>0</v>
      </c>
      <c r="U153" s="5">
        <v>0</v>
      </c>
      <c r="V153" s="5">
        <v>0</v>
      </c>
      <c r="W153" s="5">
        <v>0</v>
      </c>
      <c r="X153" s="125">
        <v>4059.2625212865746</v>
      </c>
      <c r="Y153" s="125">
        <v>45.702882981118414</v>
      </c>
      <c r="Z153" s="125">
        <v>-5746.7374787134249</v>
      </c>
      <c r="AA153" s="112">
        <v>7306.67</v>
      </c>
      <c r="AB153" s="112">
        <v>11131.2</v>
      </c>
      <c r="AC153" s="8">
        <v>2.4157097375638585</v>
      </c>
      <c r="AD153" s="66"/>
      <c r="AE153" s="66">
        <v>22.123413866612527</v>
      </c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202" t="s">
        <v>1</v>
      </c>
      <c r="BJ153" s="203"/>
    </row>
    <row r="154" spans="1:62" ht="12.75" customHeight="1" x14ac:dyDescent="0.35">
      <c r="A154" s="108"/>
      <c r="B154" s="126" t="s">
        <v>1</v>
      </c>
      <c r="C154" s="5" t="s">
        <v>50</v>
      </c>
      <c r="D154" s="5" t="s">
        <v>320</v>
      </c>
      <c r="E154" s="5" t="s">
        <v>402</v>
      </c>
      <c r="F154" s="5">
        <v>1060797</v>
      </c>
      <c r="G154" s="7" t="s">
        <v>434</v>
      </c>
      <c r="H154" s="139">
        <v>13544.083792977872</v>
      </c>
      <c r="I154" s="139">
        <v>2437.9350827360167</v>
      </c>
      <c r="J154" s="125">
        <v>0</v>
      </c>
      <c r="K154" s="125">
        <v>6584</v>
      </c>
      <c r="L154" s="130">
        <v>1185.1199999999999</v>
      </c>
      <c r="M154" s="123">
        <v>0.56659425010192987</v>
      </c>
      <c r="N154" s="130">
        <v>1252.8150827360168</v>
      </c>
      <c r="O154" s="130">
        <v>2.929096600568089</v>
      </c>
      <c r="P154" s="123">
        <v>1.0785570214348874</v>
      </c>
      <c r="Q154" s="5">
        <v>21791</v>
      </c>
      <c r="R154" s="5">
        <v>1090</v>
      </c>
      <c r="S154" s="5">
        <v>20701</v>
      </c>
      <c r="T154" s="5">
        <v>0</v>
      </c>
      <c r="U154" s="5">
        <v>0</v>
      </c>
      <c r="V154" s="5">
        <v>0</v>
      </c>
      <c r="W154" s="5">
        <v>80</v>
      </c>
      <c r="X154" s="125">
        <v>13544.083792977874</v>
      </c>
      <c r="Y154" s="125">
        <v>45.852492460359848</v>
      </c>
      <c r="Z154" s="125">
        <v>-14830.916207022128</v>
      </c>
      <c r="AA154" s="112">
        <v>93047.86</v>
      </c>
      <c r="AB154" s="112">
        <v>142765.47</v>
      </c>
      <c r="AC154" s="8">
        <v>2.0950106654472584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202" t="s">
        <v>1</v>
      </c>
      <c r="BJ154" s="203" t="s">
        <v>832</v>
      </c>
    </row>
    <row r="155" spans="1:62" ht="12.75" customHeight="1" x14ac:dyDescent="0.35">
      <c r="A155" s="108"/>
      <c r="B155" s="126">
        <v>0</v>
      </c>
      <c r="C155" s="5" t="s">
        <v>5</v>
      </c>
      <c r="D155" s="5" t="s">
        <v>318</v>
      </c>
      <c r="E155" s="5" t="s">
        <v>319</v>
      </c>
      <c r="F155" s="132">
        <v>1079428</v>
      </c>
      <c r="G155" s="133" t="s">
        <v>734</v>
      </c>
      <c r="H155" s="139">
        <v>20804</v>
      </c>
      <c r="I155" s="139">
        <v>16643.2</v>
      </c>
      <c r="J155" s="125">
        <v>0</v>
      </c>
      <c r="K155" s="125">
        <v>16752</v>
      </c>
      <c r="L155" s="130">
        <v>13401.6</v>
      </c>
      <c r="M155" s="123">
        <v>0.80522976350701791</v>
      </c>
      <c r="N155" s="130">
        <v>3241.6000000000004</v>
      </c>
      <c r="O155" s="130">
        <v>1.6900596039223224</v>
      </c>
      <c r="P155" s="123">
        <v>1.1172</v>
      </c>
      <c r="Q155" s="5">
        <v>32009</v>
      </c>
      <c r="R155" s="5">
        <v>0</v>
      </c>
      <c r="S155" s="5">
        <v>32009</v>
      </c>
      <c r="T155" s="5">
        <v>0</v>
      </c>
      <c r="U155" s="5">
        <v>0</v>
      </c>
      <c r="V155" s="5">
        <v>0</v>
      </c>
      <c r="W155" s="5">
        <v>0</v>
      </c>
      <c r="X155" s="125">
        <v>20804</v>
      </c>
      <c r="Y155" s="125">
        <v>46.157950394154966</v>
      </c>
      <c r="Z155" s="125">
        <v>-27957</v>
      </c>
      <c r="AA155" s="112">
        <v>161855.12</v>
      </c>
      <c r="AB155" s="112">
        <v>249030.02</v>
      </c>
      <c r="AC155" s="8">
        <v>2.3438281099788503</v>
      </c>
      <c r="AD155" s="66"/>
      <c r="AE155" s="66" t="s">
        <v>574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202" t="s">
        <v>1</v>
      </c>
      <c r="BJ155" s="203" t="s">
        <v>807</v>
      </c>
    </row>
    <row r="156" spans="1:62" ht="12.75" customHeight="1" x14ac:dyDescent="0.35">
      <c r="A156" s="108"/>
      <c r="B156" s="126" t="s">
        <v>1</v>
      </c>
      <c r="C156" s="5" t="s">
        <v>24</v>
      </c>
      <c r="D156" s="5" t="s">
        <v>316</v>
      </c>
      <c r="E156" s="5" t="s">
        <v>317</v>
      </c>
      <c r="F156" s="5">
        <v>1032134</v>
      </c>
      <c r="G156" s="7" t="s">
        <v>25</v>
      </c>
      <c r="H156" s="139">
        <v>1634.7728841964802</v>
      </c>
      <c r="I156" s="139">
        <v>277.91139031340163</v>
      </c>
      <c r="J156" s="125">
        <v>0</v>
      </c>
      <c r="K156" s="125">
        <v>1310</v>
      </c>
      <c r="L156" s="130">
        <v>222.70000000000002</v>
      </c>
      <c r="M156" s="123">
        <v>1.2888640497824428</v>
      </c>
      <c r="N156" s="130">
        <v>55.211390313401608</v>
      </c>
      <c r="O156" s="130">
        <v>0</v>
      </c>
      <c r="P156" s="123">
        <v>0.84867542072823487</v>
      </c>
      <c r="Q156" s="5">
        <v>4332</v>
      </c>
      <c r="R156" s="5">
        <v>797</v>
      </c>
      <c r="S156" s="5">
        <v>3535</v>
      </c>
      <c r="T156" s="5">
        <v>0</v>
      </c>
      <c r="U156" s="5">
        <v>0</v>
      </c>
      <c r="V156" s="5">
        <v>0</v>
      </c>
      <c r="W156" s="5">
        <v>0</v>
      </c>
      <c r="X156" s="125">
        <v>2290.217391304348</v>
      </c>
      <c r="Y156" s="125">
        <v>46.305647840531556</v>
      </c>
      <c r="Z156" s="125">
        <v>-4007.2271158035201</v>
      </c>
      <c r="AA156" s="112">
        <v>18930.669999999998</v>
      </c>
      <c r="AB156" s="112">
        <v>40935.300000000003</v>
      </c>
      <c r="AC156" s="8">
        <v>3.4512439339689336</v>
      </c>
      <c r="AD156" s="66"/>
      <c r="AE156" s="66">
        <v>9.4224010042222996</v>
      </c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202" t="s">
        <v>1</v>
      </c>
      <c r="BJ156" s="203"/>
    </row>
    <row r="157" spans="1:62" x14ac:dyDescent="0.35">
      <c r="A157" s="108"/>
      <c r="B157" s="126" t="s">
        <v>1</v>
      </c>
      <c r="C157" s="5" t="s">
        <v>50</v>
      </c>
      <c r="D157" s="5" t="s">
        <v>310</v>
      </c>
      <c r="E157" s="5" t="s">
        <v>403</v>
      </c>
      <c r="F157" s="5">
        <v>1076301</v>
      </c>
      <c r="G157" s="7" t="s">
        <v>691</v>
      </c>
      <c r="H157" s="139">
        <v>22281.382197805564</v>
      </c>
      <c r="I157" s="139">
        <v>2896.5796857147234</v>
      </c>
      <c r="J157" s="125">
        <v>0</v>
      </c>
      <c r="K157" s="125">
        <v>11108</v>
      </c>
      <c r="L157" s="130">
        <v>1444.04</v>
      </c>
      <c r="M157" s="123">
        <v>0.58281842143881712</v>
      </c>
      <c r="N157" s="130">
        <v>1452.5396857147234</v>
      </c>
      <c r="O157" s="130">
        <v>0</v>
      </c>
      <c r="P157" s="123">
        <v>0.76159321320017381</v>
      </c>
      <c r="Q157" s="5">
        <v>36552</v>
      </c>
      <c r="R157" s="5">
        <v>1878</v>
      </c>
      <c r="S157" s="5">
        <v>34674</v>
      </c>
      <c r="T157" s="5">
        <v>0</v>
      </c>
      <c r="U157" s="5">
        <v>0</v>
      </c>
      <c r="V157" s="5">
        <v>0</v>
      </c>
      <c r="W157" s="5">
        <v>0</v>
      </c>
      <c r="X157" s="125">
        <v>22281.382197805564</v>
      </c>
      <c r="Y157" s="125">
        <v>46.685613610741285</v>
      </c>
      <c r="Z157" s="125">
        <v>-25378.617802194436</v>
      </c>
      <c r="AA157" s="112">
        <v>101380.29</v>
      </c>
      <c r="AB157" s="112">
        <v>157766.70000000001</v>
      </c>
      <c r="AC157" s="8">
        <v>2.1390055417968599</v>
      </c>
      <c r="AD157" s="66"/>
      <c r="AE157" s="66">
        <v>0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202" t="s">
        <v>1</v>
      </c>
      <c r="BJ157" s="203"/>
    </row>
    <row r="158" spans="1:62" ht="12.75" customHeight="1" x14ac:dyDescent="0.35">
      <c r="A158" s="108"/>
      <c r="B158" s="126" t="s">
        <v>22</v>
      </c>
      <c r="C158" s="5" t="s">
        <v>5</v>
      </c>
      <c r="D158" s="5" t="s">
        <v>306</v>
      </c>
      <c r="E158" s="5" t="s">
        <v>307</v>
      </c>
      <c r="F158" s="5">
        <v>1062351</v>
      </c>
      <c r="G158" s="7" t="s">
        <v>412</v>
      </c>
      <c r="H158" s="139">
        <v>48659.587022081418</v>
      </c>
      <c r="I158" s="139">
        <v>7298.9380533122121</v>
      </c>
      <c r="J158" s="125">
        <v>0</v>
      </c>
      <c r="K158" s="125">
        <v>24799</v>
      </c>
      <c r="L158" s="130">
        <v>3719.85</v>
      </c>
      <c r="M158" s="123">
        <v>0.61815156767258084</v>
      </c>
      <c r="N158" s="130">
        <v>3579.0880533122122</v>
      </c>
      <c r="O158" s="130">
        <v>0</v>
      </c>
      <c r="P158" s="123">
        <v>0.4742450851101131</v>
      </c>
      <c r="Q158" s="5">
        <v>81433</v>
      </c>
      <c r="R158" s="5">
        <v>5280</v>
      </c>
      <c r="S158" s="5">
        <v>76153</v>
      </c>
      <c r="T158" s="5">
        <v>0</v>
      </c>
      <c r="U158" s="5">
        <v>0</v>
      </c>
      <c r="V158" s="5">
        <v>0</v>
      </c>
      <c r="W158" s="5">
        <v>0</v>
      </c>
      <c r="X158" s="125">
        <v>48659.587022081425</v>
      </c>
      <c r="Y158" s="125">
        <v>46.950460121317249</v>
      </c>
      <c r="Z158" s="125">
        <v>-57572.412977918582</v>
      </c>
      <c r="AA158" s="112">
        <v>163496.21</v>
      </c>
      <c r="AB158" s="112">
        <v>255874.08</v>
      </c>
      <c r="AC158" s="8">
        <v>2.1831669050498226</v>
      </c>
      <c r="AD158" s="66"/>
      <c r="AE158" s="66">
        <v>112.11666666666667</v>
      </c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202" t="s">
        <v>1</v>
      </c>
      <c r="BJ158" s="203"/>
    </row>
    <row r="159" spans="1:62" ht="12.75" customHeight="1" x14ac:dyDescent="0.35">
      <c r="A159" s="108"/>
      <c r="B159" s="126" t="s">
        <v>1</v>
      </c>
      <c r="C159" s="5" t="s">
        <v>5</v>
      </c>
      <c r="D159" s="5" t="s">
        <v>396</v>
      </c>
      <c r="E159" s="5" t="s">
        <v>397</v>
      </c>
      <c r="F159" s="5">
        <v>1071792</v>
      </c>
      <c r="G159" s="7" t="s">
        <v>665</v>
      </c>
      <c r="H159" s="139">
        <v>3399.922167552726</v>
      </c>
      <c r="I159" s="139">
        <v>3399.922167552726</v>
      </c>
      <c r="J159" s="125">
        <v>0</v>
      </c>
      <c r="K159" s="125">
        <v>1898</v>
      </c>
      <c r="L159" s="130">
        <v>1898</v>
      </c>
      <c r="M159" s="123">
        <v>0.60824921809564614</v>
      </c>
      <c r="N159" s="130">
        <v>1501.922167552726</v>
      </c>
      <c r="O159" s="130">
        <v>0</v>
      </c>
      <c r="P159" s="123">
        <v>0.71667782890808351</v>
      </c>
      <c r="Q159" s="5">
        <v>5522</v>
      </c>
      <c r="R159" s="5">
        <v>170</v>
      </c>
      <c r="S159" s="5">
        <v>5352</v>
      </c>
      <c r="T159" s="5">
        <v>0</v>
      </c>
      <c r="U159" s="5">
        <v>0</v>
      </c>
      <c r="V159" s="5">
        <v>0</v>
      </c>
      <c r="W159" s="5">
        <v>0</v>
      </c>
      <c r="X159" s="125">
        <v>3399.922167552726</v>
      </c>
      <c r="Y159" s="125">
        <v>47.224610472648429</v>
      </c>
      <c r="Z159" s="125">
        <v>-4020.077832447274</v>
      </c>
      <c r="AA159" s="112">
        <v>51474.82</v>
      </c>
      <c r="AB159" s="112">
        <v>81029.279999999999</v>
      </c>
      <c r="AC159" s="8">
        <v>2.1824029005172605</v>
      </c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202" t="s">
        <v>1</v>
      </c>
      <c r="BJ159" s="205"/>
    </row>
    <row r="160" spans="1:62" ht="12.75" customHeight="1" x14ac:dyDescent="0.35">
      <c r="A160" s="108"/>
      <c r="B160" s="126" t="s">
        <v>1</v>
      </c>
      <c r="C160" s="5" t="s">
        <v>50</v>
      </c>
      <c r="D160" s="5" t="s">
        <v>320</v>
      </c>
      <c r="E160" s="5" t="s">
        <v>402</v>
      </c>
      <c r="F160" s="5">
        <v>1060799</v>
      </c>
      <c r="G160" s="7" t="s">
        <v>436</v>
      </c>
      <c r="H160" s="139">
        <v>13833.230569457908</v>
      </c>
      <c r="I160" s="139">
        <v>2489.9815025024232</v>
      </c>
      <c r="J160" s="125">
        <v>0</v>
      </c>
      <c r="K160" s="125">
        <v>8238</v>
      </c>
      <c r="L160" s="130">
        <v>1482.84</v>
      </c>
      <c r="M160" s="123">
        <v>0.67373994478031962</v>
      </c>
      <c r="N160" s="130">
        <v>1007.1415025024232</v>
      </c>
      <c r="O160" s="130">
        <v>0</v>
      </c>
      <c r="P160" s="123">
        <v>0.84522983486848713</v>
      </c>
      <c r="Q160" s="5">
        <v>22890</v>
      </c>
      <c r="R160" s="5">
        <v>1082</v>
      </c>
      <c r="S160" s="5">
        <v>21808</v>
      </c>
      <c r="T160" s="5">
        <v>0</v>
      </c>
      <c r="U160" s="5">
        <v>0</v>
      </c>
      <c r="V160" s="5">
        <v>0</v>
      </c>
      <c r="W160" s="5">
        <v>0</v>
      </c>
      <c r="X160" s="125">
        <v>13833.230569457908</v>
      </c>
      <c r="Y160" s="125">
        <v>47.294809170930932</v>
      </c>
      <c r="Z160" s="125">
        <v>-17294.769430542092</v>
      </c>
      <c r="AA160" s="112">
        <v>94342.63</v>
      </c>
      <c r="AB160" s="112">
        <v>148730.56</v>
      </c>
      <c r="AC160" s="8">
        <v>2.250233583811351</v>
      </c>
      <c r="AD160" s="66"/>
      <c r="AE160" s="66" t="s">
        <v>574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202" t="s">
        <v>1</v>
      </c>
      <c r="BJ160" s="203"/>
    </row>
    <row r="161" spans="1:62" ht="12.75" customHeight="1" x14ac:dyDescent="0.35">
      <c r="A161" s="108"/>
      <c r="B161" s="126" t="s">
        <v>15</v>
      </c>
      <c r="C161" s="5" t="s">
        <v>5</v>
      </c>
      <c r="D161" s="5" t="s">
        <v>312</v>
      </c>
      <c r="E161" s="5" t="s">
        <v>315</v>
      </c>
      <c r="F161" s="5">
        <v>1080723</v>
      </c>
      <c r="G161" s="7" t="s">
        <v>737</v>
      </c>
      <c r="H161" s="139">
        <v>240</v>
      </c>
      <c r="I161" s="139">
        <v>11.28</v>
      </c>
      <c r="J161" s="125">
        <v>0</v>
      </c>
      <c r="K161" s="125">
        <v>0</v>
      </c>
      <c r="L161" s="130">
        <v>0</v>
      </c>
      <c r="M161" s="123">
        <v>0</v>
      </c>
      <c r="N161" s="130">
        <v>11.28</v>
      </c>
      <c r="O161" s="130">
        <v>0</v>
      </c>
      <c r="P161" s="123">
        <v>0</v>
      </c>
      <c r="Q161" s="5">
        <v>396</v>
      </c>
      <c r="R161" s="5">
        <v>0</v>
      </c>
      <c r="S161" s="5">
        <v>396</v>
      </c>
      <c r="T161" s="5">
        <v>44</v>
      </c>
      <c r="U161" s="5">
        <v>0</v>
      </c>
      <c r="V161" s="5">
        <v>0</v>
      </c>
      <c r="W161" s="5">
        <v>440</v>
      </c>
      <c r="X161" s="125">
        <v>240</v>
      </c>
      <c r="Y161" s="125">
        <v>49.5</v>
      </c>
      <c r="Z161" s="125">
        <v>-200</v>
      </c>
      <c r="AA161" s="112">
        <v>156</v>
      </c>
      <c r="AB161" s="112">
        <v>572</v>
      </c>
      <c r="AC161" s="8">
        <v>1.8333333333333335</v>
      </c>
      <c r="AD161" s="66"/>
      <c r="AE161" s="66">
        <v>21.992222251817914</v>
      </c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204" t="s">
        <v>1</v>
      </c>
      <c r="BJ161" s="203"/>
    </row>
    <row r="162" spans="1:62" ht="12.75" customHeight="1" x14ac:dyDescent="0.35">
      <c r="A162" s="108"/>
      <c r="B162" s="126" t="s">
        <v>21</v>
      </c>
      <c r="C162" s="5" t="s">
        <v>5</v>
      </c>
      <c r="D162" s="5" t="s">
        <v>396</v>
      </c>
      <c r="E162" s="5" t="s">
        <v>397</v>
      </c>
      <c r="F162" s="5">
        <v>1071793</v>
      </c>
      <c r="G162" s="7" t="s">
        <v>666</v>
      </c>
      <c r="H162" s="139">
        <v>500</v>
      </c>
      <c r="I162" s="139">
        <v>250</v>
      </c>
      <c r="J162" s="125">
        <v>0</v>
      </c>
      <c r="K162" s="125">
        <v>593</v>
      </c>
      <c r="L162" s="130">
        <v>296.5</v>
      </c>
      <c r="M162" s="123">
        <v>1.3480000000000001</v>
      </c>
      <c r="N162" s="130">
        <v>46.5</v>
      </c>
      <c r="O162" s="130">
        <v>15.72</v>
      </c>
      <c r="P162" s="123">
        <v>2.048</v>
      </c>
      <c r="Q162" s="5">
        <v>1346</v>
      </c>
      <c r="R162" s="5">
        <v>81</v>
      </c>
      <c r="S162" s="5">
        <v>1265</v>
      </c>
      <c r="T162" s="5">
        <v>440</v>
      </c>
      <c r="U162" s="5">
        <v>0</v>
      </c>
      <c r="V162" s="5">
        <v>0</v>
      </c>
      <c r="W162" s="5">
        <v>0</v>
      </c>
      <c r="X162" s="125">
        <v>732.60869565217388</v>
      </c>
      <c r="Y162" s="125">
        <v>51.801186943620181</v>
      </c>
      <c r="Z162" s="125">
        <v>-1879</v>
      </c>
      <c r="AA162" s="112">
        <v>3585</v>
      </c>
      <c r="AB162" s="112">
        <v>12224.85</v>
      </c>
      <c r="AC162" s="8">
        <v>4.758</v>
      </c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202"/>
      <c r="BJ162" s="203" t="s">
        <v>848</v>
      </c>
    </row>
    <row r="163" spans="1:62" ht="12.75" customHeight="1" x14ac:dyDescent="0.35">
      <c r="A163" s="108"/>
      <c r="B163" s="126" t="s">
        <v>1</v>
      </c>
      <c r="C163" s="5" t="s">
        <v>50</v>
      </c>
      <c r="D163" s="5" t="s">
        <v>320</v>
      </c>
      <c r="E163" s="5" t="s">
        <v>402</v>
      </c>
      <c r="F163" s="5">
        <v>1060795</v>
      </c>
      <c r="G163" s="7" t="s">
        <v>432</v>
      </c>
      <c r="H163" s="139">
        <v>14274.832730379356</v>
      </c>
      <c r="I163" s="139">
        <v>2569.469891468284</v>
      </c>
      <c r="J163" s="125">
        <v>0</v>
      </c>
      <c r="K163" s="125">
        <v>6146</v>
      </c>
      <c r="L163" s="130">
        <v>1106.28</v>
      </c>
      <c r="M163" s="123">
        <v>0.55328143938188967</v>
      </c>
      <c r="N163" s="130">
        <v>1463.189891468284</v>
      </c>
      <c r="O163" s="130">
        <v>0</v>
      </c>
      <c r="P163" s="123">
        <v>0.84314457308910851</v>
      </c>
      <c r="Q163" s="5">
        <v>26621</v>
      </c>
      <c r="R163" s="5">
        <v>1752</v>
      </c>
      <c r="S163" s="5">
        <v>24869</v>
      </c>
      <c r="T163" s="5">
        <v>0</v>
      </c>
      <c r="U163" s="5">
        <v>24</v>
      </c>
      <c r="V163" s="5">
        <v>0</v>
      </c>
      <c r="W163" s="5">
        <v>400</v>
      </c>
      <c r="X163" s="125">
        <v>14274.832730379356</v>
      </c>
      <c r="Y163" s="125">
        <v>52.264710493751132</v>
      </c>
      <c r="Z163" s="125">
        <v>-18492.167269620644</v>
      </c>
      <c r="AA163" s="112">
        <v>98496.35</v>
      </c>
      <c r="AB163" s="112">
        <v>174521.7</v>
      </c>
      <c r="AC163" s="8">
        <v>2.2954384558402605</v>
      </c>
      <c r="AD163" s="66"/>
      <c r="AE163" s="66">
        <v>53.485240371099245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202" t="s">
        <v>1</v>
      </c>
      <c r="BJ163" s="203" t="s">
        <v>838</v>
      </c>
    </row>
    <row r="164" spans="1:62" ht="12.75" customHeight="1" x14ac:dyDescent="0.35">
      <c r="A164" s="108"/>
      <c r="B164" s="126" t="s">
        <v>1</v>
      </c>
      <c r="C164" s="5" t="s">
        <v>2</v>
      </c>
      <c r="D164" s="5" t="s">
        <v>310</v>
      </c>
      <c r="E164" s="5" t="s">
        <v>311</v>
      </c>
      <c r="F164" s="135">
        <v>1080750</v>
      </c>
      <c r="G164" s="136" t="s">
        <v>770</v>
      </c>
      <c r="H164" s="139">
        <v>4103.8562111569854</v>
      </c>
      <c r="I164" s="139">
        <v>2462.3137266941917</v>
      </c>
      <c r="J164" s="125">
        <v>0</v>
      </c>
      <c r="K164" s="125">
        <v>3707</v>
      </c>
      <c r="L164" s="130">
        <v>2224.2000000000003</v>
      </c>
      <c r="M164" s="123">
        <v>1.089463121988747</v>
      </c>
      <c r="N164" s="130">
        <v>238.11372669419143</v>
      </c>
      <c r="O164" s="130">
        <v>0</v>
      </c>
      <c r="P164" s="123">
        <v>0.81485727517424944</v>
      </c>
      <c r="Q164" s="5">
        <v>9256</v>
      </c>
      <c r="R164" s="5">
        <v>764</v>
      </c>
      <c r="S164" s="5">
        <v>8492</v>
      </c>
      <c r="T164" s="5">
        <v>0</v>
      </c>
      <c r="U164" s="5">
        <v>0</v>
      </c>
      <c r="V164" s="5">
        <v>0</v>
      </c>
      <c r="W164" s="5">
        <v>0</v>
      </c>
      <c r="X164" s="125">
        <v>4859.7826086956511</v>
      </c>
      <c r="Y164" s="125">
        <v>52.422097964661155</v>
      </c>
      <c r="Z164" s="125">
        <v>-8859.1437888430155</v>
      </c>
      <c r="AA164" s="112">
        <v>43541.91</v>
      </c>
      <c r="AB164" s="112">
        <v>90100.12</v>
      </c>
      <c r="AC164" s="8">
        <v>3.1587364013285906</v>
      </c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202" t="s">
        <v>1</v>
      </c>
      <c r="BJ164" s="203" t="s">
        <v>839</v>
      </c>
    </row>
    <row r="165" spans="1:62" ht="12.75" customHeight="1" x14ac:dyDescent="0.35">
      <c r="A165" s="108"/>
      <c r="B165" s="126" t="s">
        <v>21</v>
      </c>
      <c r="C165" s="5" t="s">
        <v>5</v>
      </c>
      <c r="D165" s="5" t="s">
        <v>308</v>
      </c>
      <c r="E165" s="5" t="s">
        <v>395</v>
      </c>
      <c r="F165" s="5">
        <v>1069126</v>
      </c>
      <c r="G165" s="7" t="s">
        <v>556</v>
      </c>
      <c r="H165" s="139">
        <v>1389.4172159893565</v>
      </c>
      <c r="I165" s="139">
        <v>694.70860799467823</v>
      </c>
      <c r="J165" s="125">
        <v>0</v>
      </c>
      <c r="K165" s="125">
        <v>1091</v>
      </c>
      <c r="L165" s="130">
        <v>545.5</v>
      </c>
      <c r="M165" s="123">
        <v>0.92772709677571341</v>
      </c>
      <c r="N165" s="130">
        <v>149.20860799467823</v>
      </c>
      <c r="O165" s="130">
        <v>16.61316057827306</v>
      </c>
      <c r="P165" s="123">
        <v>1.5537072973394694</v>
      </c>
      <c r="Q165" s="5">
        <v>2723</v>
      </c>
      <c r="R165" s="5">
        <v>198</v>
      </c>
      <c r="S165" s="5">
        <v>2525</v>
      </c>
      <c r="T165" s="5">
        <v>0</v>
      </c>
      <c r="U165" s="5">
        <v>0</v>
      </c>
      <c r="V165" s="5">
        <v>0</v>
      </c>
      <c r="W165" s="5">
        <v>0</v>
      </c>
      <c r="X165" s="125">
        <v>1401.0869565217392</v>
      </c>
      <c r="Y165" s="125">
        <v>54.065166795965858</v>
      </c>
      <c r="Z165" s="125">
        <v>-2424.5827840106435</v>
      </c>
      <c r="AA165" s="112">
        <v>21633.23</v>
      </c>
      <c r="AB165" s="112">
        <v>39314.25</v>
      </c>
      <c r="AC165" s="8">
        <v>2.7450358007002102</v>
      </c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202" t="s">
        <v>1</v>
      </c>
      <c r="BJ165" s="203"/>
    </row>
    <row r="166" spans="1:62" ht="12.75" customHeight="1" x14ac:dyDescent="0.35">
      <c r="A166" s="108"/>
      <c r="B166" s="126" t="s">
        <v>1</v>
      </c>
      <c r="C166" s="5" t="s">
        <v>2</v>
      </c>
      <c r="D166" s="5" t="s">
        <v>306</v>
      </c>
      <c r="E166" s="5" t="s">
        <v>401</v>
      </c>
      <c r="F166" s="56">
        <v>1076365</v>
      </c>
      <c r="G166" s="65" t="s">
        <v>724</v>
      </c>
      <c r="H166" s="139">
        <v>11478.426642662567</v>
      </c>
      <c r="I166" s="139">
        <v>10330.583978396311</v>
      </c>
      <c r="J166" s="125">
        <v>0</v>
      </c>
      <c r="K166" s="125">
        <v>6426</v>
      </c>
      <c r="L166" s="130">
        <v>5783.4000000000005</v>
      </c>
      <c r="M166" s="123">
        <v>0.81073829103126582</v>
      </c>
      <c r="N166" s="130">
        <v>4547.1839783963105</v>
      </c>
      <c r="O166" s="130">
        <v>0</v>
      </c>
      <c r="P166" s="123">
        <v>0.6017033910827152</v>
      </c>
      <c r="Q166" s="5">
        <v>23808</v>
      </c>
      <c r="R166" s="5">
        <v>2880</v>
      </c>
      <c r="S166" s="5">
        <v>20928</v>
      </c>
      <c r="T166" s="5">
        <v>0</v>
      </c>
      <c r="U166" s="5">
        <v>0</v>
      </c>
      <c r="V166" s="5">
        <v>0</v>
      </c>
      <c r="W166" s="5">
        <v>546</v>
      </c>
      <c r="X166" s="125">
        <v>11478.426642662567</v>
      </c>
      <c r="Y166" s="125">
        <v>54.697391859130661</v>
      </c>
      <c r="Z166" s="125">
        <v>-18755.573357337431</v>
      </c>
      <c r="AA166" s="112">
        <v>214761.36</v>
      </c>
      <c r="AB166" s="112">
        <v>401778.54</v>
      </c>
      <c r="AC166" s="8">
        <v>2.6339846863356211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202" t="s">
        <v>1</v>
      </c>
      <c r="BJ166" s="203" t="s">
        <v>836</v>
      </c>
    </row>
    <row r="167" spans="1:62" ht="12.75" customHeight="1" x14ac:dyDescent="0.35">
      <c r="A167" s="108"/>
      <c r="B167" s="126" t="s">
        <v>1</v>
      </c>
      <c r="C167" s="5" t="s">
        <v>2</v>
      </c>
      <c r="D167" s="5" t="s">
        <v>310</v>
      </c>
      <c r="E167" s="5" t="s">
        <v>311</v>
      </c>
      <c r="F167" s="150">
        <v>1068295</v>
      </c>
      <c r="G167" s="151" t="s">
        <v>566</v>
      </c>
      <c r="H167" s="139">
        <v>786.80434449646077</v>
      </c>
      <c r="I167" s="139">
        <v>424.87434602808884</v>
      </c>
      <c r="J167" s="125">
        <v>0</v>
      </c>
      <c r="K167" s="125">
        <v>652</v>
      </c>
      <c r="L167" s="130">
        <v>352.08000000000004</v>
      </c>
      <c r="M167" s="123">
        <v>0.92017793885384003</v>
      </c>
      <c r="N167" s="130">
        <v>72.794346028088796</v>
      </c>
      <c r="O167" s="130">
        <v>0</v>
      </c>
      <c r="P167" s="123">
        <v>0.9093124682301944</v>
      </c>
      <c r="Q167" s="5">
        <v>1524</v>
      </c>
      <c r="R167" s="5">
        <v>72</v>
      </c>
      <c r="S167" s="5">
        <v>1452</v>
      </c>
      <c r="T167" s="5">
        <v>0</v>
      </c>
      <c r="U167" s="5">
        <v>0</v>
      </c>
      <c r="V167" s="5">
        <v>0</v>
      </c>
      <c r="W167" s="5">
        <v>0</v>
      </c>
      <c r="X167" s="125">
        <v>786.95652173913038</v>
      </c>
      <c r="Y167" s="125">
        <v>55.352486187845308</v>
      </c>
      <c r="Z167" s="125">
        <v>-1389.1956555035392</v>
      </c>
      <c r="AA167" s="112">
        <v>6483.27</v>
      </c>
      <c r="AB167" s="112">
        <v>11964.48</v>
      </c>
      <c r="AC167" s="8">
        <v>2.765617672577287</v>
      </c>
      <c r="AD167" s="66"/>
      <c r="AE167" s="66">
        <v>0</v>
      </c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202" t="s">
        <v>1</v>
      </c>
      <c r="BJ167" s="203"/>
    </row>
    <row r="168" spans="1:62" ht="12.75" customHeight="1" x14ac:dyDescent="0.35">
      <c r="A168" s="108"/>
      <c r="B168" s="126" t="s">
        <v>21</v>
      </c>
      <c r="C168" s="5" t="s">
        <v>5</v>
      </c>
      <c r="D168" s="5" t="s">
        <v>308</v>
      </c>
      <c r="E168" s="5" t="s">
        <v>395</v>
      </c>
      <c r="F168" s="5">
        <v>1069121</v>
      </c>
      <c r="G168" s="7" t="s">
        <v>558</v>
      </c>
      <c r="H168" s="139">
        <v>189.23968708906878</v>
      </c>
      <c r="I168" s="139">
        <v>151.39174967125504</v>
      </c>
      <c r="J168" s="125">
        <v>0</v>
      </c>
      <c r="K168" s="125">
        <v>150</v>
      </c>
      <c r="L168" s="130">
        <v>120</v>
      </c>
      <c r="M168" s="123">
        <v>0.80849848334397223</v>
      </c>
      <c r="N168" s="130">
        <v>31.391749671255042</v>
      </c>
      <c r="O168" s="130">
        <v>0</v>
      </c>
      <c r="P168" s="123">
        <v>0.98108097985846188</v>
      </c>
      <c r="Q168" s="5">
        <v>355</v>
      </c>
      <c r="R168" s="5">
        <v>3</v>
      </c>
      <c r="S168" s="5">
        <v>352</v>
      </c>
      <c r="T168" s="5">
        <v>0</v>
      </c>
      <c r="U168" s="5">
        <v>0</v>
      </c>
      <c r="V168" s="5">
        <v>0</v>
      </c>
      <c r="W168" s="5">
        <v>0</v>
      </c>
      <c r="X168" s="125">
        <v>189.23968708906878</v>
      </c>
      <c r="Y168" s="125">
        <v>55.802248262172199</v>
      </c>
      <c r="Z168" s="125">
        <v>-315.76031291093125</v>
      </c>
      <c r="AA168" s="112">
        <v>7522.28</v>
      </c>
      <c r="AB168" s="112">
        <v>13992</v>
      </c>
      <c r="AC168" s="8">
        <v>2.6685734254163793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202"/>
      <c r="BJ168" s="203"/>
    </row>
    <row r="169" spans="1:62" ht="12.75" customHeight="1" x14ac:dyDescent="0.35">
      <c r="A169" s="108"/>
      <c r="B169" s="126" t="s">
        <v>1</v>
      </c>
      <c r="C169" s="5" t="s">
        <v>2</v>
      </c>
      <c r="D169" s="5" t="s">
        <v>310</v>
      </c>
      <c r="E169" s="5" t="s">
        <v>311</v>
      </c>
      <c r="F169" s="135">
        <v>1080744</v>
      </c>
      <c r="G169" s="136" t="s">
        <v>765</v>
      </c>
      <c r="H169" s="139">
        <v>15071.688827088985</v>
      </c>
      <c r="I169" s="139">
        <v>2260.7533240633475</v>
      </c>
      <c r="J169" s="125">
        <v>0</v>
      </c>
      <c r="K169" s="125">
        <v>9625</v>
      </c>
      <c r="L169" s="130">
        <v>1443.75</v>
      </c>
      <c r="M169" s="123">
        <v>0.6688699664420481</v>
      </c>
      <c r="N169" s="130">
        <v>817.00332406334746</v>
      </c>
      <c r="O169" s="130">
        <v>0</v>
      </c>
      <c r="P169" s="123">
        <v>0.68900028302871119</v>
      </c>
      <c r="Q169" s="5">
        <v>28521</v>
      </c>
      <c r="R169" s="5">
        <v>456</v>
      </c>
      <c r="S169" s="5">
        <v>28065</v>
      </c>
      <c r="T169" s="5">
        <v>0</v>
      </c>
      <c r="U169" s="5">
        <v>0</v>
      </c>
      <c r="V169" s="5">
        <v>0</v>
      </c>
      <c r="W169" s="5">
        <v>0</v>
      </c>
      <c r="X169" s="125">
        <v>15071.688827088987</v>
      </c>
      <c r="Y169" s="125">
        <v>55.863016391814533</v>
      </c>
      <c r="Z169" s="125">
        <v>-23074.311172911017</v>
      </c>
      <c r="AA169" s="112">
        <v>37829.94</v>
      </c>
      <c r="AB169" s="112">
        <v>70443.149999999994</v>
      </c>
      <c r="AC169" s="8">
        <v>2.5309705128358662</v>
      </c>
      <c r="AD169" s="66"/>
      <c r="AE169" s="66">
        <v>40.312352692310292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202" t="s">
        <v>1</v>
      </c>
      <c r="BJ169" s="203" t="s">
        <v>840</v>
      </c>
    </row>
    <row r="170" spans="1:62" ht="12.75" customHeight="1" x14ac:dyDescent="0.35">
      <c r="A170" s="108"/>
      <c r="B170" s="126" t="s">
        <v>21</v>
      </c>
      <c r="C170" s="5" t="s">
        <v>5</v>
      </c>
      <c r="D170" s="5" t="s">
        <v>308</v>
      </c>
      <c r="E170" s="5" t="s">
        <v>395</v>
      </c>
      <c r="F170" s="5">
        <v>1069142</v>
      </c>
      <c r="G170" s="7" t="s">
        <v>559</v>
      </c>
      <c r="H170" s="139">
        <v>1190.5569828550022</v>
      </c>
      <c r="I170" s="139">
        <v>595.27849142750108</v>
      </c>
      <c r="J170" s="125">
        <v>0</v>
      </c>
      <c r="K170" s="125">
        <v>1386</v>
      </c>
      <c r="L170" s="130">
        <v>693</v>
      </c>
      <c r="M170" s="123">
        <v>1.2750334690908929</v>
      </c>
      <c r="N170" s="130">
        <v>97.721508572498919</v>
      </c>
      <c r="O170" s="130">
        <v>19.220850182674624</v>
      </c>
      <c r="P170" s="123">
        <v>1.6743043370774231</v>
      </c>
      <c r="Q170" s="5">
        <v>3235</v>
      </c>
      <c r="R170" s="5">
        <v>132</v>
      </c>
      <c r="S170" s="5">
        <v>3103</v>
      </c>
      <c r="T170" s="5">
        <v>0</v>
      </c>
      <c r="U170" s="5">
        <v>0</v>
      </c>
      <c r="V170" s="5">
        <v>0</v>
      </c>
      <c r="W170" s="5">
        <v>0</v>
      </c>
      <c r="X170" s="125">
        <v>1650</v>
      </c>
      <c r="Y170" s="125">
        <v>56.418181818181822</v>
      </c>
      <c r="Z170" s="125">
        <v>-3430.4430171449976</v>
      </c>
      <c r="AA170" s="112">
        <v>20620.45</v>
      </c>
      <c r="AB170" s="112">
        <v>53743.96</v>
      </c>
      <c r="AC170" s="8">
        <v>3.8813765880560047</v>
      </c>
      <c r="AD170" s="66"/>
      <c r="AE170" s="66">
        <v>23.572447992259317</v>
      </c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202" t="s">
        <v>1</v>
      </c>
      <c r="BJ170" s="203"/>
    </row>
    <row r="171" spans="1:62" ht="12.75" customHeight="1" x14ac:dyDescent="0.35">
      <c r="A171" s="108"/>
      <c r="B171" s="126" t="s">
        <v>1</v>
      </c>
      <c r="C171" s="5" t="s">
        <v>50</v>
      </c>
      <c r="D171" s="5" t="s">
        <v>310</v>
      </c>
      <c r="E171" s="5" t="s">
        <v>403</v>
      </c>
      <c r="F171" s="5">
        <v>1061420</v>
      </c>
      <c r="G171" s="7" t="s">
        <v>537</v>
      </c>
      <c r="H171" s="139">
        <v>11086.494932677591</v>
      </c>
      <c r="I171" s="139">
        <v>1441.2443412480868</v>
      </c>
      <c r="J171" s="125">
        <v>0</v>
      </c>
      <c r="K171" s="125">
        <v>6521</v>
      </c>
      <c r="L171" s="130">
        <v>847.73</v>
      </c>
      <c r="M171" s="123">
        <v>0.75361961113368003</v>
      </c>
      <c r="N171" s="130">
        <v>593.51434124808679</v>
      </c>
      <c r="O171" s="130">
        <v>0</v>
      </c>
      <c r="P171" s="123">
        <v>0.55644666109728336</v>
      </c>
      <c r="Q171" s="5">
        <v>22712</v>
      </c>
      <c r="R171" s="5">
        <v>1834</v>
      </c>
      <c r="S171" s="5">
        <v>20878</v>
      </c>
      <c r="T171" s="5">
        <v>0</v>
      </c>
      <c r="U171" s="5">
        <v>0</v>
      </c>
      <c r="V171" s="5">
        <v>0</v>
      </c>
      <c r="W171" s="5">
        <v>141</v>
      </c>
      <c r="X171" s="125">
        <v>11086.494932677591</v>
      </c>
      <c r="Y171" s="125">
        <v>56.495763882402045</v>
      </c>
      <c r="Z171" s="125">
        <v>-18146.50506732241</v>
      </c>
      <c r="AA171" s="112">
        <v>49556.63</v>
      </c>
      <c r="AB171" s="112">
        <v>93954.93</v>
      </c>
      <c r="AC171" s="8">
        <v>2.6368117405470817</v>
      </c>
      <c r="AD171" s="66"/>
      <c r="AE171" s="66" t="s">
        <v>574</v>
      </c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202" t="s">
        <v>1</v>
      </c>
      <c r="BJ171" s="203"/>
    </row>
    <row r="172" spans="1:62" ht="12.75" customHeight="1" x14ac:dyDescent="0.35">
      <c r="A172" s="108"/>
      <c r="B172" s="126" t="s">
        <v>1</v>
      </c>
      <c r="C172" s="5" t="s">
        <v>5</v>
      </c>
      <c r="D172" s="5" t="s">
        <v>396</v>
      </c>
      <c r="E172" s="5" t="s">
        <v>307</v>
      </c>
      <c r="F172" s="5">
        <v>1067889</v>
      </c>
      <c r="G172" s="7" t="s">
        <v>542</v>
      </c>
      <c r="H172" s="139">
        <v>1192.2300969696767</v>
      </c>
      <c r="I172" s="139">
        <v>453.0474368484771</v>
      </c>
      <c r="J172" s="125">
        <v>0</v>
      </c>
      <c r="K172" s="125">
        <v>1052</v>
      </c>
      <c r="L172" s="130">
        <v>399.76</v>
      </c>
      <c r="M172" s="123">
        <v>0.96290137526128772</v>
      </c>
      <c r="N172" s="130">
        <v>53.287436848477114</v>
      </c>
      <c r="O172" s="130">
        <v>0</v>
      </c>
      <c r="P172" s="123">
        <v>0.81641455390285755</v>
      </c>
      <c r="Q172" s="5">
        <v>2510</v>
      </c>
      <c r="R172" s="5">
        <v>96</v>
      </c>
      <c r="S172" s="5">
        <v>2414</v>
      </c>
      <c r="T172" s="5">
        <v>0</v>
      </c>
      <c r="U172" s="5">
        <v>0</v>
      </c>
      <c r="V172" s="5">
        <v>0</v>
      </c>
      <c r="W172" s="5">
        <v>0</v>
      </c>
      <c r="X172" s="125">
        <v>1247.826086956522</v>
      </c>
      <c r="Y172" s="125">
        <v>58.036933797909391</v>
      </c>
      <c r="Z172" s="125">
        <v>-2369.7699030303233</v>
      </c>
      <c r="AA172" s="112">
        <v>3207.1</v>
      </c>
      <c r="AB172" s="112">
        <v>6493.66</v>
      </c>
      <c r="AC172" s="8">
        <v>2.9876783089553194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204"/>
      <c r="BJ172" s="203"/>
    </row>
    <row r="173" spans="1:62" ht="12.75" customHeight="1" x14ac:dyDescent="0.35">
      <c r="A173" s="108"/>
      <c r="B173" s="126" t="s">
        <v>21</v>
      </c>
      <c r="C173" s="5" t="s">
        <v>5</v>
      </c>
      <c r="D173" s="5" t="s">
        <v>308</v>
      </c>
      <c r="E173" s="5" t="s">
        <v>372</v>
      </c>
      <c r="F173" s="5">
        <v>1089904</v>
      </c>
      <c r="G173" s="169" t="s">
        <v>796</v>
      </c>
      <c r="H173" s="139">
        <v>1950</v>
      </c>
      <c r="I173" s="139">
        <v>842.4</v>
      </c>
      <c r="J173" s="125">
        <v>0</v>
      </c>
      <c r="K173" s="125">
        <v>0</v>
      </c>
      <c r="L173" s="130">
        <v>0</v>
      </c>
      <c r="M173" s="123">
        <v>0</v>
      </c>
      <c r="N173" s="130">
        <v>842.4</v>
      </c>
      <c r="O173" s="130">
        <v>0</v>
      </c>
      <c r="P173" s="123">
        <v>0</v>
      </c>
      <c r="Q173" s="5">
        <v>4096</v>
      </c>
      <c r="R173" s="5">
        <v>0</v>
      </c>
      <c r="S173" s="5">
        <v>4096</v>
      </c>
      <c r="T173" s="5">
        <v>0</v>
      </c>
      <c r="U173" s="5">
        <v>0</v>
      </c>
      <c r="V173" s="5">
        <v>0</v>
      </c>
      <c r="W173" s="5">
        <v>0</v>
      </c>
      <c r="X173" s="125">
        <v>1950</v>
      </c>
      <c r="Y173" s="125">
        <v>63.015384615384619</v>
      </c>
      <c r="Z173" s="125">
        <v>-2146</v>
      </c>
      <c r="AA173" s="112">
        <v>22717.5</v>
      </c>
      <c r="AB173" s="112">
        <v>47718.400000000001</v>
      </c>
      <c r="AC173" s="8">
        <v>2.1005128205128205</v>
      </c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204"/>
      <c r="BJ173" s="203"/>
    </row>
    <row r="174" spans="1:62" ht="12.75" customHeight="1" x14ac:dyDescent="0.35">
      <c r="A174" s="108"/>
      <c r="B174" s="126" t="s">
        <v>1</v>
      </c>
      <c r="C174" s="5" t="s">
        <v>24</v>
      </c>
      <c r="D174" s="5" t="s">
        <v>316</v>
      </c>
      <c r="E174" s="5" t="s">
        <v>317</v>
      </c>
      <c r="F174" s="5">
        <v>1003495</v>
      </c>
      <c r="G174" s="7" t="s">
        <v>129</v>
      </c>
      <c r="H174" s="139">
        <v>1097.6873297428735</v>
      </c>
      <c r="I174" s="139">
        <v>93.303423028144252</v>
      </c>
      <c r="J174" s="125">
        <v>0</v>
      </c>
      <c r="K174" s="125">
        <v>642</v>
      </c>
      <c r="L174" s="130">
        <v>54.570000000000007</v>
      </c>
      <c r="M174" s="123">
        <v>1.0877414429842123</v>
      </c>
      <c r="N174" s="130">
        <v>38.733423028144244</v>
      </c>
      <c r="O174" s="130">
        <v>0</v>
      </c>
      <c r="P174" s="123">
        <v>0.87859421336094523</v>
      </c>
      <c r="Q174" s="5">
        <v>3297</v>
      </c>
      <c r="R174" s="5">
        <v>552</v>
      </c>
      <c r="S174" s="5">
        <v>2745</v>
      </c>
      <c r="T174" s="5">
        <v>0</v>
      </c>
      <c r="U174" s="5">
        <v>0</v>
      </c>
      <c r="V174" s="5">
        <v>0</v>
      </c>
      <c r="W174" s="5">
        <v>0</v>
      </c>
      <c r="X174" s="125">
        <v>1297.8260869565217</v>
      </c>
      <c r="Y174" s="125">
        <v>63.452261306532655</v>
      </c>
      <c r="Z174" s="125">
        <v>-2841.3126702571262</v>
      </c>
      <c r="AA174" s="112">
        <v>6926.41</v>
      </c>
      <c r="AB174" s="112">
        <v>17320.95</v>
      </c>
      <c r="AC174" s="8">
        <v>3.588453554367514</v>
      </c>
      <c r="AD174" s="66"/>
      <c r="AE174" s="66">
        <v>18.339424394700778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202" t="s">
        <v>1</v>
      </c>
      <c r="BJ174" s="203"/>
    </row>
    <row r="175" spans="1:62" ht="12.75" customHeight="1" x14ac:dyDescent="0.35">
      <c r="A175" s="108"/>
      <c r="B175" s="126" t="s">
        <v>15</v>
      </c>
      <c r="C175" s="5" t="s">
        <v>5</v>
      </c>
      <c r="D175" s="5" t="s">
        <v>312</v>
      </c>
      <c r="E175" s="5" t="s">
        <v>315</v>
      </c>
      <c r="F175" s="5">
        <v>1078686</v>
      </c>
      <c r="G175" s="7" t="s">
        <v>720</v>
      </c>
      <c r="H175" s="139">
        <v>2074.0244102439024</v>
      </c>
      <c r="I175" s="139">
        <v>217.77256307560975</v>
      </c>
      <c r="J175" s="125">
        <v>0</v>
      </c>
      <c r="K175" s="125">
        <v>2094</v>
      </c>
      <c r="L175" s="130">
        <v>219.87</v>
      </c>
      <c r="M175" s="123">
        <v>1.2892808719090927</v>
      </c>
      <c r="N175" s="130">
        <v>2.0974369243902515</v>
      </c>
      <c r="O175" s="130">
        <v>37.072498912219096</v>
      </c>
      <c r="P175" s="123">
        <v>1.9995909475418352</v>
      </c>
      <c r="Q175" s="5">
        <v>7130</v>
      </c>
      <c r="R175" s="5">
        <v>580</v>
      </c>
      <c r="S175" s="5">
        <v>6550</v>
      </c>
      <c r="T175" s="5">
        <v>0</v>
      </c>
      <c r="U175" s="5">
        <v>0</v>
      </c>
      <c r="V175" s="5">
        <v>0</v>
      </c>
      <c r="W175" s="5">
        <v>0</v>
      </c>
      <c r="X175" s="125">
        <v>2906.5217391304354</v>
      </c>
      <c r="Y175" s="125">
        <v>67.606581899775605</v>
      </c>
      <c r="Z175" s="125">
        <v>-7149.9755897560972</v>
      </c>
      <c r="AA175" s="112">
        <v>2903.63</v>
      </c>
      <c r="AB175" s="112">
        <v>9170</v>
      </c>
      <c r="AC175" s="8">
        <v>4.4473922073633023</v>
      </c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204"/>
      <c r="BJ175" s="203"/>
    </row>
    <row r="176" spans="1:62" ht="12.75" customHeight="1" x14ac:dyDescent="0.35">
      <c r="A176" s="108"/>
      <c r="B176" s="126" t="s">
        <v>1</v>
      </c>
      <c r="C176" s="5" t="s">
        <v>2</v>
      </c>
      <c r="D176" s="5" t="s">
        <v>396</v>
      </c>
      <c r="E176" s="5" t="s">
        <v>397</v>
      </c>
      <c r="F176" s="5">
        <v>1043305</v>
      </c>
      <c r="G176" s="7" t="s">
        <v>128</v>
      </c>
      <c r="H176" s="139">
        <v>5113.9208468013439</v>
      </c>
      <c r="I176" s="139">
        <v>5113.9208468013439</v>
      </c>
      <c r="J176" s="125">
        <v>0</v>
      </c>
      <c r="K176" s="125">
        <v>2666</v>
      </c>
      <c r="L176" s="130">
        <v>2666</v>
      </c>
      <c r="M176" s="123">
        <v>0.58858947765738201</v>
      </c>
      <c r="N176" s="130">
        <v>2447.9208468013439</v>
      </c>
      <c r="O176" s="130">
        <v>0</v>
      </c>
      <c r="P176" s="123">
        <v>0.42951850545405063</v>
      </c>
      <c r="Q176" s="5">
        <v>12165</v>
      </c>
      <c r="R176" s="5">
        <v>344</v>
      </c>
      <c r="S176" s="5">
        <v>11821</v>
      </c>
      <c r="T176" s="5">
        <v>0</v>
      </c>
      <c r="U176" s="5">
        <v>0</v>
      </c>
      <c r="V176" s="5">
        <v>0</v>
      </c>
      <c r="W176" s="5">
        <v>0</v>
      </c>
      <c r="X176" s="125">
        <v>5113.9208468013439</v>
      </c>
      <c r="Y176" s="125">
        <v>69.346008791241658</v>
      </c>
      <c r="Z176" s="125">
        <v>-9717.0791531986561</v>
      </c>
      <c r="AA176" s="112">
        <v>152803.95000000001</v>
      </c>
      <c r="AB176" s="112">
        <v>353211.48</v>
      </c>
      <c r="AC176" s="8">
        <v>2.900123104032104</v>
      </c>
      <c r="AD176" s="66"/>
      <c r="AE176" s="66">
        <v>62.451143451143452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202" t="s">
        <v>1</v>
      </c>
      <c r="BJ176" s="203"/>
    </row>
    <row r="177" spans="1:62" ht="12.75" customHeight="1" x14ac:dyDescent="0.35">
      <c r="A177" s="108"/>
      <c r="B177" s="126" t="s">
        <v>9</v>
      </c>
      <c r="C177" s="5" t="s">
        <v>5</v>
      </c>
      <c r="D177" s="5" t="s">
        <v>308</v>
      </c>
      <c r="E177" s="5" t="s">
        <v>315</v>
      </c>
      <c r="F177" s="142">
        <v>1080402</v>
      </c>
      <c r="G177" s="143" t="s">
        <v>742</v>
      </c>
      <c r="H177" s="139">
        <v>4745.8238832068637</v>
      </c>
      <c r="I177" s="139">
        <v>949.16477664137278</v>
      </c>
      <c r="J177" s="125">
        <v>0</v>
      </c>
      <c r="K177" s="125">
        <v>1008</v>
      </c>
      <c r="L177" s="130">
        <v>201.60000000000002</v>
      </c>
      <c r="M177" s="123">
        <v>0.30005327526772235</v>
      </c>
      <c r="N177" s="130">
        <v>747.56477664137276</v>
      </c>
      <c r="O177" s="130">
        <v>0</v>
      </c>
      <c r="P177" s="123">
        <v>0.45023366338569287</v>
      </c>
      <c r="Q177" s="5">
        <v>11653</v>
      </c>
      <c r="R177" s="5">
        <v>416</v>
      </c>
      <c r="S177" s="5">
        <v>11237</v>
      </c>
      <c r="T177" s="5">
        <v>0</v>
      </c>
      <c r="U177" s="5">
        <v>0</v>
      </c>
      <c r="V177" s="5">
        <v>0</v>
      </c>
      <c r="W177" s="5">
        <v>0</v>
      </c>
      <c r="X177" s="125">
        <v>4745.8238832068637</v>
      </c>
      <c r="Y177" s="125">
        <v>71.032977265099632</v>
      </c>
      <c r="Z177" s="125">
        <v>-7915.1761167931363</v>
      </c>
      <c r="AA177" s="112">
        <v>30895.31</v>
      </c>
      <c r="AB177" s="112">
        <v>73152.87</v>
      </c>
      <c r="AC177" s="8">
        <v>2.6678191841043768</v>
      </c>
      <c r="AD177" s="66"/>
      <c r="AE177" s="66">
        <v>104.89112227805695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202" t="s">
        <v>1</v>
      </c>
      <c r="BJ177" s="203"/>
    </row>
    <row r="178" spans="1:62" ht="12.75" customHeight="1" x14ac:dyDescent="0.35">
      <c r="A178" s="108"/>
      <c r="B178" s="126" t="s">
        <v>1</v>
      </c>
      <c r="C178" s="5" t="s">
        <v>50</v>
      </c>
      <c r="D178" s="5" t="s">
        <v>310</v>
      </c>
      <c r="E178" s="5" t="s">
        <v>403</v>
      </c>
      <c r="F178" s="5">
        <v>1076303</v>
      </c>
      <c r="G178" s="7" t="s">
        <v>693</v>
      </c>
      <c r="H178" s="139">
        <v>7580.8605347597195</v>
      </c>
      <c r="I178" s="139">
        <v>280.49183978610961</v>
      </c>
      <c r="J178" s="125">
        <v>0</v>
      </c>
      <c r="K178" s="125">
        <v>4718</v>
      </c>
      <c r="L178" s="130">
        <v>174.566</v>
      </c>
      <c r="M178" s="123">
        <v>0.75532322138696217</v>
      </c>
      <c r="N178" s="130">
        <v>105.92583978610961</v>
      </c>
      <c r="O178" s="130">
        <v>6.0937698609208883</v>
      </c>
      <c r="P178" s="123">
        <v>1.2021318580988054</v>
      </c>
      <c r="Q178" s="5">
        <v>20305</v>
      </c>
      <c r="R178" s="5">
        <v>1008</v>
      </c>
      <c r="S178" s="5">
        <v>19297</v>
      </c>
      <c r="T178" s="5">
        <v>0</v>
      </c>
      <c r="U178" s="5">
        <v>0</v>
      </c>
      <c r="V178" s="5">
        <v>0</v>
      </c>
      <c r="W178" s="5">
        <v>0</v>
      </c>
      <c r="X178" s="125">
        <v>7580.8605347597195</v>
      </c>
      <c r="Y178" s="125">
        <v>76.36468146928506</v>
      </c>
      <c r="Z178" s="125">
        <v>-17442.139465240281</v>
      </c>
      <c r="AA178" s="112">
        <v>17132.740000000002</v>
      </c>
      <c r="AB178" s="112">
        <v>43611.22</v>
      </c>
      <c r="AC178" s="8">
        <v>3.3008126036964645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204"/>
      <c r="BJ178" s="203"/>
    </row>
    <row r="179" spans="1:62" x14ac:dyDescent="0.35">
      <c r="A179" s="108"/>
      <c r="B179" s="126" t="s">
        <v>21</v>
      </c>
      <c r="C179" s="5" t="s">
        <v>5</v>
      </c>
      <c r="D179" s="5" t="s">
        <v>308</v>
      </c>
      <c r="E179" s="5" t="s">
        <v>395</v>
      </c>
      <c r="F179" s="56">
        <v>1069936</v>
      </c>
      <c r="G179" s="65" t="s">
        <v>610</v>
      </c>
      <c r="H179" s="139">
        <v>311.069321854912</v>
      </c>
      <c r="I179" s="139">
        <v>59.103171152433283</v>
      </c>
      <c r="J179" s="125">
        <v>0</v>
      </c>
      <c r="K179" s="125">
        <v>394</v>
      </c>
      <c r="L179" s="130">
        <v>74.86</v>
      </c>
      <c r="M179" s="123">
        <v>1.459481755683234</v>
      </c>
      <c r="N179" s="130">
        <v>15.756828847566716</v>
      </c>
      <c r="O179" s="130">
        <v>0</v>
      </c>
      <c r="P179" s="123">
        <v>0.90921706509741995</v>
      </c>
      <c r="Q179" s="5">
        <v>1407</v>
      </c>
      <c r="R179" s="5">
        <v>60</v>
      </c>
      <c r="S179" s="5">
        <v>1347</v>
      </c>
      <c r="T179" s="5">
        <v>0</v>
      </c>
      <c r="U179" s="5">
        <v>0</v>
      </c>
      <c r="V179" s="5">
        <v>0</v>
      </c>
      <c r="W179" s="5">
        <v>0</v>
      </c>
      <c r="X179" s="125">
        <v>493.47826086956513</v>
      </c>
      <c r="Y179" s="125">
        <v>81.888105726872254</v>
      </c>
      <c r="Z179" s="125">
        <v>-1489.930678145088</v>
      </c>
      <c r="AA179" s="112">
        <v>2541.44</v>
      </c>
      <c r="AB179" s="112">
        <v>11004.99</v>
      </c>
      <c r="AC179" s="8">
        <v>5.7897062598799662</v>
      </c>
      <c r="AD179" s="66"/>
      <c r="AE179" s="66">
        <v>75.108571428571437</v>
      </c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202" t="s">
        <v>1</v>
      </c>
      <c r="BJ179" s="203"/>
    </row>
    <row r="180" spans="1:62" ht="12.75" customHeight="1" x14ac:dyDescent="0.35">
      <c r="A180" s="108"/>
      <c r="B180" s="126" t="s">
        <v>1</v>
      </c>
      <c r="C180" s="5" t="s">
        <v>50</v>
      </c>
      <c r="D180" s="5" t="s">
        <v>320</v>
      </c>
      <c r="E180" s="5" t="s">
        <v>402</v>
      </c>
      <c r="F180" s="142">
        <v>1060961</v>
      </c>
      <c r="G180" s="143" t="s">
        <v>726</v>
      </c>
      <c r="H180" s="139">
        <v>15635.648542067942</v>
      </c>
      <c r="I180" s="139">
        <v>2814.4167375722295</v>
      </c>
      <c r="J180" s="125">
        <v>0</v>
      </c>
      <c r="K180" s="125">
        <v>2088</v>
      </c>
      <c r="L180" s="130">
        <v>375.84</v>
      </c>
      <c r="M180" s="123">
        <v>0.15400704316941127</v>
      </c>
      <c r="N180" s="130">
        <v>2438.5767375722294</v>
      </c>
      <c r="O180" s="130">
        <v>0</v>
      </c>
      <c r="P180" s="123">
        <v>0.21370982617949624</v>
      </c>
      <c r="Q180" s="5">
        <v>45224</v>
      </c>
      <c r="R180" s="5">
        <v>320</v>
      </c>
      <c r="S180" s="5">
        <v>44904</v>
      </c>
      <c r="T180" s="5">
        <v>0</v>
      </c>
      <c r="U180" s="5">
        <v>0</v>
      </c>
      <c r="V180" s="5">
        <v>0</v>
      </c>
      <c r="W180" s="5">
        <v>0</v>
      </c>
      <c r="X180" s="125">
        <v>15635.648542067942</v>
      </c>
      <c r="Y180" s="125">
        <v>86.156963452814495</v>
      </c>
      <c r="Z180" s="125">
        <v>-31676.351457932058</v>
      </c>
      <c r="AA180" s="112">
        <v>106635.12</v>
      </c>
      <c r="AB180" s="112">
        <v>306245.28000000003</v>
      </c>
      <c r="AC180" s="8">
        <v>3.0259058249298945</v>
      </c>
      <c r="AD180" s="66"/>
      <c r="AE180" s="66">
        <v>33.495568685376661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202" t="s">
        <v>1</v>
      </c>
      <c r="BJ180" s="203"/>
    </row>
    <row r="181" spans="1:62" ht="12.75" customHeight="1" x14ac:dyDescent="0.35">
      <c r="A181" s="108"/>
      <c r="B181" s="126" t="s">
        <v>1</v>
      </c>
      <c r="C181" s="5" t="s">
        <v>24</v>
      </c>
      <c r="D181" s="5" t="s">
        <v>316</v>
      </c>
      <c r="E181" s="5" t="s">
        <v>317</v>
      </c>
      <c r="F181" s="5">
        <v>1034632</v>
      </c>
      <c r="G181" s="7" t="s">
        <v>57</v>
      </c>
      <c r="H181" s="139">
        <v>3855.4424975206243</v>
      </c>
      <c r="I181" s="139">
        <v>655.42522457850623</v>
      </c>
      <c r="J181" s="125">
        <v>0</v>
      </c>
      <c r="K181" s="125">
        <v>2069</v>
      </c>
      <c r="L181" s="130">
        <v>351.73</v>
      </c>
      <c r="M181" s="123">
        <v>0.81754558705699865</v>
      </c>
      <c r="N181" s="130">
        <v>303.69522457850621</v>
      </c>
      <c r="O181" s="130">
        <v>0</v>
      </c>
      <c r="P181" s="123">
        <v>0.56723521073806293</v>
      </c>
      <c r="Q181" s="5">
        <v>12937</v>
      </c>
      <c r="R181" s="5">
        <v>1083</v>
      </c>
      <c r="S181" s="5">
        <v>11854</v>
      </c>
      <c r="T181" s="5">
        <v>0</v>
      </c>
      <c r="U181" s="5">
        <v>0</v>
      </c>
      <c r="V181" s="5">
        <v>0</v>
      </c>
      <c r="W181" s="5">
        <v>0</v>
      </c>
      <c r="X181" s="125">
        <v>3855.4424975206239</v>
      </c>
      <c r="Y181" s="125">
        <v>92.238439615866085</v>
      </c>
      <c r="Z181" s="125">
        <v>-11150.557502479376</v>
      </c>
      <c r="AA181" s="112">
        <v>40520.699999999997</v>
      </c>
      <c r="AB181" s="112">
        <v>124585.54</v>
      </c>
      <c r="AC181" s="8">
        <v>3.8921602409192015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202"/>
      <c r="BJ181" s="203"/>
    </row>
    <row r="182" spans="1:62" x14ac:dyDescent="0.35">
      <c r="A182" s="108"/>
      <c r="B182" s="126" t="s">
        <v>1</v>
      </c>
      <c r="C182" s="5" t="s">
        <v>2</v>
      </c>
      <c r="D182" s="5" t="s">
        <v>310</v>
      </c>
      <c r="E182" s="5" t="s">
        <v>311</v>
      </c>
      <c r="F182" s="5">
        <v>1080400</v>
      </c>
      <c r="G182" s="7" t="s">
        <v>753</v>
      </c>
      <c r="H182" s="139">
        <v>4718</v>
      </c>
      <c r="I182" s="139">
        <v>0</v>
      </c>
      <c r="J182" s="125">
        <v>0</v>
      </c>
      <c r="K182" s="125">
        <v>1549</v>
      </c>
      <c r="L182" s="130">
        <v>0</v>
      </c>
      <c r="M182" s="123">
        <v>0.37431114879186095</v>
      </c>
      <c r="N182" s="130">
        <v>0</v>
      </c>
      <c r="O182" s="130">
        <v>0</v>
      </c>
      <c r="P182" s="123">
        <v>0.29427942794279427</v>
      </c>
      <c r="Q182" s="5">
        <v>16336</v>
      </c>
      <c r="R182" s="5">
        <v>217</v>
      </c>
      <c r="S182" s="5">
        <v>16119</v>
      </c>
      <c r="T182" s="5">
        <v>0</v>
      </c>
      <c r="U182" s="5">
        <v>0</v>
      </c>
      <c r="V182" s="5">
        <v>0</v>
      </c>
      <c r="W182" s="5">
        <v>4318</v>
      </c>
      <c r="X182" s="125">
        <v>4718</v>
      </c>
      <c r="Y182" s="125">
        <v>102.49470114455278</v>
      </c>
      <c r="Z182" s="125">
        <v>-13167</v>
      </c>
      <c r="AA182" s="112">
        <v>32507.02</v>
      </c>
      <c r="AB182" s="112">
        <v>140810.93</v>
      </c>
      <c r="AC182" s="8">
        <v>3.7908011869436202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202"/>
      <c r="BJ182" s="203"/>
    </row>
    <row r="183" spans="1:62" x14ac:dyDescent="0.35">
      <c r="A183" s="108"/>
      <c r="B183" s="126" t="s">
        <v>1</v>
      </c>
      <c r="C183" s="5" t="s">
        <v>50</v>
      </c>
      <c r="D183" s="5" t="s">
        <v>320</v>
      </c>
      <c r="E183" s="5" t="s">
        <v>402</v>
      </c>
      <c r="F183" s="142">
        <v>1060962</v>
      </c>
      <c r="G183" s="143" t="s">
        <v>727</v>
      </c>
      <c r="H183" s="139">
        <v>14198.872181533898</v>
      </c>
      <c r="I183" s="139">
        <v>2555.7969926761016</v>
      </c>
      <c r="J183" s="125">
        <v>0</v>
      </c>
      <c r="K183" s="125">
        <v>1402</v>
      </c>
      <c r="L183" s="130">
        <v>252.35999999999999</v>
      </c>
      <c r="M183" s="123">
        <v>0.11846011278187972</v>
      </c>
      <c r="N183" s="130">
        <v>2303.4369926761015</v>
      </c>
      <c r="O183" s="130">
        <v>0</v>
      </c>
      <c r="P183" s="123">
        <v>0.18169588859178437</v>
      </c>
      <c r="Q183" s="5">
        <v>48911</v>
      </c>
      <c r="R183" s="5">
        <v>280</v>
      </c>
      <c r="S183" s="5">
        <v>48631</v>
      </c>
      <c r="T183" s="5">
        <v>0</v>
      </c>
      <c r="U183" s="5">
        <v>0</v>
      </c>
      <c r="V183" s="5">
        <v>0</v>
      </c>
      <c r="W183" s="5">
        <v>0</v>
      </c>
      <c r="X183" s="125">
        <v>14198.872181533896</v>
      </c>
      <c r="Y183" s="125">
        <v>102.74971007185957</v>
      </c>
      <c r="Z183" s="125">
        <v>-36114.127818466106</v>
      </c>
      <c r="AA183" s="112">
        <v>96836.31</v>
      </c>
      <c r="AB183" s="112">
        <v>331663.42</v>
      </c>
      <c r="AC183" s="8">
        <v>3.5434504485105318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204"/>
      <c r="BJ183" s="203" t="s">
        <v>842</v>
      </c>
    </row>
    <row r="184" spans="1:62" ht="12.75" customHeight="1" x14ac:dyDescent="0.35">
      <c r="A184" s="108"/>
      <c r="B184" s="126" t="s">
        <v>21</v>
      </c>
      <c r="C184" s="5" t="s">
        <v>5</v>
      </c>
      <c r="D184" s="5" t="s">
        <v>308</v>
      </c>
      <c r="E184" s="5" t="s">
        <v>395</v>
      </c>
      <c r="F184" s="5">
        <v>1069727</v>
      </c>
      <c r="G184" s="7" t="s">
        <v>570</v>
      </c>
      <c r="H184" s="139">
        <v>22.748535298438401</v>
      </c>
      <c r="I184" s="139">
        <v>18.198828238750721</v>
      </c>
      <c r="J184" s="125">
        <v>0</v>
      </c>
      <c r="K184" s="125">
        <v>16</v>
      </c>
      <c r="L184" s="130">
        <v>12.8</v>
      </c>
      <c r="M184" s="123">
        <v>0.70334198620244082</v>
      </c>
      <c r="N184" s="130">
        <v>5.3988282387507205</v>
      </c>
      <c r="O184" s="130">
        <v>0</v>
      </c>
      <c r="P184" s="123">
        <v>0.13187662241295764</v>
      </c>
      <c r="Q184" s="5">
        <v>78</v>
      </c>
      <c r="R184" s="5">
        <v>0</v>
      </c>
      <c r="S184" s="5">
        <v>78</v>
      </c>
      <c r="T184" s="5">
        <v>0</v>
      </c>
      <c r="U184" s="5">
        <v>3</v>
      </c>
      <c r="V184" s="5">
        <v>0</v>
      </c>
      <c r="W184" s="5">
        <v>0</v>
      </c>
      <c r="X184" s="125">
        <v>22.748535298438401</v>
      </c>
      <c r="Y184" s="125">
        <v>102.86376548210697</v>
      </c>
      <c r="Z184" s="125">
        <v>-71.251464701561602</v>
      </c>
      <c r="AA184" s="112">
        <v>767.54</v>
      </c>
      <c r="AB184" s="112">
        <v>2732.94</v>
      </c>
      <c r="AC184" s="8">
        <v>4.1321341689393396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204"/>
      <c r="BJ184" s="203"/>
    </row>
    <row r="185" spans="1:62" ht="12.75" customHeight="1" x14ac:dyDescent="0.35">
      <c r="A185" s="108"/>
      <c r="B185" s="126" t="s">
        <v>27</v>
      </c>
      <c r="C185" s="5" t="s">
        <v>5</v>
      </c>
      <c r="D185" s="5" t="s">
        <v>312</v>
      </c>
      <c r="E185" s="5" t="s">
        <v>319</v>
      </c>
      <c r="F185" s="5">
        <v>1030816</v>
      </c>
      <c r="G185" s="7" t="s">
        <v>61</v>
      </c>
      <c r="H185" s="139">
        <v>2500</v>
      </c>
      <c r="I185" s="139">
        <v>480</v>
      </c>
      <c r="J185" s="125">
        <v>0</v>
      </c>
      <c r="K185" s="125">
        <v>2744</v>
      </c>
      <c r="L185" s="130">
        <v>526.84799999999996</v>
      </c>
      <c r="M185" s="123">
        <v>1.0975999999999999</v>
      </c>
      <c r="N185" s="130">
        <v>46.847999999999956</v>
      </c>
      <c r="O185" s="130">
        <v>0</v>
      </c>
      <c r="P185" s="123">
        <v>0.29599999999999999</v>
      </c>
      <c r="Q185" s="5">
        <v>10576</v>
      </c>
      <c r="R185" s="5">
        <v>0</v>
      </c>
      <c r="S185" s="5">
        <v>10576</v>
      </c>
      <c r="T185" s="5">
        <v>0</v>
      </c>
      <c r="U185" s="5">
        <v>0</v>
      </c>
      <c r="V185" s="5">
        <v>0</v>
      </c>
      <c r="W185" s="5">
        <v>0</v>
      </c>
      <c r="X185" s="125">
        <v>2982.608695652174</v>
      </c>
      <c r="Y185" s="125">
        <v>106.37667638483966</v>
      </c>
      <c r="Z185" s="125">
        <v>-10820</v>
      </c>
      <c r="AA185" s="112">
        <v>5600</v>
      </c>
      <c r="AB185" s="112">
        <v>23690.240000000002</v>
      </c>
      <c r="AC185" s="8">
        <v>5.3280000000000003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202"/>
      <c r="BJ185" s="203"/>
    </row>
    <row r="186" spans="1:62" ht="12.75" customHeight="1" x14ac:dyDescent="0.35">
      <c r="A186" s="108"/>
      <c r="B186" s="126" t="s">
        <v>27</v>
      </c>
      <c r="C186" s="5" t="s">
        <v>5</v>
      </c>
      <c r="D186" s="5" t="s">
        <v>312</v>
      </c>
      <c r="E186" s="5" t="s">
        <v>319</v>
      </c>
      <c r="F186" s="184">
        <v>1079532</v>
      </c>
      <c r="G186" s="185" t="s">
        <v>847</v>
      </c>
      <c r="H186" s="186">
        <v>2700</v>
      </c>
      <c r="I186" s="139">
        <v>518.4</v>
      </c>
      <c r="J186" s="125">
        <v>0</v>
      </c>
      <c r="K186" s="125">
        <v>752</v>
      </c>
      <c r="L186" s="130">
        <v>144.38400000000001</v>
      </c>
      <c r="M186" s="123">
        <v>0.2785185185185185</v>
      </c>
      <c r="N186" s="130">
        <v>374.01599999999996</v>
      </c>
      <c r="O186" s="130">
        <v>0</v>
      </c>
      <c r="P186" s="123">
        <v>0</v>
      </c>
      <c r="Q186" s="5">
        <v>9804</v>
      </c>
      <c r="R186" s="5">
        <v>0</v>
      </c>
      <c r="S186" s="5">
        <v>9804</v>
      </c>
      <c r="T186" s="5">
        <v>0</v>
      </c>
      <c r="U186" s="5">
        <v>0</v>
      </c>
      <c r="V186" s="5">
        <v>0</v>
      </c>
      <c r="W186" s="5">
        <v>0</v>
      </c>
      <c r="X186" s="125">
        <v>2700</v>
      </c>
      <c r="Y186" s="125">
        <v>108.93333333333334</v>
      </c>
      <c r="Z186" s="125">
        <v>-7856</v>
      </c>
      <c r="AA186" s="112">
        <v>6102</v>
      </c>
      <c r="AB186" s="112">
        <v>22157.040000000001</v>
      </c>
      <c r="AC186" s="8">
        <v>3.9096296296296296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204"/>
      <c r="BJ186" s="203"/>
    </row>
    <row r="187" spans="1:62" ht="12.75" customHeight="1" x14ac:dyDescent="0.35">
      <c r="A187" s="108"/>
      <c r="B187" s="126" t="s">
        <v>21</v>
      </c>
      <c r="C187" s="5" t="s">
        <v>5</v>
      </c>
      <c r="D187" s="5" t="s">
        <v>308</v>
      </c>
      <c r="E187" s="5" t="s">
        <v>395</v>
      </c>
      <c r="F187" s="5">
        <v>1069938</v>
      </c>
      <c r="G187" s="7" t="s">
        <v>567</v>
      </c>
      <c r="H187" s="139">
        <v>1132.4557589531519</v>
      </c>
      <c r="I187" s="139">
        <v>215.16659420109886</v>
      </c>
      <c r="J187" s="125">
        <v>0</v>
      </c>
      <c r="K187" s="125">
        <v>1521</v>
      </c>
      <c r="L187" s="130">
        <v>288.99</v>
      </c>
      <c r="M187" s="123">
        <v>1.3430988256936593</v>
      </c>
      <c r="N187" s="130">
        <v>73.823405798901149</v>
      </c>
      <c r="O187" s="130">
        <v>6.5577195159220878</v>
      </c>
      <c r="P187" s="123">
        <v>1.2626587388269683</v>
      </c>
      <c r="Q187" s="5">
        <v>6049</v>
      </c>
      <c r="R187" s="5">
        <v>0</v>
      </c>
      <c r="S187" s="5">
        <v>6049</v>
      </c>
      <c r="T187" s="5">
        <v>0</v>
      </c>
      <c r="U187" s="5">
        <v>0</v>
      </c>
      <c r="V187" s="5">
        <v>0</v>
      </c>
      <c r="W187" s="5">
        <v>0</v>
      </c>
      <c r="X187" s="125">
        <v>1653.2608695652175</v>
      </c>
      <c r="Y187" s="125">
        <v>109.76489151873767</v>
      </c>
      <c r="Z187" s="125">
        <v>-6437.5442410468477</v>
      </c>
      <c r="AA187" s="112">
        <v>8912.43</v>
      </c>
      <c r="AB187" s="112">
        <v>47605.63</v>
      </c>
      <c r="AC187" s="8">
        <v>6.6845878438533859</v>
      </c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202"/>
      <c r="BJ187" s="203"/>
    </row>
    <row r="188" spans="1:62" ht="12.75" customHeight="1" x14ac:dyDescent="0.35">
      <c r="A188" s="108"/>
      <c r="B188" s="126" t="s">
        <v>21</v>
      </c>
      <c r="C188" s="5" t="s">
        <v>5</v>
      </c>
      <c r="D188" s="5" t="s">
        <v>308</v>
      </c>
      <c r="E188" s="5" t="s">
        <v>395</v>
      </c>
      <c r="F188" s="5">
        <v>1069116</v>
      </c>
      <c r="G188" s="7" t="s">
        <v>555</v>
      </c>
      <c r="H188" s="139">
        <v>190.91889053259521</v>
      </c>
      <c r="I188" s="139">
        <v>152.73511242607617</v>
      </c>
      <c r="J188" s="125">
        <v>0</v>
      </c>
      <c r="K188" s="125">
        <v>134</v>
      </c>
      <c r="L188" s="130">
        <v>107.2</v>
      </c>
      <c r="M188" s="123">
        <v>0.76472265050730381</v>
      </c>
      <c r="N188" s="130">
        <v>45.535112426076168</v>
      </c>
      <c r="O188" s="130">
        <v>0</v>
      </c>
      <c r="P188" s="123">
        <v>0.87706053750289681</v>
      </c>
      <c r="Q188" s="5">
        <v>751</v>
      </c>
      <c r="R188" s="5">
        <v>12</v>
      </c>
      <c r="S188" s="5">
        <v>739</v>
      </c>
      <c r="T188" s="5">
        <v>0</v>
      </c>
      <c r="U188" s="5">
        <v>0</v>
      </c>
      <c r="V188" s="5">
        <v>0</v>
      </c>
      <c r="W188" s="5">
        <v>0</v>
      </c>
      <c r="X188" s="125">
        <v>190.91889053259524</v>
      </c>
      <c r="Y188" s="125">
        <v>116.12261069689673</v>
      </c>
      <c r="Z188" s="125">
        <v>-694.08110946740476</v>
      </c>
      <c r="AA188" s="112">
        <v>7140.37</v>
      </c>
      <c r="AB188" s="112">
        <v>27638.6</v>
      </c>
      <c r="AC188" s="8">
        <v>4.6354763404038621</v>
      </c>
      <c r="AD188" s="66"/>
      <c r="AE188" s="66">
        <v>29.223956228478066</v>
      </c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202" t="s">
        <v>1</v>
      </c>
      <c r="BJ188" s="203"/>
    </row>
    <row r="189" spans="1:62" ht="12.75" customHeight="1" x14ac:dyDescent="0.35">
      <c r="A189" s="108"/>
      <c r="B189" s="126" t="s">
        <v>1</v>
      </c>
      <c r="C189" s="5" t="s">
        <v>24</v>
      </c>
      <c r="D189" s="5" t="s">
        <v>316</v>
      </c>
      <c r="E189" s="5" t="s">
        <v>317</v>
      </c>
      <c r="F189" s="5">
        <v>1003496</v>
      </c>
      <c r="G189" s="7" t="s">
        <v>280</v>
      </c>
      <c r="H189" s="139">
        <v>4549.5693446179557</v>
      </c>
      <c r="I189" s="139">
        <v>227.47846723089779</v>
      </c>
      <c r="J189" s="125">
        <v>0</v>
      </c>
      <c r="K189" s="125">
        <v>3052</v>
      </c>
      <c r="L189" s="130">
        <v>152.6</v>
      </c>
      <c r="M189" s="123">
        <v>0.87129125852083744</v>
      </c>
      <c r="N189" s="130">
        <v>74.878467230897797</v>
      </c>
      <c r="O189" s="130">
        <v>0</v>
      </c>
      <c r="P189" s="123">
        <v>0.73425524467465408</v>
      </c>
      <c r="Q189" s="5">
        <v>18763</v>
      </c>
      <c r="R189" s="5">
        <v>912</v>
      </c>
      <c r="S189" s="5">
        <v>17851</v>
      </c>
      <c r="T189" s="5">
        <v>0</v>
      </c>
      <c r="U189" s="5">
        <v>0</v>
      </c>
      <c r="V189" s="5">
        <v>0</v>
      </c>
      <c r="W189" s="5">
        <v>0</v>
      </c>
      <c r="X189" s="125">
        <v>4549.5693446179557</v>
      </c>
      <c r="Y189" s="125">
        <v>117.71004229961252</v>
      </c>
      <c r="Z189" s="125">
        <v>-17265.430655382042</v>
      </c>
      <c r="AA189" s="112">
        <v>19654.14</v>
      </c>
      <c r="AB189" s="112">
        <v>77116.320000000007</v>
      </c>
      <c r="AC189" s="8">
        <v>4.7949593351745872</v>
      </c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204"/>
      <c r="BJ189" s="203"/>
    </row>
    <row r="190" spans="1:62" ht="12.75" customHeight="1" x14ac:dyDescent="0.35">
      <c r="A190" s="108"/>
      <c r="B190" s="126" t="s">
        <v>1</v>
      </c>
      <c r="C190" s="5" t="s">
        <v>2</v>
      </c>
      <c r="D190" s="5" t="s">
        <v>310</v>
      </c>
      <c r="E190" s="5" t="s">
        <v>311</v>
      </c>
      <c r="F190" s="5">
        <v>1080399</v>
      </c>
      <c r="G190" s="7" t="s">
        <v>752</v>
      </c>
      <c r="H190" s="139">
        <v>8843.2000000000007</v>
      </c>
      <c r="I190" s="139">
        <v>0</v>
      </c>
      <c r="J190" s="125">
        <v>0</v>
      </c>
      <c r="K190" s="125">
        <v>2940</v>
      </c>
      <c r="L190" s="130">
        <v>0</v>
      </c>
      <c r="M190" s="123">
        <v>0.38402388275737287</v>
      </c>
      <c r="N190" s="130">
        <v>0</v>
      </c>
      <c r="O190" s="130">
        <v>0</v>
      </c>
      <c r="P190" s="123">
        <v>0.2406700593723495</v>
      </c>
      <c r="Q190" s="5">
        <v>39268</v>
      </c>
      <c r="R190" s="5">
        <v>456</v>
      </c>
      <c r="S190" s="5">
        <v>38812</v>
      </c>
      <c r="T190" s="5">
        <v>0</v>
      </c>
      <c r="U190" s="5">
        <v>0</v>
      </c>
      <c r="V190" s="5">
        <v>0</v>
      </c>
      <c r="W190" s="5">
        <v>1164</v>
      </c>
      <c r="X190" s="125">
        <v>8843.2000000000007</v>
      </c>
      <c r="Y190" s="125">
        <v>131.66726976660033</v>
      </c>
      <c r="Z190" s="125">
        <v>-33364.800000000003</v>
      </c>
      <c r="AA190" s="112">
        <v>19808.77</v>
      </c>
      <c r="AB190" s="112">
        <v>89546.240000000005</v>
      </c>
      <c r="AC190" s="8">
        <v>4.7729328749773838</v>
      </c>
      <c r="AD190" s="66"/>
      <c r="AE190" s="66" t="s">
        <v>574</v>
      </c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204" t="s">
        <v>1</v>
      </c>
      <c r="BJ190" s="203" t="s">
        <v>843</v>
      </c>
    </row>
    <row r="191" spans="1:62" ht="12.75" customHeight="1" x14ac:dyDescent="0.35">
      <c r="A191" s="108"/>
      <c r="B191" s="126" t="s">
        <v>1</v>
      </c>
      <c r="C191" s="5" t="s">
        <v>24</v>
      </c>
      <c r="D191" s="5" t="s">
        <v>316</v>
      </c>
      <c r="E191" s="5" t="s">
        <v>317</v>
      </c>
      <c r="F191" s="5">
        <v>1059902</v>
      </c>
      <c r="G191" s="7" t="s">
        <v>766</v>
      </c>
      <c r="H191" s="139">
        <v>1705</v>
      </c>
      <c r="I191" s="139">
        <v>85.25</v>
      </c>
      <c r="J191" s="125">
        <v>0</v>
      </c>
      <c r="K191" s="125">
        <v>264</v>
      </c>
      <c r="L191" s="130">
        <v>13.200000000000001</v>
      </c>
      <c r="M191" s="123">
        <v>0.19706744868035192</v>
      </c>
      <c r="N191" s="130">
        <v>72.05</v>
      </c>
      <c r="O191" s="130">
        <v>0</v>
      </c>
      <c r="P191" s="123">
        <v>0.20064308681672025</v>
      </c>
      <c r="Q191" s="5">
        <v>7584</v>
      </c>
      <c r="R191" s="5">
        <v>72</v>
      </c>
      <c r="S191" s="5">
        <v>7512</v>
      </c>
      <c r="T191" s="5">
        <v>0</v>
      </c>
      <c r="U191" s="5">
        <v>0</v>
      </c>
      <c r="V191" s="5">
        <v>0</v>
      </c>
      <c r="W191" s="5">
        <v>0</v>
      </c>
      <c r="X191" s="125">
        <v>1705</v>
      </c>
      <c r="Y191" s="125">
        <v>132.1759530791789</v>
      </c>
      <c r="Z191" s="125">
        <v>-6143</v>
      </c>
      <c r="AA191" s="112">
        <v>8525</v>
      </c>
      <c r="AB191" s="112">
        <v>37560</v>
      </c>
      <c r="AC191" s="8">
        <v>4.6029325513196486</v>
      </c>
      <c r="AD191" s="66"/>
      <c r="AE191" s="66" t="s">
        <v>574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202" t="s">
        <v>1</v>
      </c>
      <c r="BJ191" s="203"/>
    </row>
    <row r="192" spans="1:62" ht="12.75" customHeight="1" x14ac:dyDescent="0.35">
      <c r="A192" s="108"/>
      <c r="B192" s="126" t="s">
        <v>1</v>
      </c>
      <c r="C192" s="5" t="s">
        <v>24</v>
      </c>
      <c r="D192" s="5" t="s">
        <v>316</v>
      </c>
      <c r="E192" s="5" t="s">
        <v>317</v>
      </c>
      <c r="F192" s="5">
        <v>1064331</v>
      </c>
      <c r="G192" s="7" t="s">
        <v>596</v>
      </c>
      <c r="H192" s="139">
        <v>98.994101193753608</v>
      </c>
      <c r="I192" s="139">
        <v>8.4144986014690577</v>
      </c>
      <c r="J192" s="125">
        <v>0</v>
      </c>
      <c r="K192" s="125">
        <v>280</v>
      </c>
      <c r="L192" s="130">
        <v>23.8</v>
      </c>
      <c r="M192" s="123">
        <v>5.8286301208057019</v>
      </c>
      <c r="N192" s="130">
        <v>15.385501398530943</v>
      </c>
      <c r="O192" s="130">
        <v>122.43332499646108</v>
      </c>
      <c r="P192" s="123">
        <v>5.3444250078238662</v>
      </c>
      <c r="Q192" s="5">
        <v>3356</v>
      </c>
      <c r="R192" s="5">
        <v>297</v>
      </c>
      <c r="S192" s="5">
        <v>3059</v>
      </c>
      <c r="T192" s="5">
        <v>0</v>
      </c>
      <c r="U192" s="5">
        <v>0</v>
      </c>
      <c r="V192" s="5">
        <v>0</v>
      </c>
      <c r="W192" s="5">
        <v>0</v>
      </c>
      <c r="X192" s="125">
        <v>627.17391304347825</v>
      </c>
      <c r="Y192" s="125">
        <v>146.32305025996533</v>
      </c>
      <c r="Z192" s="125">
        <v>-3537.0058988062465</v>
      </c>
      <c r="AA192" s="112">
        <v>651.38</v>
      </c>
      <c r="AB192" s="112">
        <v>20128.22</v>
      </c>
      <c r="AC192" s="8">
        <v>36.729461211870941</v>
      </c>
      <c r="AD192" s="66"/>
      <c r="AE192" s="66">
        <v>0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202" t="s">
        <v>1</v>
      </c>
      <c r="BJ192" s="203"/>
    </row>
    <row r="193" spans="1:62" ht="12.75" customHeight="1" x14ac:dyDescent="0.35">
      <c r="A193" s="108"/>
      <c r="B193" s="126" t="s">
        <v>15</v>
      </c>
      <c r="C193" s="5" t="s">
        <v>5</v>
      </c>
      <c r="D193" s="5" t="s">
        <v>308</v>
      </c>
      <c r="E193" s="5" t="s">
        <v>315</v>
      </c>
      <c r="F193" s="5">
        <v>1078734</v>
      </c>
      <c r="G193" s="7" t="s">
        <v>707</v>
      </c>
      <c r="H193" s="139">
        <v>537.18684474185159</v>
      </c>
      <c r="I193" s="139">
        <v>129.99921642752807</v>
      </c>
      <c r="J193" s="125">
        <v>0</v>
      </c>
      <c r="K193" s="125">
        <v>0</v>
      </c>
      <c r="L193" s="130">
        <v>0</v>
      </c>
      <c r="M193" s="123">
        <v>6.7015788551746863E-2</v>
      </c>
      <c r="N193" s="130">
        <v>129.99921642752807</v>
      </c>
      <c r="O193" s="130">
        <v>0</v>
      </c>
      <c r="P193" s="123">
        <v>0.59090909090909094</v>
      </c>
      <c r="Q193" s="5">
        <v>2706</v>
      </c>
      <c r="R193" s="5">
        <v>36</v>
      </c>
      <c r="S193" s="5">
        <v>2670</v>
      </c>
      <c r="T193" s="5">
        <v>0</v>
      </c>
      <c r="U193" s="5">
        <v>0</v>
      </c>
      <c r="V193" s="5">
        <v>0</v>
      </c>
      <c r="W193" s="5">
        <v>0</v>
      </c>
      <c r="X193" s="125">
        <v>537.18684474185159</v>
      </c>
      <c r="Y193" s="125">
        <v>149.11012952763679</v>
      </c>
      <c r="Z193" s="125">
        <v>-2168.8131552581485</v>
      </c>
      <c r="AA193" s="112">
        <v>2283.04</v>
      </c>
      <c r="AB193" s="112">
        <v>11347.5</v>
      </c>
      <c r="AC193" s="8">
        <v>5.0373534394729731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202"/>
      <c r="BJ193" s="203"/>
    </row>
    <row r="194" spans="1:62" ht="12.75" customHeight="1" x14ac:dyDescent="0.35">
      <c r="A194" s="108"/>
      <c r="B194" s="126" t="s">
        <v>1</v>
      </c>
      <c r="C194" s="5" t="s">
        <v>2</v>
      </c>
      <c r="D194" s="5" t="s">
        <v>310</v>
      </c>
      <c r="E194" s="5" t="s">
        <v>311</v>
      </c>
      <c r="F194" s="137">
        <v>1068294</v>
      </c>
      <c r="G194" s="138" t="s">
        <v>565</v>
      </c>
      <c r="H194" s="139">
        <v>627.1032508723456</v>
      </c>
      <c r="I194" s="139">
        <v>94.065487630851834</v>
      </c>
      <c r="J194" s="125">
        <v>0</v>
      </c>
      <c r="K194" s="125">
        <v>30</v>
      </c>
      <c r="L194" s="130">
        <v>4.5</v>
      </c>
      <c r="M194" s="123">
        <v>4.783901208974415E-2</v>
      </c>
      <c r="N194" s="130">
        <v>89.565487630851834</v>
      </c>
      <c r="O194" s="130">
        <v>0</v>
      </c>
      <c r="P194" s="123">
        <v>0</v>
      </c>
      <c r="Q194" s="5">
        <v>3312</v>
      </c>
      <c r="R194" s="5">
        <v>0</v>
      </c>
      <c r="S194" s="5">
        <v>3312</v>
      </c>
      <c r="T194" s="5">
        <v>0</v>
      </c>
      <c r="U194" s="5">
        <v>0</v>
      </c>
      <c r="V194" s="5">
        <v>0</v>
      </c>
      <c r="W194" s="5">
        <v>2503</v>
      </c>
      <c r="X194" s="125">
        <v>627.1032508723456</v>
      </c>
      <c r="Y194" s="125">
        <v>158.44280804123264</v>
      </c>
      <c r="Z194" s="125">
        <v>-2714.8967491276544</v>
      </c>
      <c r="AA194" s="112">
        <v>1279.29</v>
      </c>
      <c r="AB194" s="112">
        <v>11862.6</v>
      </c>
      <c r="AC194" s="8">
        <v>5.3292659467974985</v>
      </c>
      <c r="AD194" s="66"/>
      <c r="AE194" s="66">
        <v>105.57129340524175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202" t="s">
        <v>1</v>
      </c>
      <c r="BJ194" s="203" t="s">
        <v>804</v>
      </c>
    </row>
    <row r="195" spans="1:62" ht="12.75" customHeight="1" x14ac:dyDescent="0.35">
      <c r="A195" s="108"/>
      <c r="B195" s="126" t="s">
        <v>4</v>
      </c>
      <c r="C195" s="5" t="s">
        <v>5</v>
      </c>
      <c r="D195" s="5" t="s">
        <v>308</v>
      </c>
      <c r="E195" s="5" t="s">
        <v>314</v>
      </c>
      <c r="F195" s="5">
        <v>1075185</v>
      </c>
      <c r="G195" s="7" t="s">
        <v>703</v>
      </c>
      <c r="H195" s="139">
        <v>5631.2094729108485</v>
      </c>
      <c r="I195" s="139">
        <v>5405.9610939944141</v>
      </c>
      <c r="J195" s="125">
        <v>0</v>
      </c>
      <c r="K195" s="125">
        <v>1700</v>
      </c>
      <c r="L195" s="130">
        <v>1632</v>
      </c>
      <c r="M195" s="123">
        <v>0.41269997345680215</v>
      </c>
      <c r="N195" s="130">
        <v>3773.9610939944141</v>
      </c>
      <c r="O195" s="130">
        <v>137.71984219921379</v>
      </c>
      <c r="P195" s="123">
        <v>6.8752218181818181</v>
      </c>
      <c r="Q195" s="5">
        <v>31389</v>
      </c>
      <c r="R195" s="5">
        <v>624</v>
      </c>
      <c r="S195" s="5">
        <v>30764</v>
      </c>
      <c r="T195" s="5">
        <v>0</v>
      </c>
      <c r="U195" s="5">
        <v>23</v>
      </c>
      <c r="V195" s="5">
        <v>0</v>
      </c>
      <c r="W195" s="5">
        <v>0</v>
      </c>
      <c r="X195" s="125">
        <v>5631.2094729108485</v>
      </c>
      <c r="Y195" s="125">
        <v>163.89374333164881</v>
      </c>
      <c r="Z195" s="125">
        <v>-27457.79052708915</v>
      </c>
      <c r="AA195" s="112">
        <v>7095.32</v>
      </c>
      <c r="AB195" s="112">
        <v>38791.620000000003</v>
      </c>
      <c r="AC195" s="8">
        <v>5.8760023329226012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202" t="s">
        <v>1</v>
      </c>
      <c r="BJ195" s="203"/>
    </row>
    <row r="196" spans="1:62" ht="12.75" customHeight="1" x14ac:dyDescent="0.35">
      <c r="A196" s="108"/>
      <c r="B196" s="126" t="s">
        <v>15</v>
      </c>
      <c r="C196" s="5" t="s">
        <v>5</v>
      </c>
      <c r="D196" s="5" t="s">
        <v>308</v>
      </c>
      <c r="E196" s="5" t="s">
        <v>315</v>
      </c>
      <c r="F196" s="5">
        <v>1058339</v>
      </c>
      <c r="G196" s="7" t="s">
        <v>232</v>
      </c>
      <c r="H196" s="139">
        <v>277.29678943640295</v>
      </c>
      <c r="I196" s="139">
        <v>86.516598304157725</v>
      </c>
      <c r="J196" s="125">
        <v>0</v>
      </c>
      <c r="K196" s="125">
        <v>1393</v>
      </c>
      <c r="L196" s="130">
        <v>434.61599999999999</v>
      </c>
      <c r="M196" s="123">
        <v>5.0234984791249442</v>
      </c>
      <c r="N196" s="130">
        <v>348.09940169584229</v>
      </c>
      <c r="O196" s="130">
        <v>43.323122417817764</v>
      </c>
      <c r="P196" s="123">
        <v>2.4692302464444604</v>
      </c>
      <c r="Q196" s="5">
        <v>8503</v>
      </c>
      <c r="R196" s="5">
        <v>0</v>
      </c>
      <c r="S196" s="5">
        <v>8503</v>
      </c>
      <c r="T196" s="5">
        <v>0</v>
      </c>
      <c r="U196" s="5">
        <v>0</v>
      </c>
      <c r="V196" s="5">
        <v>0</v>
      </c>
      <c r="W196" s="5">
        <v>0</v>
      </c>
      <c r="X196" s="125">
        <v>1514.1304347826087</v>
      </c>
      <c r="Y196" s="125">
        <v>168.472936109117</v>
      </c>
      <c r="Z196" s="125">
        <v>-9618.7032105635972</v>
      </c>
      <c r="AA196" s="112">
        <v>1347.66</v>
      </c>
      <c r="AB196" s="112">
        <v>41324.58</v>
      </c>
      <c r="AC196" s="8">
        <v>35.687394794989551</v>
      </c>
      <c r="AD196" s="66"/>
      <c r="AE196" s="66">
        <v>0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202" t="s">
        <v>1</v>
      </c>
      <c r="BJ196" s="203"/>
    </row>
    <row r="197" spans="1:62" ht="12.75" customHeight="1" x14ac:dyDescent="0.35">
      <c r="A197" s="108"/>
      <c r="B197" s="126" t="s">
        <v>1</v>
      </c>
      <c r="C197" s="5" t="s">
        <v>24</v>
      </c>
      <c r="D197" s="5" t="s">
        <v>316</v>
      </c>
      <c r="E197" s="5" t="s">
        <v>317</v>
      </c>
      <c r="F197" s="5">
        <v>1032132</v>
      </c>
      <c r="G197" s="7" t="s">
        <v>96</v>
      </c>
      <c r="H197" s="139">
        <v>2782.7492789714947</v>
      </c>
      <c r="I197" s="139">
        <v>139.13746394857475</v>
      </c>
      <c r="J197" s="125">
        <v>0</v>
      </c>
      <c r="K197" s="125">
        <v>1280</v>
      </c>
      <c r="L197" s="130">
        <v>64</v>
      </c>
      <c r="M197" s="123">
        <v>0.56383088906231005</v>
      </c>
      <c r="N197" s="130">
        <v>75.137463948574748</v>
      </c>
      <c r="O197" s="130">
        <v>0</v>
      </c>
      <c r="P197" s="123">
        <v>0.71349752668676647</v>
      </c>
      <c r="Q197" s="5">
        <v>16703</v>
      </c>
      <c r="R197" s="5">
        <v>289</v>
      </c>
      <c r="S197" s="5">
        <v>16414</v>
      </c>
      <c r="T197" s="5">
        <v>0</v>
      </c>
      <c r="U197" s="5">
        <v>0</v>
      </c>
      <c r="V197" s="5">
        <v>0</v>
      </c>
      <c r="W197" s="5">
        <v>2</v>
      </c>
      <c r="X197" s="125">
        <v>2782.7492789714947</v>
      </c>
      <c r="Y197" s="125">
        <v>176.95449738181179</v>
      </c>
      <c r="Z197" s="125">
        <v>-15200.250721028506</v>
      </c>
      <c r="AA197" s="112">
        <v>12077.13</v>
      </c>
      <c r="AB197" s="112">
        <v>71245.440000000002</v>
      </c>
      <c r="AC197" s="8">
        <v>6.4623141351227034</v>
      </c>
      <c r="AD197" s="66"/>
      <c r="AE197" s="66">
        <v>16.66190502303137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202" t="s">
        <v>1</v>
      </c>
      <c r="BJ197" s="203"/>
    </row>
    <row r="198" spans="1:62" ht="12.75" customHeight="1" x14ac:dyDescent="0.35">
      <c r="A198" s="108"/>
      <c r="B198" s="126" t="s">
        <v>1</v>
      </c>
      <c r="C198" s="5" t="s">
        <v>2</v>
      </c>
      <c r="D198" s="5" t="s">
        <v>396</v>
      </c>
      <c r="E198" s="5" t="s">
        <v>397</v>
      </c>
      <c r="F198" s="5">
        <v>1067716</v>
      </c>
      <c r="G198" s="7" t="s">
        <v>639</v>
      </c>
      <c r="H198" s="139">
        <v>200</v>
      </c>
      <c r="I198" s="139">
        <v>100</v>
      </c>
      <c r="J198" s="125">
        <v>0</v>
      </c>
      <c r="K198" s="125">
        <v>135</v>
      </c>
      <c r="L198" s="130">
        <v>67.5</v>
      </c>
      <c r="M198" s="123">
        <v>0.82499999999999996</v>
      </c>
      <c r="N198" s="130">
        <v>32.5</v>
      </c>
      <c r="O198" s="130">
        <v>0</v>
      </c>
      <c r="P198" s="123">
        <v>0.25333333333333335</v>
      </c>
      <c r="Q198" s="5">
        <v>1778</v>
      </c>
      <c r="R198" s="5">
        <v>30</v>
      </c>
      <c r="S198" s="5">
        <v>1748</v>
      </c>
      <c r="T198" s="5">
        <v>0</v>
      </c>
      <c r="U198" s="5">
        <v>0</v>
      </c>
      <c r="V198" s="5">
        <v>0</v>
      </c>
      <c r="W198" s="5">
        <v>0</v>
      </c>
      <c r="X198" s="125">
        <v>200</v>
      </c>
      <c r="Y198" s="125">
        <v>262.2</v>
      </c>
      <c r="Z198" s="125">
        <v>-1713</v>
      </c>
      <c r="AA198" s="112">
        <v>3030</v>
      </c>
      <c r="AB198" s="112">
        <v>26482.2</v>
      </c>
      <c r="AC198" s="8">
        <v>9.5649999999999995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204"/>
      <c r="BJ198" s="203"/>
    </row>
    <row r="199" spans="1:62" ht="12.75" customHeight="1" x14ac:dyDescent="0.35">
      <c r="A199" s="108"/>
      <c r="B199" s="126" t="s">
        <v>1</v>
      </c>
      <c r="C199" s="5" t="s">
        <v>2</v>
      </c>
      <c r="D199" s="5" t="s">
        <v>396</v>
      </c>
      <c r="E199" s="5" t="s">
        <v>397</v>
      </c>
      <c r="F199" s="5">
        <v>1071748</v>
      </c>
      <c r="G199" s="7" t="s">
        <v>640</v>
      </c>
      <c r="H199" s="139">
        <v>250</v>
      </c>
      <c r="I199" s="139">
        <v>125</v>
      </c>
      <c r="J199" s="125">
        <v>0</v>
      </c>
      <c r="K199" s="125">
        <v>40</v>
      </c>
      <c r="L199" s="130">
        <v>20</v>
      </c>
      <c r="M199" s="123">
        <v>0.52</v>
      </c>
      <c r="N199" s="130">
        <v>105</v>
      </c>
      <c r="O199" s="130">
        <v>0</v>
      </c>
      <c r="P199" s="123">
        <v>0</v>
      </c>
      <c r="Q199" s="5">
        <v>3611</v>
      </c>
      <c r="R199" s="5">
        <v>90</v>
      </c>
      <c r="S199" s="5">
        <v>3521</v>
      </c>
      <c r="T199" s="5">
        <v>0</v>
      </c>
      <c r="U199" s="5">
        <v>0</v>
      </c>
      <c r="V199" s="5">
        <v>0</v>
      </c>
      <c r="W199" s="5">
        <v>0</v>
      </c>
      <c r="X199" s="125">
        <v>250</v>
      </c>
      <c r="Y199" s="125">
        <v>422.52</v>
      </c>
      <c r="Z199" s="125">
        <v>-3401</v>
      </c>
      <c r="AA199" s="112">
        <v>4622.5</v>
      </c>
      <c r="AB199" s="112">
        <v>65103.29</v>
      </c>
      <c r="AC199" s="8">
        <v>14.603999999999999</v>
      </c>
      <c r="AD199" s="66"/>
      <c r="AE199" s="66">
        <v>31.022079772079774</v>
      </c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202" t="s">
        <v>1</v>
      </c>
      <c r="BJ199" s="203"/>
    </row>
    <row r="200" spans="1:62" ht="12.75" customHeight="1" x14ac:dyDescent="0.35">
      <c r="A200" s="108"/>
      <c r="B200" s="126" t="s">
        <v>1</v>
      </c>
      <c r="C200" s="5" t="s">
        <v>2</v>
      </c>
      <c r="D200" s="5" t="s">
        <v>396</v>
      </c>
      <c r="E200" s="5" t="s">
        <v>397</v>
      </c>
      <c r="F200" s="5">
        <v>1067719</v>
      </c>
      <c r="G200" s="7" t="s">
        <v>699</v>
      </c>
      <c r="H200" s="139">
        <v>100</v>
      </c>
      <c r="I200" s="139">
        <v>100</v>
      </c>
      <c r="J200" s="125">
        <v>0</v>
      </c>
      <c r="K200" s="125">
        <v>120</v>
      </c>
      <c r="L200" s="130">
        <v>120</v>
      </c>
      <c r="M200" s="123">
        <v>1.2</v>
      </c>
      <c r="N200" s="130">
        <v>20</v>
      </c>
      <c r="O200" s="130">
        <v>0</v>
      </c>
      <c r="P200" s="123">
        <v>0.47</v>
      </c>
      <c r="Q200" s="5">
        <v>1904</v>
      </c>
      <c r="R200" s="5">
        <v>0</v>
      </c>
      <c r="S200" s="5">
        <v>1904</v>
      </c>
      <c r="T200" s="5">
        <v>0</v>
      </c>
      <c r="U200" s="5">
        <v>0</v>
      </c>
      <c r="V200" s="5">
        <v>0</v>
      </c>
      <c r="W200" s="5">
        <v>0</v>
      </c>
      <c r="X200" s="125">
        <v>130.43478260869566</v>
      </c>
      <c r="Y200" s="125">
        <v>437.92</v>
      </c>
      <c r="Z200" s="125">
        <v>-1924</v>
      </c>
      <c r="AA200" s="112">
        <v>3584</v>
      </c>
      <c r="AB200" s="112">
        <v>68239.360000000001</v>
      </c>
      <c r="AC200" s="8">
        <v>20.239999999999998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204" t="s">
        <v>1</v>
      </c>
      <c r="BJ200" s="203"/>
    </row>
    <row r="201" spans="1:62" ht="12.75" customHeight="1" x14ac:dyDescent="0.35">
      <c r="A201" s="108"/>
      <c r="B201" s="126" t="s">
        <v>4</v>
      </c>
      <c r="C201" s="5" t="s">
        <v>5</v>
      </c>
      <c r="D201" s="5" t="s">
        <v>308</v>
      </c>
      <c r="E201" s="5" t="s">
        <v>314</v>
      </c>
      <c r="F201" s="161">
        <v>1083252</v>
      </c>
      <c r="G201" s="162" t="s">
        <v>776</v>
      </c>
      <c r="H201" s="139">
        <v>48.000210000000003</v>
      </c>
      <c r="I201" s="139">
        <v>4.6080201600000006</v>
      </c>
      <c r="J201" s="125">
        <v>0</v>
      </c>
      <c r="K201" s="125">
        <v>1240</v>
      </c>
      <c r="L201" s="130">
        <v>119.04</v>
      </c>
      <c r="M201" s="123">
        <v>26.333218125504033</v>
      </c>
      <c r="N201" s="130">
        <v>114.43197984000001</v>
      </c>
      <c r="O201" s="130">
        <v>0</v>
      </c>
      <c r="P201" s="123">
        <v>0.10561813186813186</v>
      </c>
      <c r="Q201" s="5">
        <v>61080</v>
      </c>
      <c r="R201" s="5">
        <v>24</v>
      </c>
      <c r="S201" s="5">
        <v>61056</v>
      </c>
      <c r="T201" s="5">
        <v>0</v>
      </c>
      <c r="U201" s="5">
        <v>0</v>
      </c>
      <c r="V201" s="5">
        <v>0</v>
      </c>
      <c r="W201" s="5">
        <v>0</v>
      </c>
      <c r="X201" s="125">
        <v>1373.9130434782608</v>
      </c>
      <c r="Y201" s="125">
        <v>1333.1848101265823</v>
      </c>
      <c r="Z201" s="125">
        <v>-62271.999790000002</v>
      </c>
      <c r="AA201" s="112">
        <v>105.6</v>
      </c>
      <c r="AB201" s="112">
        <v>134323.20000000001</v>
      </c>
      <c r="AC201" s="8">
        <v>1298.3276531498507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202" t="s">
        <v>1</v>
      </c>
      <c r="BJ201" s="203"/>
    </row>
    <row r="202" spans="1:62" ht="12.75" customHeight="1" x14ac:dyDescent="0.35">
      <c r="A202" s="108"/>
      <c r="B202" s="126" t="s">
        <v>15</v>
      </c>
      <c r="C202" s="5" t="s">
        <v>5</v>
      </c>
      <c r="D202" s="5" t="s">
        <v>308</v>
      </c>
      <c r="E202" s="5" t="s">
        <v>315</v>
      </c>
      <c r="F202" s="128">
        <v>1074229</v>
      </c>
      <c r="G202" s="129" t="s">
        <v>760</v>
      </c>
      <c r="H202" s="139">
        <v>0</v>
      </c>
      <c r="I202" s="139">
        <v>0</v>
      </c>
      <c r="J202" s="125">
        <v>0</v>
      </c>
      <c r="K202" s="125">
        <v>0</v>
      </c>
      <c r="L202" s="130">
        <v>0</v>
      </c>
      <c r="M202" s="123">
        <v>0</v>
      </c>
      <c r="N202" s="130">
        <v>0</v>
      </c>
      <c r="O202" s="130">
        <v>0</v>
      </c>
      <c r="P202" s="123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1062</v>
      </c>
      <c r="X202" s="125">
        <v>0</v>
      </c>
      <c r="Y202" s="125" t="s">
        <v>574</v>
      </c>
      <c r="Z202" s="125"/>
      <c r="AA202" s="112">
        <v>0</v>
      </c>
      <c r="AB202" s="112">
        <v>7529.58</v>
      </c>
      <c r="AC202" s="8"/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202" t="s">
        <v>1</v>
      </c>
      <c r="BJ202" s="203" t="s">
        <v>844</v>
      </c>
    </row>
    <row r="203" spans="1:62" ht="12.75" customHeight="1" x14ac:dyDescent="0.35">
      <c r="A203" s="108"/>
      <c r="B203" s="126" t="s">
        <v>1</v>
      </c>
      <c r="C203" s="5" t="s">
        <v>50</v>
      </c>
      <c r="D203" s="5" t="s">
        <v>316</v>
      </c>
      <c r="E203" s="5" t="s">
        <v>408</v>
      </c>
      <c r="F203" s="128">
        <v>1060289</v>
      </c>
      <c r="G203" s="129" t="s">
        <v>259</v>
      </c>
      <c r="H203" s="139">
        <v>0</v>
      </c>
      <c r="I203" s="139">
        <v>0</v>
      </c>
      <c r="J203" s="125">
        <v>0</v>
      </c>
      <c r="K203" s="125">
        <v>4</v>
      </c>
      <c r="L203" s="130">
        <v>0.48</v>
      </c>
      <c r="M203" s="123">
        <v>0</v>
      </c>
      <c r="N203" s="130">
        <v>0.48</v>
      </c>
      <c r="O203" s="130">
        <v>0</v>
      </c>
      <c r="P203" s="123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25">
        <v>0</v>
      </c>
      <c r="Y203" s="125" t="s">
        <v>574</v>
      </c>
      <c r="Z203" s="125"/>
      <c r="AA203" s="112">
        <v>0</v>
      </c>
      <c r="AB203" s="112">
        <v>0</v>
      </c>
      <c r="AC203" s="8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202"/>
      <c r="BJ203" s="203"/>
    </row>
    <row r="204" spans="1:62" ht="12.75" customHeight="1" x14ac:dyDescent="0.35">
      <c r="A204" s="108"/>
      <c r="B204" s="126" t="s">
        <v>31</v>
      </c>
      <c r="C204" s="5" t="s">
        <v>5</v>
      </c>
      <c r="D204" s="5" t="s">
        <v>306</v>
      </c>
      <c r="E204" s="5" t="s">
        <v>307</v>
      </c>
      <c r="F204" s="5">
        <v>1071167</v>
      </c>
      <c r="G204" s="7" t="s">
        <v>599</v>
      </c>
      <c r="H204" s="139">
        <v>0</v>
      </c>
      <c r="I204" s="139">
        <v>0</v>
      </c>
      <c r="J204" s="125">
        <v>0</v>
      </c>
      <c r="K204" s="125">
        <v>-18</v>
      </c>
      <c r="L204" s="130">
        <v>-7.2</v>
      </c>
      <c r="M204" s="123">
        <v>0</v>
      </c>
      <c r="N204" s="130">
        <v>7.2</v>
      </c>
      <c r="O204" s="130">
        <v>0</v>
      </c>
      <c r="P204" s="123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25">
        <v>0</v>
      </c>
      <c r="Y204" s="125" t="s">
        <v>574</v>
      </c>
      <c r="Z204" s="125"/>
      <c r="AA204" s="112">
        <v>0</v>
      </c>
      <c r="AB204" s="112">
        <v>0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202" t="s">
        <v>1</v>
      </c>
      <c r="BJ204" s="203" t="s">
        <v>845</v>
      </c>
    </row>
    <row r="205" spans="1:62" ht="12.75" customHeight="1" x14ac:dyDescent="0.35">
      <c r="A205" s="108"/>
      <c r="B205" s="126" t="s">
        <v>31</v>
      </c>
      <c r="C205" s="5" t="s">
        <v>5</v>
      </c>
      <c r="D205" s="5" t="s">
        <v>306</v>
      </c>
      <c r="E205" s="5" t="s">
        <v>307</v>
      </c>
      <c r="F205" s="5">
        <v>1056628</v>
      </c>
      <c r="G205" s="7" t="s">
        <v>222</v>
      </c>
      <c r="H205" s="139">
        <v>0</v>
      </c>
      <c r="I205" s="139">
        <v>0</v>
      </c>
      <c r="J205" s="125">
        <v>0</v>
      </c>
      <c r="K205" s="125">
        <v>3</v>
      </c>
      <c r="L205" s="130">
        <v>1.5</v>
      </c>
      <c r="M205" s="123">
        <v>0</v>
      </c>
      <c r="N205" s="130">
        <v>1.5</v>
      </c>
      <c r="O205" s="130">
        <v>0</v>
      </c>
      <c r="P205" s="123">
        <v>0</v>
      </c>
      <c r="Q205" s="5">
        <v>0</v>
      </c>
      <c r="R205" s="5">
        <v>0</v>
      </c>
      <c r="S205" s="5">
        <v>0</v>
      </c>
      <c r="T205" s="5">
        <v>0</v>
      </c>
      <c r="U205" s="5">
        <v>4</v>
      </c>
      <c r="V205" s="5">
        <v>0</v>
      </c>
      <c r="W205" s="5">
        <v>0</v>
      </c>
      <c r="X205" s="125">
        <v>0</v>
      </c>
      <c r="Y205" s="125" t="s">
        <v>574</v>
      </c>
      <c r="Z205" s="125"/>
      <c r="AA205" s="112">
        <v>0</v>
      </c>
      <c r="AB205" s="112">
        <v>46.72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202" t="s">
        <v>1</v>
      </c>
      <c r="BJ205" s="203" t="s">
        <v>845</v>
      </c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32</v>
      </c>
      <c r="L206" s="130">
        <v>3.024</v>
      </c>
      <c r="M206" s="123">
        <v>0</v>
      </c>
      <c r="N206" s="130">
        <v>3.024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204" t="s">
        <v>1</v>
      </c>
      <c r="BJ206" s="203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2016</v>
      </c>
      <c r="L207" s="130">
        <v>1008</v>
      </c>
      <c r="M207" s="123">
        <v>0</v>
      </c>
      <c r="N207" s="130">
        <v>1008</v>
      </c>
      <c r="O207" s="130">
        <v>0</v>
      </c>
      <c r="P207" s="123">
        <v>0.42990654205607476</v>
      </c>
      <c r="Q207" s="5">
        <v>1191</v>
      </c>
      <c r="R207" s="5">
        <v>0</v>
      </c>
      <c r="S207" s="5">
        <v>1191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25103.52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204"/>
      <c r="BJ207" s="203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22</v>
      </c>
      <c r="L208" s="130">
        <v>9.5039999999999996</v>
      </c>
      <c r="M208" s="123">
        <v>0</v>
      </c>
      <c r="N208" s="130">
        <v>9.5039999999999996</v>
      </c>
      <c r="O208" s="130">
        <v>0</v>
      </c>
      <c r="P208" s="123">
        <v>0.64786585365853655</v>
      </c>
      <c r="Q208" s="5">
        <v>517</v>
      </c>
      <c r="R208" s="5">
        <v>1</v>
      </c>
      <c r="S208" s="5">
        <v>516</v>
      </c>
      <c r="T208" s="5">
        <v>0</v>
      </c>
      <c r="U208" s="5">
        <v>500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7244.08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202" t="s">
        <v>1</v>
      </c>
      <c r="BJ208" s="203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2394</v>
      </c>
      <c r="L209" s="130">
        <v>1197</v>
      </c>
      <c r="M209" s="123">
        <v>0</v>
      </c>
      <c r="N209" s="130">
        <v>1197</v>
      </c>
      <c r="O209" s="130">
        <v>0</v>
      </c>
      <c r="P209" s="123">
        <v>2.0499999999999998</v>
      </c>
      <c r="Q209" s="5">
        <v>1799</v>
      </c>
      <c r="R209" s="5">
        <v>0</v>
      </c>
      <c r="S209" s="5">
        <v>1799</v>
      </c>
      <c r="T209" s="5">
        <v>0</v>
      </c>
      <c r="U209" s="5">
        <v>0</v>
      </c>
      <c r="V209" s="5">
        <v>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42582.33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204"/>
      <c r="BJ209" s="203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2550</v>
      </c>
      <c r="L210" s="130">
        <v>1275</v>
      </c>
      <c r="M210" s="123">
        <v>0</v>
      </c>
      <c r="N210" s="130">
        <v>1275</v>
      </c>
      <c r="O210" s="130">
        <v>0</v>
      </c>
      <c r="P210" s="123">
        <v>4.9000000000000004</v>
      </c>
      <c r="Q210" s="5">
        <v>1600</v>
      </c>
      <c r="R210" s="5">
        <v>0</v>
      </c>
      <c r="S210" s="5">
        <v>1600</v>
      </c>
      <c r="T210" s="5">
        <v>0</v>
      </c>
      <c r="U210" s="5">
        <v>0</v>
      </c>
      <c r="V210" s="5">
        <v>0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36000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204"/>
      <c r="BJ210" s="203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3865</v>
      </c>
      <c r="L211" s="130">
        <v>1932.5</v>
      </c>
      <c r="M211" s="123">
        <v>0</v>
      </c>
      <c r="N211" s="130">
        <v>1932.5</v>
      </c>
      <c r="O211" s="130">
        <v>0</v>
      </c>
      <c r="P211" s="123">
        <v>2.5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0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204"/>
      <c r="BJ211" s="203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204" t="s">
        <v>1</v>
      </c>
      <c r="BJ212" s="203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204" t="s">
        <v>1</v>
      </c>
      <c r="BJ213" s="203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202" t="s">
        <v>1</v>
      </c>
      <c r="BJ214" s="203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204" t="s">
        <v>1</v>
      </c>
      <c r="BJ215" s="203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204" t="s">
        <v>1</v>
      </c>
      <c r="BJ216" s="203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204"/>
      <c r="BJ217" s="203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204" t="s">
        <v>1</v>
      </c>
      <c r="BJ218" s="203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10</v>
      </c>
      <c r="L219" s="130">
        <v>4</v>
      </c>
      <c r="M219" s="123">
        <v>0</v>
      </c>
      <c r="N219" s="130">
        <v>4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20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202" t="s">
        <v>1</v>
      </c>
      <c r="BJ219" s="203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204" t="s">
        <v>1</v>
      </c>
      <c r="BJ220" s="203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204" t="s">
        <v>1</v>
      </c>
      <c r="BJ221" s="203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204" t="s">
        <v>1</v>
      </c>
      <c r="BJ222" s="203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204" t="s">
        <v>1</v>
      </c>
      <c r="BJ223" s="203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204" t="s">
        <v>1</v>
      </c>
      <c r="BJ224" s="203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202" t="s">
        <v>1</v>
      </c>
      <c r="BJ225" s="203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-29</v>
      </c>
      <c r="L226" s="130">
        <v>-13.92</v>
      </c>
      <c r="M226" s="123">
        <v>0</v>
      </c>
      <c r="N226" s="130">
        <v>13.92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204"/>
      <c r="BJ226" s="203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202"/>
      <c r="BJ227" s="203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202"/>
      <c r="BJ228" s="203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204" t="s">
        <v>1</v>
      </c>
      <c r="BJ229" s="203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204" t="s">
        <v>1</v>
      </c>
      <c r="BJ230" s="203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202" t="s">
        <v>1</v>
      </c>
      <c r="BJ231" s="203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-38</v>
      </c>
      <c r="L232" s="130">
        <v>-6.84</v>
      </c>
      <c r="M232" s="123">
        <v>0</v>
      </c>
      <c r="N232" s="130">
        <v>6.84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32</v>
      </c>
      <c r="V232" s="5">
        <v>0</v>
      </c>
      <c r="W232" s="5">
        <v>32</v>
      </c>
      <c r="X232" s="125">
        <v>0</v>
      </c>
      <c r="Y232" s="125" t="s">
        <v>574</v>
      </c>
      <c r="Z232" s="125"/>
      <c r="AA232" s="112">
        <v>0</v>
      </c>
      <c r="AB232" s="112">
        <v>156.16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202" t="s">
        <v>1</v>
      </c>
      <c r="BJ232" s="203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204" t="s">
        <v>1</v>
      </c>
      <c r="BJ233" s="203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204" t="s">
        <v>1</v>
      </c>
      <c r="BJ234" s="203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202" t="s">
        <v>1</v>
      </c>
      <c r="BJ235" s="203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204"/>
      <c r="BJ236" s="203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202" t="s">
        <v>1</v>
      </c>
      <c r="BJ237" s="203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202" t="s">
        <v>1</v>
      </c>
      <c r="BJ238" s="203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202" t="s">
        <v>1</v>
      </c>
      <c r="BJ239" s="203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204" t="s">
        <v>1</v>
      </c>
      <c r="BJ240" s="203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204" t="s">
        <v>1</v>
      </c>
      <c r="BJ241" s="203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202" t="s">
        <v>1</v>
      </c>
      <c r="BJ242" s="203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204" t="s">
        <v>1</v>
      </c>
      <c r="BJ243" s="203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204" t="s">
        <v>1</v>
      </c>
      <c r="BJ244" s="203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204" t="s">
        <v>1</v>
      </c>
      <c r="BJ245" s="203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202" t="s">
        <v>1</v>
      </c>
      <c r="BJ246" s="203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204" t="s">
        <v>1</v>
      </c>
      <c r="BJ247" s="203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204" t="s">
        <v>1</v>
      </c>
      <c r="BJ248" s="203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202" t="s">
        <v>1</v>
      </c>
      <c r="BJ249" s="203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202" t="s">
        <v>1</v>
      </c>
      <c r="BJ250" s="203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202"/>
      <c r="BJ251" s="203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202"/>
      <c r="BJ252" s="203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202" t="s">
        <v>1</v>
      </c>
      <c r="BJ253" s="203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202" t="s">
        <v>1</v>
      </c>
      <c r="BJ254" s="203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202" t="s">
        <v>1</v>
      </c>
      <c r="BJ255" s="203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202" t="s">
        <v>1</v>
      </c>
      <c r="BJ256" s="203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204"/>
      <c r="BJ257" s="203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202" t="s">
        <v>1</v>
      </c>
      <c r="BJ258" s="203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202"/>
      <c r="BJ259" s="203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204" t="s">
        <v>1</v>
      </c>
      <c r="BJ260" s="203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202" t="s">
        <v>1</v>
      </c>
      <c r="BJ261" s="203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202" t="s">
        <v>1</v>
      </c>
      <c r="BJ262" s="203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202" t="s">
        <v>1</v>
      </c>
      <c r="BJ263" s="203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204" t="s">
        <v>1</v>
      </c>
      <c r="BJ264" s="203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204" t="s">
        <v>1</v>
      </c>
      <c r="BJ265" s="203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204" t="s">
        <v>1</v>
      </c>
      <c r="BJ266" s="203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0</v>
      </c>
      <c r="L267" s="130">
        <v>0</v>
      </c>
      <c r="M267" s="123">
        <v>0</v>
      </c>
      <c r="N267" s="130">
        <v>0</v>
      </c>
      <c r="O267" s="130">
        <v>0</v>
      </c>
      <c r="P267" s="123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0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202" t="s">
        <v>1</v>
      </c>
      <c r="BJ267" s="203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204"/>
      <c r="BJ268" s="203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204" t="s">
        <v>1</v>
      </c>
      <c r="BJ269" s="203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204" t="s">
        <v>1</v>
      </c>
      <c r="BJ270" s="203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202" t="s">
        <v>1</v>
      </c>
      <c r="BJ271" s="203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202" t="s">
        <v>1</v>
      </c>
      <c r="BJ272" s="203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202" t="s">
        <v>1</v>
      </c>
      <c r="BJ273" s="203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202" t="s">
        <v>1</v>
      </c>
      <c r="BJ274" s="203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204" t="s">
        <v>1</v>
      </c>
      <c r="BJ275" s="203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204" t="s">
        <v>1</v>
      </c>
      <c r="BJ276" s="203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6">
        <v>1072625</v>
      </c>
      <c r="G277" s="177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204" t="s">
        <v>1</v>
      </c>
      <c r="BJ277" s="203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8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204" t="s">
        <v>1</v>
      </c>
      <c r="BJ278" s="203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204" t="s">
        <v>1</v>
      </c>
      <c r="BJ279" s="203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204" t="s">
        <v>1</v>
      </c>
      <c r="BJ280" s="203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204" t="s">
        <v>1</v>
      </c>
      <c r="BJ281" s="203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204" t="s">
        <v>1</v>
      </c>
      <c r="BJ282" s="203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202" t="s">
        <v>1</v>
      </c>
      <c r="BJ283" s="203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204" t="s">
        <v>1</v>
      </c>
      <c r="BJ284" s="203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204" t="s">
        <v>1</v>
      </c>
      <c r="BJ285" s="203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204" t="s">
        <v>1</v>
      </c>
      <c r="BJ286" s="203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338</v>
      </c>
      <c r="L287" s="130">
        <v>152.1</v>
      </c>
      <c r="M287" s="123">
        <v>0</v>
      </c>
      <c r="N287" s="130">
        <v>152.1</v>
      </c>
      <c r="O287" s="130">
        <v>0</v>
      </c>
      <c r="P287" s="123">
        <v>0</v>
      </c>
      <c r="Q287" s="5">
        <v>5</v>
      </c>
      <c r="R287" s="5">
        <v>0</v>
      </c>
      <c r="S287" s="5">
        <v>5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41.8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204" t="s">
        <v>1</v>
      </c>
      <c r="BJ287" s="203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204" t="s">
        <v>1</v>
      </c>
      <c r="BJ288" s="203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204" t="s">
        <v>1</v>
      </c>
      <c r="BJ289" s="203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204" t="s">
        <v>1</v>
      </c>
      <c r="BJ290" s="203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202"/>
      <c r="BJ291" s="203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202" t="s">
        <v>1</v>
      </c>
      <c r="BJ292" s="203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202" t="s">
        <v>1</v>
      </c>
      <c r="BJ293" s="203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202" t="s">
        <v>1</v>
      </c>
      <c r="BJ294" s="203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202" t="s">
        <v>1</v>
      </c>
      <c r="BJ295" s="203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202" t="s">
        <v>1</v>
      </c>
      <c r="BJ296" s="203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24</v>
      </c>
      <c r="L297" s="130">
        <v>14.399999999999999</v>
      </c>
      <c r="M297" s="123">
        <v>0</v>
      </c>
      <c r="N297" s="130">
        <v>14.399999999999999</v>
      </c>
      <c r="O297" s="130">
        <v>0</v>
      </c>
      <c r="P297" s="123">
        <v>0</v>
      </c>
      <c r="Q297" s="5">
        <v>1876</v>
      </c>
      <c r="R297" s="5">
        <v>0</v>
      </c>
      <c r="S297" s="5">
        <v>1876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10318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202" t="s">
        <v>1</v>
      </c>
      <c r="BJ297" s="203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204" t="s">
        <v>1</v>
      </c>
      <c r="BJ298" s="203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202" t="s">
        <v>1</v>
      </c>
      <c r="BJ299" s="203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202" t="s">
        <v>1</v>
      </c>
      <c r="BJ300" s="203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204" t="s">
        <v>1</v>
      </c>
      <c r="BJ301" s="203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204" t="s">
        <v>1</v>
      </c>
      <c r="BJ302" s="203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204" t="s">
        <v>1</v>
      </c>
      <c r="BJ303" s="203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202"/>
      <c r="BJ304" s="203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202" t="s">
        <v>1</v>
      </c>
      <c r="BJ305" s="203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204" t="s">
        <v>1</v>
      </c>
      <c r="BJ306" s="203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204" t="s">
        <v>1</v>
      </c>
      <c r="BJ307" s="203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4">
        <v>1083041</v>
      </c>
      <c r="G308" s="175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204" t="s">
        <v>1</v>
      </c>
      <c r="BJ308" s="203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202" t="s">
        <v>1</v>
      </c>
      <c r="BJ309" s="203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204" t="s">
        <v>1</v>
      </c>
      <c r="BJ310" s="203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202" t="s">
        <v>1</v>
      </c>
      <c r="BJ311" s="203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204" t="s">
        <v>1</v>
      </c>
      <c r="BJ312" s="203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202" t="s">
        <v>1</v>
      </c>
      <c r="BJ313" s="203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204" t="s">
        <v>1</v>
      </c>
      <c r="BJ314" s="203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202" t="s">
        <v>1</v>
      </c>
      <c r="BJ315" s="203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204" t="s">
        <v>1</v>
      </c>
      <c r="BJ316" s="203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204" t="s">
        <v>1</v>
      </c>
      <c r="BJ317" s="203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202"/>
      <c r="BJ318" s="203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202" t="s">
        <v>1</v>
      </c>
      <c r="BJ319" s="203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22</v>
      </c>
      <c r="L320" s="130">
        <v>5.016</v>
      </c>
      <c r="M320" s="123">
        <v>0</v>
      </c>
      <c r="N320" s="130">
        <v>5.016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202" t="s">
        <v>1</v>
      </c>
      <c r="BJ320" s="203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204"/>
      <c r="BJ321" s="203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202"/>
      <c r="BJ322" s="203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28</v>
      </c>
      <c r="L323" s="130">
        <v>6.3840000000000003</v>
      </c>
      <c r="M323" s="123">
        <v>0</v>
      </c>
      <c r="N323" s="130">
        <v>6.3840000000000003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202" t="s">
        <v>1</v>
      </c>
      <c r="BJ323" s="203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204" t="s">
        <v>1</v>
      </c>
      <c r="BJ324" s="203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204" t="s">
        <v>1</v>
      </c>
      <c r="BJ325" s="203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204" t="s">
        <v>1</v>
      </c>
      <c r="BJ326" s="203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204" t="s">
        <v>1</v>
      </c>
      <c r="BJ327" s="203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204" t="s">
        <v>1</v>
      </c>
      <c r="BJ328" s="203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204" t="s">
        <v>1</v>
      </c>
      <c r="BJ329" s="203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204" t="s">
        <v>1</v>
      </c>
      <c r="BJ330" s="203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202" t="s">
        <v>1</v>
      </c>
      <c r="BJ331" s="203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187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204" t="s">
        <v>1</v>
      </c>
      <c r="BJ332" s="205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204" t="s">
        <v>1</v>
      </c>
      <c r="BJ333" s="203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204" t="s">
        <v>1</v>
      </c>
      <c r="BJ334" s="203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202" t="s">
        <v>1</v>
      </c>
      <c r="BJ335" s="203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1320</v>
      </c>
      <c r="L336" s="130">
        <v>607.20000000000005</v>
      </c>
      <c r="M336" s="123">
        <v>0</v>
      </c>
      <c r="N336" s="130">
        <v>607.20000000000005</v>
      </c>
      <c r="O336" s="130">
        <v>0</v>
      </c>
      <c r="P336" s="123">
        <v>0</v>
      </c>
      <c r="Q336" s="5">
        <v>8712</v>
      </c>
      <c r="R336" s="5">
        <v>0</v>
      </c>
      <c r="S336" s="5">
        <v>8712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5575.68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202"/>
      <c r="BJ336" s="203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202" t="s">
        <v>1</v>
      </c>
      <c r="BJ337" s="203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204" t="s">
        <v>1</v>
      </c>
      <c r="BJ338" s="203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2</v>
      </c>
      <c r="L339" s="130">
        <v>0.55200000000000005</v>
      </c>
      <c r="M339" s="123">
        <v>0</v>
      </c>
      <c r="N339" s="130">
        <v>0.55200000000000005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202" t="s">
        <v>1</v>
      </c>
      <c r="BJ339" s="203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202" t="s">
        <v>1</v>
      </c>
      <c r="BJ340" s="203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202" t="s">
        <v>1</v>
      </c>
      <c r="BJ341" s="203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204" t="s">
        <v>1</v>
      </c>
      <c r="BJ342" s="203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204" t="s">
        <v>1</v>
      </c>
      <c r="BJ343" s="203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204" t="s">
        <v>1</v>
      </c>
      <c r="BJ344" s="203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202" t="s">
        <v>1</v>
      </c>
      <c r="BJ345" s="203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202" t="s">
        <v>1</v>
      </c>
      <c r="BJ346" s="203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14</v>
      </c>
      <c r="L347" s="130">
        <v>2.1</v>
      </c>
      <c r="M347" s="123">
        <v>0</v>
      </c>
      <c r="N347" s="130">
        <v>2.1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202" t="s">
        <v>1</v>
      </c>
      <c r="BJ347" s="203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204" t="s">
        <v>1</v>
      </c>
      <c r="BJ348" s="203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202" t="s">
        <v>1</v>
      </c>
      <c r="BJ349" s="203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204" t="s">
        <v>1</v>
      </c>
      <c r="BJ350" s="203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202" t="s">
        <v>1</v>
      </c>
      <c r="BJ351" s="203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204" t="s">
        <v>1</v>
      </c>
      <c r="BJ352" s="203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204" t="s">
        <v>1</v>
      </c>
      <c r="BJ353" s="203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202" t="s">
        <v>1</v>
      </c>
      <c r="BJ354" s="203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202"/>
      <c r="BJ355" s="203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204" t="s">
        <v>1</v>
      </c>
      <c r="BJ356" s="203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204" t="s">
        <v>1</v>
      </c>
      <c r="BJ357" s="203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202" t="s">
        <v>1</v>
      </c>
      <c r="BJ358" s="203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202" t="s">
        <v>1</v>
      </c>
      <c r="BJ359" s="203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202" t="s">
        <v>1</v>
      </c>
      <c r="BJ360" s="203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204" t="s">
        <v>1</v>
      </c>
      <c r="BJ361" s="203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202" t="s">
        <v>1</v>
      </c>
      <c r="BJ362" s="203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202"/>
      <c r="BJ363" s="203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202" t="s">
        <v>1</v>
      </c>
      <c r="BJ364" s="203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23</v>
      </c>
      <c r="L365" s="130">
        <v>2.1735000000000002</v>
      </c>
      <c r="M365" s="123">
        <v>0</v>
      </c>
      <c r="N365" s="130">
        <v>2.1735000000000002</v>
      </c>
      <c r="O365" s="130">
        <v>0</v>
      </c>
      <c r="P365" s="123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240</v>
      </c>
      <c r="X365" s="125">
        <v>0</v>
      </c>
      <c r="Y365" s="125" t="s">
        <v>574</v>
      </c>
      <c r="Z365" s="125"/>
      <c r="AA365" s="112">
        <v>0</v>
      </c>
      <c r="AB365" s="112">
        <v>1404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204" t="s">
        <v>1</v>
      </c>
      <c r="BJ365" s="203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204"/>
      <c r="BJ366" s="203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204" t="s">
        <v>1</v>
      </c>
      <c r="BJ367" s="203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204" t="s">
        <v>1</v>
      </c>
      <c r="BJ368" s="203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204" t="s">
        <v>1</v>
      </c>
      <c r="BJ369" s="203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202" t="s">
        <v>1</v>
      </c>
      <c r="BJ370" s="203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204" t="s">
        <v>1</v>
      </c>
      <c r="BJ371" s="203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204" t="s">
        <v>1</v>
      </c>
      <c r="BJ372" s="203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204" t="s">
        <v>1</v>
      </c>
      <c r="BJ373" s="203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204" t="s">
        <v>1</v>
      </c>
      <c r="BJ374" s="203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204" t="s">
        <v>1</v>
      </c>
      <c r="BJ375" s="203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202" t="s">
        <v>1</v>
      </c>
      <c r="BJ376" s="203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204" t="s">
        <v>1</v>
      </c>
      <c r="BJ377" s="203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202" t="s">
        <v>1</v>
      </c>
      <c r="BJ378" s="203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55</v>
      </c>
      <c r="L379" s="130">
        <v>5.9399999999999995</v>
      </c>
      <c r="M379" s="123">
        <v>0</v>
      </c>
      <c r="N379" s="130">
        <v>5.9399999999999995</v>
      </c>
      <c r="O379" s="130">
        <v>0</v>
      </c>
      <c r="P379" s="123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5">
        <v>0</v>
      </c>
      <c r="Y379" s="125" t="s">
        <v>574</v>
      </c>
      <c r="Z379" s="125"/>
      <c r="AA379" s="112">
        <v>0</v>
      </c>
      <c r="AB379" s="112">
        <v>0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202" t="s">
        <v>1</v>
      </c>
      <c r="BJ379" s="203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4">
        <v>1083253</v>
      </c>
      <c r="G380" s="175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204" t="s">
        <v>1</v>
      </c>
      <c r="BJ380" s="203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202" t="s">
        <v>1</v>
      </c>
      <c r="BJ381" s="203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204" t="s">
        <v>1</v>
      </c>
      <c r="BJ382" s="203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204" t="s">
        <v>1</v>
      </c>
      <c r="BJ383" s="203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204" t="s">
        <v>1</v>
      </c>
      <c r="BJ384" s="203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204" t="s">
        <v>1</v>
      </c>
      <c r="BJ385" s="203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204" t="s">
        <v>1</v>
      </c>
      <c r="BJ386" s="203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204" t="s">
        <v>1</v>
      </c>
      <c r="BJ387" s="203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8</v>
      </c>
      <c r="L388" s="130">
        <v>1.44</v>
      </c>
      <c r="M388" s="123">
        <v>0</v>
      </c>
      <c r="N388" s="130">
        <v>1.44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202" t="s">
        <v>1</v>
      </c>
      <c r="BJ388" s="203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202" t="s">
        <v>1</v>
      </c>
      <c r="BJ389" s="203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204" t="s">
        <v>1</v>
      </c>
      <c r="BJ390" s="203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204" t="s">
        <v>1</v>
      </c>
      <c r="BJ391" s="203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204" t="s">
        <v>1</v>
      </c>
      <c r="BJ392" s="203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202" t="s">
        <v>1</v>
      </c>
      <c r="BJ393" s="203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204" t="s">
        <v>1</v>
      </c>
      <c r="BJ394" s="203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202" t="s">
        <v>1</v>
      </c>
      <c r="BJ395" s="203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204" t="s">
        <v>1</v>
      </c>
      <c r="BJ396" s="203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204" t="s">
        <v>1</v>
      </c>
      <c r="BJ397" s="203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202" t="s">
        <v>1</v>
      </c>
      <c r="BJ398" s="203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202"/>
      <c r="BJ399" s="203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204" t="s">
        <v>1</v>
      </c>
      <c r="BJ400" s="203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204" t="s">
        <v>1</v>
      </c>
      <c r="BJ401" s="203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204" t="s">
        <v>1</v>
      </c>
      <c r="BJ402" s="203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204" t="s">
        <v>1</v>
      </c>
      <c r="BJ403" s="203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204" t="s">
        <v>1</v>
      </c>
      <c r="BJ404" s="203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202" t="s">
        <v>1</v>
      </c>
      <c r="BJ405" s="203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202" t="s">
        <v>1</v>
      </c>
      <c r="BJ406" s="203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204" t="s">
        <v>1</v>
      </c>
      <c r="BJ407" s="203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204" t="s">
        <v>1</v>
      </c>
      <c r="BJ408" s="203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204"/>
      <c r="BJ409" s="203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204" t="s">
        <v>1</v>
      </c>
      <c r="BJ410" s="203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202" t="s">
        <v>1</v>
      </c>
      <c r="BJ411" s="203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204"/>
      <c r="BJ412" s="203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204" t="s">
        <v>1</v>
      </c>
      <c r="BJ413" s="203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204" t="s">
        <v>1</v>
      </c>
      <c r="BJ414" s="203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204" t="s">
        <v>1</v>
      </c>
      <c r="BJ415" s="203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-40</v>
      </c>
      <c r="L416" s="130">
        <v>-6.6000000000000005</v>
      </c>
      <c r="M416" s="123">
        <v>0</v>
      </c>
      <c r="N416" s="130">
        <v>6.6000000000000005</v>
      </c>
      <c r="O416" s="130">
        <v>0</v>
      </c>
      <c r="P416" s="123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25">
        <v>0</v>
      </c>
      <c r="Y416" s="125" t="s">
        <v>574</v>
      </c>
      <c r="Z416" s="125"/>
      <c r="AA416" s="112">
        <v>0</v>
      </c>
      <c r="AB416" s="112">
        <v>0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202" t="s">
        <v>1</v>
      </c>
      <c r="BJ416" s="203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202" t="s">
        <v>1</v>
      </c>
      <c r="BJ417" s="203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204" t="s">
        <v>1</v>
      </c>
      <c r="BJ418" s="203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204" t="s">
        <v>1</v>
      </c>
      <c r="BJ419" s="203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202" t="s">
        <v>1</v>
      </c>
      <c r="BJ420" s="203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202" t="s">
        <v>1</v>
      </c>
      <c r="BJ421" s="203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202" t="s">
        <v>1</v>
      </c>
      <c r="BJ422" s="203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204" t="s">
        <v>1</v>
      </c>
      <c r="BJ423" s="203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4</v>
      </c>
      <c r="L424" s="130">
        <v>0.48</v>
      </c>
      <c r="M424" s="123">
        <v>0</v>
      </c>
      <c r="N424" s="130">
        <v>0.48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202" t="s">
        <v>1</v>
      </c>
      <c r="BJ424" s="203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204" t="s">
        <v>1</v>
      </c>
      <c r="BJ425" s="203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202" t="s">
        <v>1</v>
      </c>
      <c r="BJ426" s="203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204" t="s">
        <v>1</v>
      </c>
      <c r="BJ427" s="203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204"/>
      <c r="BJ428" s="203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202" t="s">
        <v>1</v>
      </c>
      <c r="BJ429" s="203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202"/>
      <c r="BJ430" s="203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204" t="s">
        <v>1</v>
      </c>
      <c r="BJ431" s="203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202" t="s">
        <v>1</v>
      </c>
      <c r="BJ432" s="203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202" t="s">
        <v>1</v>
      </c>
      <c r="BJ433" s="203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202" t="s">
        <v>1</v>
      </c>
      <c r="BJ434" s="203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202" t="s">
        <v>1</v>
      </c>
      <c r="BJ435" s="203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204" t="s">
        <v>1</v>
      </c>
      <c r="BJ436" s="203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202" t="s">
        <v>1</v>
      </c>
      <c r="BJ437" s="203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204" t="s">
        <v>1</v>
      </c>
      <c r="BJ438" s="203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204" t="s">
        <v>1</v>
      </c>
      <c r="BJ439" s="203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202"/>
      <c r="BJ440" s="203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202"/>
      <c r="BJ441" s="203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1</v>
      </c>
      <c r="L442" s="130">
        <v>1</v>
      </c>
      <c r="M442" s="123">
        <v>0</v>
      </c>
      <c r="N442" s="130">
        <v>1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202" t="s">
        <v>1</v>
      </c>
      <c r="BJ442" s="203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202" t="s">
        <v>1</v>
      </c>
      <c r="BJ443" s="203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202" t="s">
        <v>1</v>
      </c>
      <c r="BJ444" s="203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202" t="s">
        <v>1</v>
      </c>
      <c r="BJ445" s="203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202" t="s">
        <v>1</v>
      </c>
      <c r="BJ446" s="203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202" t="s">
        <v>1</v>
      </c>
      <c r="BJ447" s="203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202" t="s">
        <v>1</v>
      </c>
      <c r="BJ448" s="203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202" t="s">
        <v>1</v>
      </c>
      <c r="BJ449" s="203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204" t="s">
        <v>1</v>
      </c>
      <c r="BJ450" s="203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204" t="s">
        <v>1</v>
      </c>
      <c r="BJ451" s="203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39</v>
      </c>
      <c r="L452" s="130">
        <v>8.7360000000000007</v>
      </c>
      <c r="M452" s="123">
        <v>0</v>
      </c>
      <c r="N452" s="130">
        <v>8.7360000000000007</v>
      </c>
      <c r="O452" s="130">
        <v>0</v>
      </c>
      <c r="P452" s="123">
        <v>0</v>
      </c>
      <c r="Q452" s="5">
        <v>708</v>
      </c>
      <c r="R452" s="5">
        <v>0</v>
      </c>
      <c r="S452" s="5">
        <v>708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3136.44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202" t="s">
        <v>1</v>
      </c>
      <c r="BJ452" s="203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202" t="s">
        <v>1</v>
      </c>
      <c r="BJ453" s="203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204" t="s">
        <v>1</v>
      </c>
      <c r="BJ454" s="203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204" t="s">
        <v>1</v>
      </c>
      <c r="BJ455" s="203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204" t="s">
        <v>1</v>
      </c>
      <c r="BJ456" s="203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202" t="s">
        <v>1</v>
      </c>
      <c r="BJ457" s="203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204" t="s">
        <v>1</v>
      </c>
      <c r="BJ458" s="203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204" t="s">
        <v>1</v>
      </c>
      <c r="BJ459" s="203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202" t="s">
        <v>1</v>
      </c>
      <c r="BJ460" s="203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202" t="s">
        <v>1</v>
      </c>
      <c r="BJ461" s="203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202"/>
      <c r="BJ462" s="203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202"/>
      <c r="BJ463" s="203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202" t="s">
        <v>1</v>
      </c>
      <c r="BJ464" s="203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101</v>
      </c>
      <c r="L465" s="130">
        <v>12.12</v>
      </c>
      <c r="M465" s="123">
        <v>0</v>
      </c>
      <c r="N465" s="130">
        <v>12.12</v>
      </c>
      <c r="O465" s="130">
        <v>0</v>
      </c>
      <c r="P465" s="123">
        <v>0</v>
      </c>
      <c r="Q465" s="5">
        <v>1751</v>
      </c>
      <c r="R465" s="5">
        <v>0</v>
      </c>
      <c r="S465" s="5">
        <v>1751</v>
      </c>
      <c r="T465" s="5">
        <v>0</v>
      </c>
      <c r="U465" s="5">
        <v>0</v>
      </c>
      <c r="V465" s="5">
        <v>0</v>
      </c>
      <c r="W465" s="5">
        <v>6863</v>
      </c>
      <c r="X465" s="125">
        <v>0</v>
      </c>
      <c r="Y465" s="125" t="s">
        <v>574</v>
      </c>
      <c r="Z465" s="125"/>
      <c r="AA465" s="112">
        <v>0</v>
      </c>
      <c r="AB465" s="112">
        <v>12834.86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202" t="s">
        <v>1</v>
      </c>
      <c r="BJ465" s="203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183</v>
      </c>
      <c r="L466" s="130">
        <v>39.344999999999999</v>
      </c>
      <c r="M466" s="123">
        <v>0</v>
      </c>
      <c r="N466" s="130">
        <v>39.344999999999999</v>
      </c>
      <c r="O466" s="130">
        <v>0</v>
      </c>
      <c r="P466" s="123">
        <v>0</v>
      </c>
      <c r="Q466" s="5">
        <v>7559</v>
      </c>
      <c r="R466" s="5">
        <v>0</v>
      </c>
      <c r="S466" s="5">
        <v>7559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37824.85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202" t="s">
        <v>1</v>
      </c>
      <c r="BJ466" s="203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202" t="s">
        <v>1</v>
      </c>
      <c r="BJ467" s="203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13</v>
      </c>
      <c r="L468" s="130">
        <v>2.7949999999999999</v>
      </c>
      <c r="M468" s="123">
        <v>0</v>
      </c>
      <c r="N468" s="130">
        <v>2.7949999999999999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202" t="s">
        <v>1</v>
      </c>
      <c r="BJ468" s="203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202" t="s">
        <v>1</v>
      </c>
      <c r="BJ469" s="203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202"/>
      <c r="BJ470" s="203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204" t="s">
        <v>1</v>
      </c>
      <c r="BJ471" s="203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202" t="s">
        <v>1</v>
      </c>
      <c r="BJ472" s="203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204" t="s">
        <v>1</v>
      </c>
      <c r="BJ473" s="203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204" t="s">
        <v>1</v>
      </c>
      <c r="BJ474" s="203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202" t="s">
        <v>1</v>
      </c>
      <c r="BJ475" s="203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204" t="s">
        <v>1</v>
      </c>
      <c r="BJ476" s="203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204" t="s">
        <v>1</v>
      </c>
      <c r="BJ477" s="203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202" t="s">
        <v>1</v>
      </c>
      <c r="BJ478" s="203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204" t="s">
        <v>1</v>
      </c>
      <c r="BJ479" s="203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202" t="s">
        <v>1</v>
      </c>
      <c r="BJ480" s="203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204"/>
      <c r="BJ481" s="203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204" t="s">
        <v>1</v>
      </c>
      <c r="BJ482" s="203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204" t="s">
        <v>1</v>
      </c>
      <c r="BJ483" s="203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204" t="s">
        <v>1</v>
      </c>
      <c r="BJ484" s="203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204" t="s">
        <v>1</v>
      </c>
      <c r="BJ485" s="203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204" t="s">
        <v>1</v>
      </c>
      <c r="BJ486" s="203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204" t="s">
        <v>1</v>
      </c>
      <c r="BJ487" s="203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204" t="s">
        <v>1</v>
      </c>
      <c r="BJ488" s="203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204" t="s">
        <v>1</v>
      </c>
      <c r="BJ489" s="203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204" t="s">
        <v>1</v>
      </c>
      <c r="BJ490" s="203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204" t="s">
        <v>1</v>
      </c>
      <c r="BJ491" s="203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204" t="s">
        <v>1</v>
      </c>
      <c r="BJ492" s="203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204" t="s">
        <v>1</v>
      </c>
      <c r="BJ493" s="203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300</v>
      </c>
      <c r="L494" s="130">
        <v>27</v>
      </c>
      <c r="M494" s="123">
        <v>0</v>
      </c>
      <c r="N494" s="130">
        <v>27</v>
      </c>
      <c r="O494" s="130">
        <v>0</v>
      </c>
      <c r="P494" s="123">
        <v>0</v>
      </c>
      <c r="Q494" s="5">
        <v>9120</v>
      </c>
      <c r="R494" s="5">
        <v>0</v>
      </c>
      <c r="S494" s="5">
        <v>9120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44414.1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202" t="s">
        <v>1</v>
      </c>
      <c r="BJ494" s="203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204" t="s">
        <v>1</v>
      </c>
      <c r="BJ495" s="203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1</v>
      </c>
      <c r="L496" s="130">
        <v>0.04</v>
      </c>
      <c r="M496" s="123">
        <v>0</v>
      </c>
      <c r="N496" s="130">
        <v>0.04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204" t="s">
        <v>1</v>
      </c>
      <c r="BJ496" s="203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202" t="s">
        <v>1</v>
      </c>
      <c r="BJ497" s="203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204" t="s">
        <v>1</v>
      </c>
      <c r="BJ498" s="203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202" t="s">
        <v>1</v>
      </c>
      <c r="BJ499" s="203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204" t="s">
        <v>1</v>
      </c>
      <c r="BJ500" s="203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202" t="s">
        <v>1</v>
      </c>
      <c r="BJ501" s="203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202" t="s">
        <v>1</v>
      </c>
      <c r="BJ502" s="203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204" t="s">
        <v>1</v>
      </c>
      <c r="BJ503" s="203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204" t="s">
        <v>1</v>
      </c>
      <c r="BJ504" s="203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204" t="s">
        <v>1</v>
      </c>
      <c r="BJ505" s="203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204" t="s">
        <v>1</v>
      </c>
      <c r="BJ506" s="203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204" t="s">
        <v>1</v>
      </c>
      <c r="BJ507" s="203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204"/>
      <c r="BJ508" s="203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204" t="s">
        <v>1</v>
      </c>
      <c r="BJ509" s="203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204" t="s">
        <v>1</v>
      </c>
      <c r="BJ510" s="203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204" t="s">
        <v>1</v>
      </c>
      <c r="BJ511" s="203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202"/>
      <c r="BJ512" s="203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204" t="s">
        <v>1</v>
      </c>
      <c r="BJ513" s="203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204" t="s">
        <v>1</v>
      </c>
      <c r="BJ514" s="203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204" t="s">
        <v>1</v>
      </c>
      <c r="BJ515" s="203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202" t="s">
        <v>1</v>
      </c>
      <c r="BJ516" s="203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3</v>
      </c>
      <c r="L517" s="130">
        <v>0.60000000000000009</v>
      </c>
      <c r="M517" s="123">
        <v>0</v>
      </c>
      <c r="N517" s="130">
        <v>0.60000000000000009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204" t="s">
        <v>1</v>
      </c>
      <c r="BJ517" s="203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202" t="s">
        <v>1</v>
      </c>
      <c r="BJ518" s="203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204"/>
      <c r="BJ519" s="203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204" t="s">
        <v>1</v>
      </c>
      <c r="BJ520" s="203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204" t="s">
        <v>1</v>
      </c>
      <c r="BJ521" s="203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204" t="s">
        <v>1</v>
      </c>
      <c r="BJ522" s="203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204" t="s">
        <v>1</v>
      </c>
      <c r="BJ523" s="203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6</v>
      </c>
      <c r="L524" s="130">
        <v>1.7999999999999998</v>
      </c>
      <c r="M524" s="123">
        <v>0</v>
      </c>
      <c r="N524" s="130">
        <v>1.7999999999999998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202" t="s">
        <v>1</v>
      </c>
      <c r="BJ524" s="203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204" t="s">
        <v>1</v>
      </c>
      <c r="BJ525" s="203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204" t="s">
        <v>1</v>
      </c>
      <c r="BJ526" s="203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204" t="s">
        <v>1</v>
      </c>
      <c r="BJ527" s="203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204" t="s">
        <v>1</v>
      </c>
      <c r="BJ528" s="203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204" t="s">
        <v>1</v>
      </c>
      <c r="BJ529" s="203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204" t="s">
        <v>1</v>
      </c>
      <c r="BJ530" s="203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204" t="s">
        <v>1</v>
      </c>
      <c r="BJ531" s="203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202" t="s">
        <v>1</v>
      </c>
      <c r="BJ532" s="203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202" t="s">
        <v>1</v>
      </c>
      <c r="BJ533" s="203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204" t="s">
        <v>1</v>
      </c>
      <c r="BJ534" s="203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202" t="s">
        <v>1</v>
      </c>
      <c r="BJ535" s="203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3</v>
      </c>
      <c r="L536" s="130">
        <v>0.15000000000000002</v>
      </c>
      <c r="M536" s="123">
        <v>0</v>
      </c>
      <c r="N536" s="130">
        <v>0.15000000000000002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204" t="s">
        <v>1</v>
      </c>
      <c r="BJ536" s="203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202" t="s">
        <v>1</v>
      </c>
      <c r="BJ537" s="203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204" t="s">
        <v>1</v>
      </c>
      <c r="BJ538" s="203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204" t="s">
        <v>1</v>
      </c>
      <c r="BJ539" s="203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79">
        <v>0</v>
      </c>
      <c r="AB540" s="179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207" t="s">
        <v>1</v>
      </c>
      <c r="BJ540" s="203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79">
        <v>0</v>
      </c>
      <c r="AB541" s="179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207" t="s">
        <v>1</v>
      </c>
      <c r="BJ541" s="203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204" t="s">
        <v>1</v>
      </c>
      <c r="BJ542" s="203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204" t="s">
        <v>1</v>
      </c>
      <c r="BJ543" s="203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202" t="s">
        <v>1</v>
      </c>
      <c r="BJ544" s="203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202" t="s">
        <v>1</v>
      </c>
      <c r="BJ545" s="203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204" t="s">
        <v>1</v>
      </c>
      <c r="BJ546" s="203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79">
        <v>0</v>
      </c>
      <c r="AB547" s="179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208"/>
      <c r="BJ547" s="203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0">
        <v>1075202</v>
      </c>
      <c r="G548" s="181" t="s">
        <v>641</v>
      </c>
      <c r="H548" s="182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5">
        <v>0</v>
      </c>
      <c r="Y548" s="125" t="s">
        <v>574</v>
      </c>
      <c r="Z548" s="125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204"/>
      <c r="BJ548" s="203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1292"/>
  </conditionalFormatting>
  <conditionalFormatting sqref="F18">
    <cfRule type="duplicateValues" dxfId="122" priority="1520"/>
  </conditionalFormatting>
  <conditionalFormatting sqref="M18:O18">
    <cfRule type="expression" dxfId="94" priority="1426" stopIfTrue="1">
      <formula>"g4&gt;1"</formula>
    </cfRule>
  </conditionalFormatting>
  <conditionalFormatting sqref="P18">
    <cfRule type="expression" dxfId="93" priority="1425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8DCA6668-16D5-4BE9-B0CB-58D590AA9C0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2BBB1A7C-4065-4281-8F3D-8D83586B146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361D23C0-ACB9-4A7D-A5D8-E54C77544DC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2026-05-29T14:41:21Z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